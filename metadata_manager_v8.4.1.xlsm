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0.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722" codeName="{8C4F1C90-05EB-6A55-5F09-09C24B55AC0B}"/>
  <workbookPr codeName="ThisWorkbook" autoCompressPictures="0"/>
  <bookViews>
    <workbookView xWindow="1020" yWindow="0" windowWidth="27380" windowHeight="16080" tabRatio="677"/>
  </bookViews>
  <sheets>
    <sheet name="Data Entry" sheetId="6" r:id="rId1"/>
    <sheet name="NCBI Biosample" sheetId="7" r:id="rId2"/>
    <sheet name="Source List" sheetId="2" r:id="rId3"/>
  </sheets>
  <definedNames>
    <definedName name="_xlnm._FilterDatabase" localSheetId="1" hidden="1">'NCBI Biosample'!$A$1:$FS$7</definedName>
    <definedName name="_xlnm._FilterDatabase" localSheetId="2" hidden="1">'Source List'!$V$32:$W$32</definedName>
    <definedName name="Biome">Table25[]</definedName>
    <definedName name="Biosample_Rows">INDEX(Biosamples,0,2)</definedName>
    <definedName name="Biosamples">Table20[]</definedName>
    <definedName name="collection_matrix">Table27[]</definedName>
    <definedName name="Contributor">'Source List'!$AX$4:$AY$7</definedName>
    <definedName name="Country">'Source List'!$AP$4:$AQ$16</definedName>
    <definedName name="Env_Source_Material">'Source List'!$Y$4:$Z$43</definedName>
    <definedName name="env_terrain">Table28[]</definedName>
    <definedName name="environmental_location">#REF!</definedName>
    <definedName name="Field_Status">'Source List'!$BA$28:$BB$30</definedName>
    <definedName name="Food_Category">Table29[]</definedName>
    <definedName name="Food_Subcategories">'Source List'!$D$3:$G$288</definedName>
    <definedName name="Food_Subcategory">Table2[]</definedName>
    <definedName name="Heat_Treatment">#REF!</definedName>
    <definedName name="host_disease">'Source List'!$V$33:$V$58</definedName>
    <definedName name="Host_Disease_Outcome">Table9[]</definedName>
    <definedName name="Host_Health_State">Table26[]</definedName>
    <definedName name="Host_Sex">Table23[#Data]</definedName>
    <definedName name="Illness_Type" localSheetId="2">'Source List'!$V$33:$V$58</definedName>
    <definedName name="Illness_Type">'Source List'!$V$33:$W$58</definedName>
    <definedName name="Listera_Serotypes">Table1[#Data]</definedName>
    <definedName name="Organism">'Source List'!$AT$4:$AU$16</definedName>
    <definedName name="PFGE_Specificity">'Source List'!$AT$26:$AV$33</definedName>
    <definedName name="plant_and_animal" localSheetId="2">'Source List'!$BQ$4:$BR$970</definedName>
    <definedName name="Plants_and_Animals">Table33[]</definedName>
    <definedName name="preservation_method">Table30[]</definedName>
    <definedName name="_xlnm.Print_Area" localSheetId="0">'Data Entry'!$A$1:$K$185</definedName>
    <definedName name="Regions">'Source List'!$AK$3:$AN$73</definedName>
    <definedName name="Season">'Source List'!$BA$19:$BB$22</definedName>
    <definedName name="Selections">#REF!</definedName>
    <definedName name="Sequencing_Facility">Table17[#Data]</definedName>
    <definedName name="Sequencing_Platform">'Source List'!$BA$4:$BB$11</definedName>
    <definedName name="Serotype">'Source List'!#REF!</definedName>
    <definedName name="Serovar">Table24[]</definedName>
    <definedName name="Source_Body_Part">'Source List'!$V$4:$V$10</definedName>
    <definedName name="Source_Location">Table16[#Data]</definedName>
    <definedName name="Source_Material">Table21[]</definedName>
    <definedName name="source_material_category">Table31[]</definedName>
    <definedName name="Specific_Host">Table15[#Data]</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F100" i="6" l="1"/>
  <c r="O124" i="6"/>
  <c r="M124" i="6"/>
  <c r="K124" i="6"/>
  <c r="O24" i="6"/>
  <c r="M30" i="6"/>
  <c r="K30" i="6"/>
  <c r="F6" i="6"/>
  <c r="K67" i="6"/>
  <c r="O177" i="6"/>
  <c r="M177" i="6"/>
  <c r="K177" i="6"/>
  <c r="O176" i="6"/>
  <c r="M176" i="6"/>
  <c r="K176" i="6"/>
  <c r="O174" i="6"/>
  <c r="M174" i="6"/>
  <c r="K174" i="6"/>
  <c r="O172" i="6"/>
  <c r="M172" i="6"/>
  <c r="K172" i="6"/>
  <c r="O170" i="6"/>
  <c r="M170" i="6"/>
  <c r="K170" i="6"/>
  <c r="O168" i="6"/>
  <c r="M168" i="6"/>
  <c r="K168" i="6"/>
  <c r="O166" i="6"/>
  <c r="M166" i="6"/>
  <c r="K166" i="6"/>
  <c r="O164" i="6"/>
  <c r="M164" i="6"/>
  <c r="K164" i="6"/>
  <c r="O162" i="6"/>
  <c r="M162" i="6"/>
  <c r="K162" i="6"/>
  <c r="O160" i="6"/>
  <c r="M160" i="6"/>
  <c r="K160" i="6"/>
  <c r="O158" i="6"/>
  <c r="M158" i="6"/>
  <c r="K158" i="6"/>
  <c r="O156" i="6"/>
  <c r="M156" i="6"/>
  <c r="K156" i="6"/>
  <c r="O154" i="6"/>
  <c r="M154" i="6"/>
  <c r="K154" i="6"/>
  <c r="O152" i="6"/>
  <c r="M152" i="6"/>
  <c r="K152" i="6"/>
  <c r="O150" i="6"/>
  <c r="M150" i="6"/>
  <c r="K150" i="6"/>
  <c r="O148" i="6"/>
  <c r="M148" i="6"/>
  <c r="K148" i="6"/>
  <c r="O146" i="6"/>
  <c r="M146" i="6"/>
  <c r="K146" i="6"/>
  <c r="O144" i="6"/>
  <c r="M144" i="6"/>
  <c r="K144" i="6"/>
  <c r="O142" i="6"/>
  <c r="M142" i="6"/>
  <c r="K142" i="6"/>
  <c r="O139" i="6"/>
  <c r="M139" i="6"/>
  <c r="K139" i="6"/>
  <c r="O137" i="6"/>
  <c r="M137" i="6"/>
  <c r="K137" i="6"/>
  <c r="O134" i="6"/>
  <c r="M134" i="6"/>
  <c r="K134" i="6"/>
  <c r="O132" i="6"/>
  <c r="M132" i="6"/>
  <c r="K132" i="6"/>
  <c r="O130" i="6"/>
  <c r="M130" i="6"/>
  <c r="K130" i="6"/>
  <c r="O128" i="6"/>
  <c r="M128" i="6"/>
  <c r="K128" i="6"/>
  <c r="O126" i="6"/>
  <c r="M126" i="6"/>
  <c r="K126" i="6"/>
  <c r="O122" i="6"/>
  <c r="M122" i="6"/>
  <c r="K122" i="6"/>
  <c r="O120" i="6"/>
  <c r="M120" i="6"/>
  <c r="K120" i="6"/>
  <c r="O118" i="6"/>
  <c r="M118" i="6"/>
  <c r="K118" i="6"/>
  <c r="O115" i="6"/>
  <c r="M115" i="6"/>
  <c r="M114" i="6"/>
  <c r="O112" i="6"/>
  <c r="M112" i="6"/>
  <c r="K112" i="6"/>
  <c r="O110" i="6"/>
  <c r="M110" i="6"/>
  <c r="K110" i="6"/>
  <c r="M108" i="6"/>
  <c r="K108" i="6"/>
  <c r="O106" i="6"/>
  <c r="M106" i="6"/>
  <c r="K106" i="6"/>
  <c r="M104" i="6"/>
  <c r="J106" i="6"/>
  <c r="I106" i="6"/>
  <c r="K104" i="6"/>
  <c r="O102" i="6"/>
  <c r="M102" i="6"/>
  <c r="K102" i="6"/>
  <c r="O100" i="6"/>
  <c r="M100" i="6"/>
  <c r="M98" i="6"/>
  <c r="K98" i="6"/>
  <c r="I98" i="6"/>
  <c r="H98" i="6"/>
  <c r="M96" i="6"/>
  <c r="K96" i="6"/>
  <c r="M94" i="6"/>
  <c r="K94" i="6"/>
  <c r="M91" i="6"/>
  <c r="O90" i="6"/>
  <c r="M90" i="6"/>
  <c r="K90" i="6"/>
  <c r="H90" i="6"/>
  <c r="O88" i="6"/>
  <c r="M88" i="6"/>
  <c r="K88" i="6"/>
  <c r="O86" i="6"/>
  <c r="M86" i="6"/>
  <c r="K86" i="6"/>
  <c r="H86" i="6"/>
  <c r="M84" i="6"/>
  <c r="O83" i="6"/>
  <c r="M83" i="6"/>
  <c r="K83" i="6"/>
  <c r="H83" i="6"/>
  <c r="O81" i="6"/>
  <c r="M81" i="6"/>
  <c r="O79" i="6"/>
  <c r="M79" i="6"/>
  <c r="K79" i="6"/>
  <c r="I79" i="6"/>
  <c r="I81" i="6"/>
  <c r="O75" i="6"/>
  <c r="M75" i="6"/>
  <c r="K75" i="6"/>
  <c r="O73" i="6"/>
  <c r="M73" i="6"/>
  <c r="K73" i="6"/>
  <c r="M72" i="6"/>
  <c r="O71" i="6"/>
  <c r="M71" i="6"/>
  <c r="K71" i="6"/>
  <c r="O69" i="6"/>
  <c r="M69" i="6"/>
  <c r="K69" i="6"/>
  <c r="M67" i="6"/>
  <c r="O65" i="6"/>
  <c r="M65" i="6"/>
  <c r="K65" i="6"/>
  <c r="O63" i="6"/>
  <c r="M63" i="6"/>
  <c r="K63" i="6"/>
  <c r="O61" i="6"/>
  <c r="M61" i="6"/>
  <c r="K61" i="6"/>
  <c r="M60" i="6"/>
  <c r="O59" i="6"/>
  <c r="M59" i="6"/>
  <c r="K59" i="6"/>
  <c r="O57" i="6"/>
  <c r="M57" i="6"/>
  <c r="K57" i="6"/>
  <c r="M45" i="6"/>
  <c r="M47" i="6"/>
  <c r="M49" i="6"/>
  <c r="M51" i="6"/>
  <c r="M54" i="6"/>
  <c r="M55" i="6"/>
  <c r="O54" i="6"/>
  <c r="K54" i="6"/>
  <c r="O51" i="6"/>
  <c r="K51" i="6"/>
  <c r="O49" i="6"/>
  <c r="K49" i="6"/>
  <c r="O47" i="6"/>
  <c r="K47" i="6"/>
  <c r="O45" i="6"/>
  <c r="K45" i="6"/>
  <c r="O38" i="6"/>
  <c r="M38" i="6"/>
  <c r="K38" i="6"/>
  <c r="O35" i="6"/>
  <c r="M35" i="6"/>
  <c r="K35" i="6"/>
  <c r="O34" i="6"/>
  <c r="M34" i="6"/>
  <c r="K34" i="6"/>
  <c r="O33" i="6"/>
  <c r="M31" i="6"/>
  <c r="K31" i="6"/>
  <c r="M29" i="6"/>
  <c r="K29" i="6"/>
  <c r="M28" i="6"/>
  <c r="K28" i="6"/>
  <c r="O27" i="6"/>
  <c r="M27" i="6"/>
  <c r="K27" i="6"/>
  <c r="O26" i="6"/>
  <c r="M26" i="6"/>
  <c r="K26" i="6"/>
  <c r="O25" i="6"/>
  <c r="M25" i="6"/>
  <c r="K25" i="6"/>
  <c r="M24" i="6"/>
  <c r="K24" i="6"/>
  <c r="O21" i="6"/>
  <c r="M21" i="6"/>
  <c r="K21" i="6"/>
  <c r="O19" i="6"/>
  <c r="M19" i="6"/>
  <c r="K19" i="6"/>
  <c r="O17" i="6"/>
  <c r="M17" i="6"/>
  <c r="K17" i="6"/>
  <c r="O15" i="6"/>
  <c r="M15" i="6"/>
  <c r="K15" i="6"/>
  <c r="O13" i="6"/>
  <c r="M13" i="6"/>
  <c r="K13" i="6"/>
  <c r="O11" i="6"/>
  <c r="M11" i="6"/>
  <c r="K11" i="6"/>
  <c r="O9" i="6"/>
  <c r="M9" i="6"/>
  <c r="K9" i="6"/>
  <c r="K7" i="6"/>
  <c r="M33" i="6"/>
  <c r="F36" i="6"/>
  <c r="F40" i="6"/>
  <c r="M36" i="6"/>
  <c r="M40" i="6"/>
  <c r="J81" i="6"/>
</calcChain>
</file>

<file path=xl/comments1.xml><?xml version="1.0" encoding="utf-8"?>
<comments xmlns="http://schemas.openxmlformats.org/spreadsheetml/2006/main">
  <authors>
    <author>emma</author>
    <author>Damian Dooley</author>
    <author>Morag Graham</author>
  </authors>
  <commentList>
    <comment ref="B7" authorId="0">
      <text>
        <r>
          <rPr>
            <b/>
            <sz val="9"/>
            <color indexed="81"/>
            <rFont val="Tahoma"/>
            <family val="2"/>
          </rPr>
          <t xml:space="preserve">Notes:  This denotes the attributes package. Allowed values are "Pathogen.cl" (for clinical or host-associated pathogen) or "Pathogen.env" (for environmental, food or other pathogen). The value provided in this field drives validation of other fields. </t>
        </r>
        <r>
          <rPr>
            <b/>
            <i/>
            <sz val="9"/>
            <color indexed="81"/>
            <rFont val="Tahoma"/>
            <family val="2"/>
          </rPr>
          <t xml:space="preserve"> For animal-associated</t>
        </r>
        <r>
          <rPr>
            <b/>
            <sz val="9"/>
            <color indexed="81"/>
            <rFont val="Tahoma"/>
            <family val="2"/>
          </rPr>
          <t xml:space="preserve"> food items, use "Clinical"</t>
        </r>
      </text>
    </comment>
    <comment ref="B9" authorId="1">
      <text>
        <r>
          <rPr>
            <b/>
            <sz val="9"/>
            <color indexed="81"/>
            <rFont val="Franklin Gothic Book"/>
            <family val="2"/>
          </rPr>
          <t>Sample Name is a project isolate name or name chosen for the sample. It can have any format, but we suggest that you make it concise, unique and consistent within your lab, or your project and as informative as possible. Every Sample Name from a single Submitter or project consortium within the same Bioproject must be unique.</t>
        </r>
      </text>
    </comment>
    <comment ref="B11" authorId="0">
      <text>
        <r>
          <rPr>
            <b/>
            <sz val="9"/>
            <color indexed="81"/>
            <rFont val="Tahoma"/>
            <family val="2"/>
          </rPr>
          <t>Notes:  Alternative Sample Name</t>
        </r>
      </text>
    </comment>
    <comment ref="B13" authorId="0">
      <text>
        <r>
          <rPr>
            <b/>
            <sz val="9"/>
            <color indexed="81"/>
            <rFont val="Tahoma"/>
            <family val="2"/>
          </rPr>
          <t>Notes: Free text description of sample. Details can be included for distinguishing isolates based on important attributes or experimental conditions.</t>
        </r>
      </text>
    </comment>
    <comment ref="B15" authorId="1">
      <text>
        <r>
          <rPr>
            <b/>
            <sz val="9"/>
            <color indexed="81"/>
            <rFont val="Franklin Gothic Book"/>
            <family val="2"/>
          </rPr>
          <t>NCBI Note: 
Associated BioProject(s)</t>
        </r>
      </text>
    </comment>
    <comment ref="B17" authorId="0">
      <text>
        <r>
          <rPr>
            <b/>
            <sz val="9"/>
            <color indexed="81"/>
            <rFont val="Tahoma"/>
            <family val="2"/>
          </rPr>
          <t>NCBI notes: The most descriptive organism name for this sample (to the species, if relevant).</t>
        </r>
      </text>
    </comment>
    <comment ref="B19" authorId="0">
      <text>
        <r>
          <rPr>
            <b/>
            <sz val="9"/>
            <color indexed="81"/>
            <rFont val="Tahoma"/>
            <family val="2"/>
          </rPr>
          <t xml:space="preserve">Notes: Taxonomic level below species determined by molecular or phenotypic methods. These designations will likely be project specific and are often pre-determined.  For example, GRDI-FWS E. coli &amp; Salmonella samples, "Strain" is considered to be the same as “Sample Name” </t>
        </r>
        <r>
          <rPr>
            <b/>
            <u/>
            <sz val="9"/>
            <color indexed="81"/>
            <rFont val="Tahoma"/>
            <family val="2"/>
          </rPr>
          <t>without</t>
        </r>
        <r>
          <rPr>
            <b/>
            <sz val="9"/>
            <color indexed="81"/>
            <rFont val="Tahoma"/>
            <family val="2"/>
          </rPr>
          <t xml:space="preserve"> underscores. E.g. FWSEC001 or LiDS0001</t>
        </r>
      </text>
    </comment>
    <comment ref="B21" authorId="1">
      <text>
        <r>
          <rPr>
            <b/>
            <sz val="9"/>
            <color indexed="81"/>
            <rFont val="Franklin Gothic Book"/>
            <family val="2"/>
          </rPr>
          <t>NCBI Note:
Date of sampling: ISO 8601 standard YYYY-MM-DD</t>
        </r>
      </text>
    </comment>
    <comment ref="B22" authorId="0">
      <text>
        <r>
          <rPr>
            <b/>
            <sz val="9"/>
            <color indexed="81"/>
            <rFont val="Tahoma"/>
            <family val="2"/>
          </rPr>
          <t>Notes: Identifying numbers associated with a sample. Assigned by collectors, testing facilities, lab or sequencing facilities, culture collection repository and Biosample IDs</t>
        </r>
      </text>
    </comment>
    <comment ref="B24" authorId="1">
      <text>
        <r>
          <rPr>
            <b/>
            <sz val="9"/>
            <color indexed="81"/>
            <rFont val="Franklin Gothic Book"/>
            <family val="2"/>
          </rPr>
          <t>When there is a need to record further organizational or facility identifiers, provide them here.  These are not included with the NCBI Biosample submission; rather used for cross-referenced within the project or individual submittor labs.</t>
        </r>
      </text>
    </comment>
    <comment ref="B31" authorId="1">
      <text>
        <r>
          <rPr>
            <b/>
            <sz val="9"/>
            <color indexed="81"/>
            <rFont val="Franklin Gothic Book"/>
            <family val="2"/>
          </rPr>
          <t xml:space="preserve">INSDC (International Nucleotide Sequence Database Collaboration) keeps an official list of contributors. Each has a special code; and sometimes individual codes for respective collection projects.  Your agency and or project needs to be on this list for successful Biosample submission; if it isn't please apply to have it added both to this form and to the submission list below. </t>
        </r>
        <r>
          <rPr>
            <b/>
            <u/>
            <sz val="9"/>
            <color indexed="81"/>
            <rFont val="Franklin Gothic Book"/>
            <family val="2"/>
          </rPr>
          <t>h</t>
        </r>
        <r>
          <rPr>
            <b/>
            <u/>
            <sz val="9"/>
            <color indexed="81"/>
            <rFont val="Franklin Gothic Book"/>
            <family val="2"/>
          </rPr>
          <t xml:space="preserve">ttp://ftp.ncbi.nlm.nih.gov/pub/taxonomy/coll_dump.txt
</t>
        </r>
        <r>
          <rPr>
            <b/>
            <sz val="9"/>
            <color indexed="81"/>
            <rFont val="Franklin Gothic Book"/>
            <family val="2"/>
          </rPr>
          <t>For consortium projects, there will be a single entity for the NCBI submission unless otherwise noted/pre-negotiated.</t>
        </r>
      </text>
    </comment>
    <comment ref="F33" authorId="0">
      <text>
        <r>
          <rPr>
            <b/>
            <sz val="9"/>
            <color indexed="81"/>
            <rFont val="Tahoma"/>
            <family val="2"/>
          </rPr>
          <t>Notes: Optional additional identification code for a specific culture collection within a repository. Same as “Culture ID”.</t>
        </r>
      </text>
    </comment>
    <comment ref="G33" authorId="0">
      <text>
        <r>
          <rPr>
            <b/>
            <sz val="9"/>
            <color indexed="81"/>
            <rFont val="Tahoma"/>
            <family val="2"/>
          </rPr>
          <t>Notes: Optional additional identification code of a particular specimen within a given collection.</t>
        </r>
      </text>
    </comment>
    <comment ref="E36" authorId="0">
      <text>
        <r>
          <rPr>
            <b/>
            <sz val="9"/>
            <color indexed="81"/>
            <rFont val="Tahoma"/>
            <family val="2"/>
          </rPr>
          <t>Notes: Composite of “institution code:collection code:specimen id” e.g. UAM:Mamm:52179. These codes are controlled vocabulary identifiers for tracking specimens in sample collections. 
Structured vouchers include institution-codes (and optional collection-codes) taken from a controlled vocabulary maintained by the INSDC that denotes the museum or herbarium collection where the specimen resides, please visit: http://www.insdc.org/controlled-vocabulary-specimenvoucher-qualifier.</t>
        </r>
      </text>
    </comment>
    <comment ref="E38" authorId="0">
      <text>
        <r>
          <rPr>
            <b/>
            <sz val="9"/>
            <color indexed="81"/>
            <rFont val="Tahoma"/>
            <family val="2"/>
          </rPr>
          <t>Notes: Identification code for a specific culture collection within a repository. Same as “Collection code”.</t>
        </r>
      </text>
    </comment>
    <comment ref="E40" authorId="0">
      <text>
        <r>
          <rPr>
            <b/>
            <sz val="9"/>
            <color indexed="81"/>
            <rFont val="Tahoma"/>
            <family val="2"/>
          </rPr>
          <t>Notes: Composite identifier containing “institution code:collection code” e.g. ATCC:26370.  Annotation with a culture_collection qualifier implies that the sequence was obtained from a sample retrieved (by the submitter or a collaborator) from the indicated culture collection, or that the sequence was obtained from a sample that was deposited (by the submitter or a collaborator) in the indicated culture collection. See the description for the proper format and list of allowed institutes, http://www.insdc.org/controlled-vocabulary-culturecollection-qualifier.</t>
        </r>
      </text>
    </comment>
    <comment ref="B42" authorId="1">
      <text>
        <r>
          <rPr>
            <b/>
            <sz val="9"/>
            <color indexed="81"/>
            <rFont val="Franklin Gothic Book"/>
            <family val="2"/>
          </rPr>
          <t>Notes: Laboratory identified designations associated with genotype or phenotype of the isolate.</t>
        </r>
      </text>
    </comment>
    <comment ref="B45" authorId="0">
      <text>
        <r>
          <rPr>
            <b/>
            <sz val="9"/>
            <color indexed="81"/>
            <rFont val="Tahoma"/>
            <family val="2"/>
          </rPr>
          <t>Notes: Taxonomy below subspecies denoted by antigenic properties. Same as serovar and serogroup. Specify somatic (outer membrane and capsular) and flagellar antigens e.g. E. coli O157:H7</t>
        </r>
      </text>
    </comment>
    <comment ref="F49" authorId="1">
      <text>
        <r>
          <rPr>
            <b/>
            <sz val="9"/>
            <color indexed="81"/>
            <rFont val="Franklin Gothic Book"/>
            <family val="2"/>
          </rPr>
          <t>Wikipedia:
60 different K antigens have been recognized (K1, K2a/ac, K3, K4, K5, K6, K7 (=K56), K8, K9 (=O104), K10, K11, K12 (K82), K13(=K20 and =K23), K14, K15, K16, K18a, K18ab (=K22), K19,K24, K26, K27, K28, K29, K30, K31, K34, K37, K39, K40, K41,K42, K43, K44, K45, K46, K47, K49 (O46), K50, K51, K52, K53, K54 (=K96), K55, K74, K84, K85ab/ac (=O141), K87 (=O32), K92, K93, K95, K97, K98, K100, K101, K102, K103, KX104, KX105,and KX106)</t>
        </r>
      </text>
    </comment>
    <comment ref="F51" authorId="1">
      <text>
        <r>
          <rPr>
            <b/>
            <sz val="9"/>
            <color indexed="81"/>
            <rFont val="Franklin Gothic Book"/>
            <family val="2"/>
          </rPr>
          <t>Be sure to include serotype initial</t>
        </r>
      </text>
    </comment>
    <comment ref="B57" authorId="1">
      <text>
        <r>
          <rPr>
            <b/>
            <sz val="9"/>
            <color indexed="81"/>
            <rFont val="Franklin Gothic Book"/>
            <family val="2"/>
          </rPr>
          <t>All Salmonella Serovars can be selected by name.  All other types should be selected by formula.  Be sure to RIGHT-CLICK for easier list lookup.</t>
        </r>
      </text>
    </comment>
    <comment ref="B61" authorId="0">
      <text>
        <r>
          <rPr>
            <b/>
            <sz val="9"/>
            <color indexed="81"/>
            <rFont val="Tahoma"/>
            <family val="2"/>
          </rPr>
          <t xml:space="preserve">Notes: DNA fingerprint nomenclature or designation such as a cluster code. e.g.  1001EC1837MP, a MLST or ST. where applicable.  A cluster code does not necessarily imply it was a cluster but that the particular strain belonged to a group of isolates with a common pattern of interest to researchers. </t>
        </r>
      </text>
    </comment>
    <comment ref="B63" authorId="2">
      <text>
        <r>
          <rPr>
            <b/>
            <sz val="9"/>
            <color indexed="81"/>
            <rFont val="Tahoma"/>
            <family val="2"/>
          </rPr>
          <t>Notes:  The PFGE designation and Enzyme used are species specific.  Please note them.</t>
        </r>
      </text>
    </comment>
    <comment ref="B67" authorId="2">
      <text>
        <r>
          <rPr>
            <b/>
            <sz val="9"/>
            <color indexed="81"/>
            <rFont val="Tahoma"/>
            <family val="2"/>
          </rPr>
          <t>Notes: Optional, if applicable e.g. for Listeria monocyotgenes.</t>
        </r>
      </text>
    </comment>
    <comment ref="B69" authorId="0">
      <text>
        <r>
          <rPr>
            <b/>
            <sz val="9"/>
            <color indexed="81"/>
            <rFont val="Tahoma"/>
            <family val="2"/>
          </rPr>
          <t>Notes: An integer referring to a pattern of opaque or confluent lysis caused by a panel of bacteriophage infections e.g. 14a.</t>
        </r>
      </text>
    </comment>
    <comment ref="B73" authorId="1">
      <text>
        <r>
          <rPr>
            <b/>
            <sz val="9"/>
            <color indexed="81"/>
            <rFont val="Franklin Gothic Book"/>
            <family val="2"/>
          </rPr>
          <t xml:space="preserve">NCBI note:  Taxonomy below subspecies; Optional additional subtype classification </t>
        </r>
        <r>
          <rPr>
            <b/>
            <i/>
            <sz val="9"/>
            <color indexed="81"/>
            <rFont val="Franklin Gothic Book"/>
          </rPr>
          <t>as per organism convention</t>
        </r>
      </text>
    </comment>
    <comment ref="B75" authorId="1">
      <text>
        <r>
          <rPr>
            <b/>
            <sz val="9"/>
            <color indexed="81"/>
            <rFont val="Franklin Gothic Book"/>
            <family val="2"/>
          </rPr>
          <t xml:space="preserve">Optional additional subtype classification </t>
        </r>
        <r>
          <rPr>
            <b/>
            <i/>
            <sz val="9"/>
            <color indexed="81"/>
            <rFont val="Franklin Gothic Book"/>
          </rPr>
          <t>as per organism convention</t>
        </r>
      </text>
    </comment>
    <comment ref="B77" authorId="0">
      <text>
        <r>
          <rPr>
            <b/>
            <sz val="9"/>
            <color indexed="81"/>
            <rFont val="Tahoma"/>
            <family val="2"/>
          </rPr>
          <t>Geographic details of the isolate source e.g. country.  (we need the country at least, if not the province or more specific. This could be sensitive information, so consider the amount of detail you wish to include).</t>
        </r>
      </text>
    </comment>
    <comment ref="N81" authorId="1">
      <text>
        <r>
          <rPr>
            <b/>
            <sz val="9"/>
            <color indexed="81"/>
            <rFont val="Franklin Gothic Book"/>
            <family val="2"/>
          </rPr>
          <t>Damian Dooley:</t>
        </r>
        <r>
          <rPr>
            <sz val="9"/>
            <color indexed="81"/>
            <rFont val="Franklin Gothic Book"/>
            <family val="2"/>
          </rPr>
          <t xml:space="preserve">
Also : Region: GEO_000000151</t>
        </r>
      </text>
    </comment>
    <comment ref="B88" authorId="1">
      <text>
        <r>
          <rPr>
            <b/>
            <sz val="9"/>
            <color indexed="81"/>
            <rFont val="Franklin Gothic Book"/>
            <family val="2"/>
          </rPr>
          <t>A decimal number, +/- 180 degrees: North = positive value; South = negative value. NCBI requests 4 digit precision and this is calculated based on the above. This field is mandatory, but can be filled with "missing" if too sensitive to release.</t>
        </r>
      </text>
    </comment>
    <comment ref="B90" authorId="1">
      <text>
        <r>
          <rPr>
            <b/>
            <sz val="9"/>
            <color indexed="81"/>
            <rFont val="Franklin Gothic Book"/>
            <family val="2"/>
          </rPr>
          <t xml:space="preserve">A decimal number, +/- 180 degrees; East = positive value; West = negative value. NCBI requests 4 digit precision and this is calculated based on the above. This field is mandatory, but can be filled with "missing", if too sensitive to release. </t>
        </r>
      </text>
    </comment>
    <comment ref="B94" authorId="1">
      <text>
        <r>
          <rPr>
            <b/>
            <sz val="9"/>
            <color indexed="81"/>
            <rFont val="Franklin Gothic Book"/>
            <family val="2"/>
          </rPr>
          <t>The type of sample taken</t>
        </r>
      </text>
    </comment>
    <comment ref="B98" authorId="1">
      <text>
        <r>
          <rPr>
            <b/>
            <sz val="9"/>
            <color indexed="81"/>
            <rFont val="Franklin Gothic Book"/>
            <family val="2"/>
          </rPr>
          <t>NCBI note: The natural (as opposed to laboratory) host for the organism from which the sample was obtained. Use the full taxonomic name, eg, "Homo sapiens"; "Bos taurus", etc.</t>
        </r>
      </text>
    </comment>
    <comment ref="E100" authorId="0">
      <text>
        <r>
          <rPr>
            <b/>
            <sz val="9"/>
            <color indexed="81"/>
            <rFont val="Tahoma"/>
            <family val="2"/>
          </rPr>
          <t>Notes: This field will be autofilled based on the information chosen from the Host Organism menu above.</t>
        </r>
        <r>
          <rPr>
            <sz val="9"/>
            <color indexed="81"/>
            <rFont val="Tahoma"/>
            <family val="2"/>
          </rPr>
          <t xml:space="preserve">
</t>
        </r>
      </text>
    </comment>
    <comment ref="B102" authorId="1">
      <text>
        <r>
          <rPr>
            <b/>
            <sz val="9"/>
            <color indexed="81"/>
            <rFont val="Franklin Gothic Book"/>
            <family val="2"/>
          </rPr>
          <t>Type of host tissue or material from which the isolate was extracted.   Two links are provided to the BRENDA Ontology animal tissue and plant tissue trees where you can select an appropriate ontology term if it isn't on included list.</t>
        </r>
      </text>
    </comment>
    <comment ref="B104" authorId="1">
      <text>
        <r>
          <rPr>
            <b/>
            <sz val="9"/>
            <color indexed="81"/>
            <rFont val="Franklin Gothic Book"/>
            <family val="2"/>
          </rPr>
          <t>If sample was taken from food that host ingested, indicate the food type by choosing from the associated line list options.</t>
        </r>
      </text>
    </comment>
    <comment ref="B110" authorId="0">
      <text>
        <r>
          <rPr>
            <b/>
            <sz val="9"/>
            <color indexed="81"/>
            <rFont val="Tahoma"/>
            <family val="2"/>
          </rPr>
          <t>Notes: Environmental &amp; other material  (e.g. manure, sediment, water), but excluding animal, plant, and food sources.</t>
        </r>
      </text>
    </comment>
    <comment ref="B112" authorId="0">
      <text>
        <r>
          <rPr>
            <b/>
            <sz val="9"/>
            <color indexed="81"/>
            <rFont val="Tahoma"/>
            <family val="2"/>
          </rPr>
          <t>Notes: Built or natural environmental features and locations where the sample material was taken from (e.g. abattoirs, cages, food processing facility, river, irrigation ditch, etc.)</t>
        </r>
      </text>
    </comment>
    <comment ref="B114" authorId="0">
      <text>
        <r>
          <rPr>
            <b/>
            <sz val="9"/>
            <color indexed="81"/>
            <rFont val="Tahoma"/>
            <family val="2"/>
          </rPr>
          <t>Notes: Describes the physical, environmental and/or local geographical source of the biological sample from which the sample was derived. Free text summary of attributes specified in the above searchable fields. This is what will be exported for “Isolation Source” in Biosample.</t>
        </r>
      </text>
    </comment>
    <comment ref="B116" authorId="0">
      <text>
        <r>
          <rPr>
            <b/>
            <sz val="9"/>
            <color indexed="81"/>
            <rFont val="Tahoma"/>
            <family val="2"/>
          </rPr>
          <t>Notes: Describes attributes of the host at the time of sample collection, if known. Entries below are optional.</t>
        </r>
      </text>
    </comment>
    <comment ref="B118" authorId="0">
      <text>
        <r>
          <rPr>
            <b/>
            <sz val="9"/>
            <color indexed="81"/>
            <rFont val="Tahoma"/>
            <family val="2"/>
          </rPr>
          <t>Notes: Mandatory entry for clinical isolates. Additional information not included in other defined vocabulary fields, but not to include specific patient identifiers or other private information</t>
        </r>
      </text>
    </comment>
    <comment ref="B120" authorId="1">
      <text>
        <r>
          <rPr>
            <b/>
            <sz val="9"/>
            <color indexed="81"/>
            <rFont val="Franklin Gothic Book"/>
            <family val="2"/>
          </rPr>
          <t>A unique identifier by which each subject can be referred to, de-identified, e.g. #131.  [Optional.entry. Not essential for NCBI submission].</t>
        </r>
      </text>
    </comment>
    <comment ref="B122" authorId="1">
      <text>
        <r>
          <rPr>
            <b/>
            <sz val="9"/>
            <color indexed="81"/>
            <rFont val="Franklin Gothic Book"/>
            <family val="2"/>
          </rPr>
          <t>Age of host at the time of sampling. Optional entry.</t>
        </r>
      </text>
    </comment>
    <comment ref="B124" authorId="1">
      <text>
        <r>
          <rPr>
            <b/>
            <sz val="9"/>
            <color indexed="81"/>
            <rFont val="Franklin Gothic Book"/>
            <family val="2"/>
          </rPr>
          <t>Name of relevant disease, e.g. Salmonella gastroenteritis. Controlled vocabulary, http://bioportal.bioontology.org/ontologies/1009 or http://www.ncbi.nlm.nih.gov/mesh</t>
        </r>
      </text>
    </comment>
    <comment ref="D124" authorId="1">
      <text>
        <r>
          <rPr>
            <b/>
            <sz val="9"/>
            <color indexed="81"/>
            <rFont val="Franklin Gothic Book"/>
            <family val="2"/>
          </rPr>
          <t>Required for clinical or host associated isolate</t>
        </r>
      </text>
    </comment>
    <comment ref="B126" authorId="1">
      <text>
        <r>
          <rPr>
            <b/>
            <sz val="9"/>
            <color indexed="81"/>
            <rFont val="Franklin Gothic Book"/>
            <family val="2"/>
          </rPr>
          <t>Final outcome of disease, if known. e.g., death, chronic disease, recovery. Optional entry.</t>
        </r>
      </text>
    </comment>
    <comment ref="B128" authorId="1">
      <text>
        <r>
          <rPr>
            <b/>
            <sz val="9"/>
            <color indexed="81"/>
            <rFont val="Franklin Gothic Book"/>
            <family val="2"/>
          </rPr>
          <t>NCBI note: Stage of disease at the time of sampling, if known.  Optional entry.</t>
        </r>
      </text>
    </comment>
    <comment ref="B130" authorId="1">
      <text>
        <r>
          <rPr>
            <b/>
            <sz val="9"/>
            <color indexed="81"/>
            <rFont val="Franklin Gothic Book"/>
            <family val="2"/>
          </rPr>
          <t>NCBI Note: Information regarding the health state of the individual sampled at the time of sampling, if known. Optional entry.</t>
        </r>
      </text>
    </comment>
    <comment ref="B132" authorId="1">
      <text>
        <r>
          <rPr>
            <b/>
            <sz val="9"/>
            <color indexed="81"/>
            <rFont val="Franklin Gothic Book"/>
            <family val="2"/>
          </rPr>
          <t>NCBI note:  Gender or physical sex of the host, if known.
[For some animal hosts, this may likely not be known]. Optional entry.</t>
        </r>
      </text>
    </comment>
    <comment ref="B134" authorId="1">
      <text>
        <r>
          <rPr>
            <b/>
            <sz val="9"/>
            <color indexed="81"/>
            <rFont val="Franklin Gothic Book"/>
            <family val="2"/>
          </rPr>
          <t>NCBI Note:   Additional useful host information not included in other defined vocabulary fields.</t>
        </r>
      </text>
    </comment>
    <comment ref="B135" authorId="0">
      <text>
        <r>
          <rPr>
            <b/>
            <sz val="9"/>
            <color indexed="81"/>
            <rFont val="Tahoma"/>
            <family val="2"/>
          </rPr>
          <t xml:space="preserve">Notes: Describes the organization carrying out sequencing and the platform used. </t>
        </r>
      </text>
    </comment>
    <comment ref="B137" authorId="0">
      <text>
        <r>
          <rPr>
            <b/>
            <sz val="9"/>
            <color indexed="81"/>
            <rFont val="Tahoma"/>
            <family val="2"/>
          </rPr>
          <t xml:space="preserve">Notes: For example, for GRDI-FWS samples, all sequencing was carried out by the National Microbiology Laboratory. Please define as “NML”.  </t>
        </r>
      </text>
    </comment>
    <comment ref="B139" authorId="0">
      <text>
        <r>
          <rPr>
            <b/>
            <sz val="9"/>
            <color indexed="81"/>
            <rFont val="Tahoma"/>
            <family val="2"/>
          </rPr>
          <t>Notes: Defines the sequencing instrumentation and associated chemistry e.g. Illumina SBS (Illumina sequencing by synthesis), please enter if known.  Otherwise consult with the sequencing facility.</t>
        </r>
      </text>
    </comment>
    <comment ref="B140" authorId="0">
      <text>
        <r>
          <rPr>
            <b/>
            <sz val="9"/>
            <color indexed="81"/>
            <rFont val="Tahoma"/>
            <family val="2"/>
          </rPr>
          <t>Notes: Describes the habitat, season, bacterial counts and water chemistry associated with environmental isolates e.g fecal indicator bacteria number (cfu/mL) and turbidity, when such data is collected.  Terrain and biome are mandatory entries for environmental isolates.</t>
        </r>
      </text>
    </comment>
    <comment ref="B142" authorId="0">
      <text>
        <r>
          <rPr>
            <b/>
            <sz val="9"/>
            <color indexed="81"/>
            <rFont val="Tahoma"/>
            <family val="2"/>
          </rPr>
          <t>Notes: Describes the land surface e.g. desert, forest frm which the specimen was isolated, when known.  .  Mandatory entry for environmental isolates.</t>
        </r>
      </text>
    </comment>
    <comment ref="B144" authorId="1">
      <text>
        <r>
          <rPr>
            <b/>
            <sz val="9"/>
            <color indexed="81"/>
            <rFont val="Franklin Gothic Book"/>
            <family val="2"/>
          </rPr>
          <t xml:space="preserve">Describes the land use and/or ecosystem from which the specimen was isolated. Can overlap with Environmental terrain; but is broader and includes aquatic and anthropogenic habitats.  Biomes are defined based on factors such as plant structures, leaf types, plant spacing, and other factors like climate. Biome should be treated as the descriptor of the broad ecological context of a sample. 
Examples include: desert, taiga, deciduous woodland, or coral reef. EnvO (v 2013-06-14) terms can be found via the link: </t>
        </r>
        <r>
          <rPr>
            <b/>
            <u/>
            <sz val="9"/>
            <color indexed="81"/>
            <rFont val="Franklin Gothic Book"/>
            <family val="2"/>
          </rPr>
          <t>www.environmentontology.org/Browse-EnvO</t>
        </r>
        <r>
          <rPr>
            <b/>
            <sz val="9"/>
            <color indexed="81"/>
            <rFont val="Franklin Gothic Book"/>
            <family val="2"/>
          </rPr>
          <t xml:space="preserve">
Mandatory entry for environmental isolates.</t>
        </r>
      </text>
    </comment>
    <comment ref="B146" authorId="1">
      <text>
        <r>
          <rPr>
            <b/>
            <sz val="9"/>
            <color indexed="81"/>
            <rFont val="Franklin Gothic Book"/>
            <family val="2"/>
          </rPr>
          <t xml:space="preserve">Division of the year, marked by changes in weather, ecology, and hours of daylight, as experienced in North America.  Optional entry; but desirable for environmental samples. </t>
        </r>
      </text>
    </comment>
    <comment ref="B150" authorId="0">
      <text>
        <r>
          <rPr>
            <b/>
            <sz val="9"/>
            <color indexed="81"/>
            <rFont val="Tahoma"/>
            <family val="2"/>
          </rPr>
          <t xml:space="preserve">Notes: The vertical distance below local surface for the collected isolate, e.g. for sediment or soil samples depth is measured from sediment or soil surface, respectively, in metres. </t>
        </r>
      </text>
    </comment>
    <comment ref="B152" authorId="1">
      <text>
        <r>
          <rPr>
            <b/>
            <sz val="9"/>
            <color indexed="81"/>
            <rFont val="Franklin Gothic Book"/>
            <family val="2"/>
          </rPr>
          <t>Temperature of the sample (or local environment) at time of sampling.</t>
        </r>
      </text>
    </comment>
    <comment ref="B156" authorId="1">
      <text>
        <r>
          <rPr>
            <b/>
            <sz val="9"/>
            <color indexed="81"/>
            <rFont val="Franklin Gothic Book"/>
            <family val="2"/>
          </rPr>
          <t>Usually looked up in weather service for date 3 days prior to sample collection date.  Enter if known.  Otherwise enter "Not Collected".</t>
        </r>
      </text>
    </comment>
    <comment ref="B176" authorId="1">
      <text>
        <r>
          <rPr>
            <b/>
            <sz val="9"/>
            <color indexed="81"/>
            <rFont val="Franklin Gothic Book"/>
            <family val="2"/>
          </rPr>
          <t xml:space="preserve">Named substance and its concentration and units measurement for substances such as ammonia, road-salt, sea-salt, cyanide, hydrogen sulfide, thiocyanates, thiosulfates, etc.. </t>
        </r>
      </text>
    </comment>
  </commentList>
</comments>
</file>

<file path=xl/comments2.xml><?xml version="1.0" encoding="utf-8"?>
<comments xmlns="http://schemas.openxmlformats.org/spreadsheetml/2006/main">
  <authors>
    <author>Morag Graham</author>
  </authors>
  <commentList>
    <comment ref="A1" authorId="0">
      <text>
        <r>
          <rPr>
            <b/>
            <sz val="9"/>
            <color indexed="81"/>
            <rFont val="Tahoma"/>
            <family val="2"/>
          </rPr>
          <t>ITALICISED column headers will not be exported into the NCBI submission table.  
Column headers LACKING an asterisk (*) are OPTIONAL to export, but useful for internal project use.</t>
        </r>
      </text>
    </comment>
  </commentList>
</comments>
</file>

<file path=xl/connections.xml><?xml version="1.0" encoding="utf-8"?>
<connections xmlns="http://schemas.openxmlformats.org/spreadsheetml/2006/main">
  <connection id="1" name="plant_and_animal.txt" type="6" refreshedVersion="0" background="1" saveData="1">
    <textPr fileType="mac" sourceFile="Macintosh HD:Users:damion:Documents:Ontology:Food Ontology:plant_and_animal.txt">
      <textFields count="2">
        <textField/>
        <textField/>
      </textFields>
    </textPr>
  </connection>
</connections>
</file>

<file path=xl/sharedStrings.xml><?xml version="1.0" encoding="utf-8"?>
<sst xmlns="http://schemas.openxmlformats.org/spreadsheetml/2006/main" count="23699" uniqueCount="10172">
  <si>
    <t>Y</t>
  </si>
  <si>
    <t>Pathogen Isolate</t>
  </si>
  <si>
    <t>pH</t>
  </si>
  <si>
    <t>Turbidity</t>
  </si>
  <si>
    <t>millivolt</t>
  </si>
  <si>
    <t>serotype</t>
  </si>
  <si>
    <t>country</t>
  </si>
  <si>
    <t>region</t>
  </si>
  <si>
    <t>longitude</t>
  </si>
  <si>
    <t>latitude</t>
  </si>
  <si>
    <t>Vancouver</t>
  </si>
  <si>
    <t>cfu/ml</t>
  </si>
  <si>
    <t>Collection date</t>
  </si>
  <si>
    <t>Conductivity</t>
  </si>
  <si>
    <t>Redox potential</t>
  </si>
  <si>
    <t>Chicken</t>
  </si>
  <si>
    <t>Other</t>
  </si>
  <si>
    <t>Turkey</t>
  </si>
  <si>
    <t>Host_Sex</t>
  </si>
  <si>
    <t>E. coli O157:H7</t>
  </si>
  <si>
    <t>Organism</t>
  </si>
  <si>
    <t>Campylobacter</t>
  </si>
  <si>
    <t>Listeria</t>
  </si>
  <si>
    <t>Listeria monocytogenes</t>
  </si>
  <si>
    <t>Salmonella</t>
  </si>
  <si>
    <t>Primary Enzyme</t>
  </si>
  <si>
    <t>Secondary Enzyme</t>
  </si>
  <si>
    <t>E. coli non-O157:H7</t>
  </si>
  <si>
    <t>XbaI</t>
  </si>
  <si>
    <t>BlnI</t>
  </si>
  <si>
    <t>Salmonella (all)</t>
  </si>
  <si>
    <t>Listeria  ivanovii</t>
  </si>
  <si>
    <t>Listeria innocua</t>
  </si>
  <si>
    <t>Listeria seeligeri</t>
  </si>
  <si>
    <t>Campylobacter (all)</t>
  </si>
  <si>
    <t>AscI</t>
  </si>
  <si>
    <t>ApaI</t>
  </si>
  <si>
    <t>SmaI</t>
  </si>
  <si>
    <t>KpnI</t>
  </si>
  <si>
    <t>American Samoa</t>
  </si>
  <si>
    <t>Canada</t>
  </si>
  <si>
    <t>Georgia</t>
  </si>
  <si>
    <t>Guam</t>
  </si>
  <si>
    <t>Northern Mariana Islands</t>
  </si>
  <si>
    <t>Puerto Rico</t>
  </si>
  <si>
    <t>Country</t>
  </si>
  <si>
    <t>Region</t>
  </si>
  <si>
    <t>Latitude</t>
  </si>
  <si>
    <t>Longitude</t>
  </si>
  <si>
    <t>CA</t>
  </si>
  <si>
    <t>US</t>
  </si>
  <si>
    <t>British Columbia</t>
  </si>
  <si>
    <t>CA-BC</t>
  </si>
  <si>
    <t>CA-AB</t>
  </si>
  <si>
    <t>Alberta</t>
  </si>
  <si>
    <t>province</t>
  </si>
  <si>
    <t>CA-MB</t>
  </si>
  <si>
    <t>Manitoba</t>
  </si>
  <si>
    <t>CA-NB</t>
  </si>
  <si>
    <t>CA-NL</t>
  </si>
  <si>
    <t>CA-NS</t>
  </si>
  <si>
    <t>CA-ON</t>
  </si>
  <si>
    <t>Ontario</t>
  </si>
  <si>
    <t>CA-PE</t>
  </si>
  <si>
    <t>CA-QC</t>
  </si>
  <si>
    <t>CA-SK</t>
  </si>
  <si>
    <t>Saskatchewan</t>
  </si>
  <si>
    <t>CA-NT</t>
  </si>
  <si>
    <t>territory</t>
  </si>
  <si>
    <t>CA-NU</t>
  </si>
  <si>
    <t>Nunavut</t>
  </si>
  <si>
    <t>CA-YT</t>
  </si>
  <si>
    <t>Yukon</t>
  </si>
  <si>
    <t>US-AL</t>
  </si>
  <si>
    <t>state</t>
  </si>
  <si>
    <t>US-AK</t>
  </si>
  <si>
    <t>US-AZ</t>
  </si>
  <si>
    <t>US-AR</t>
  </si>
  <si>
    <t>US-CA</t>
  </si>
  <si>
    <t>US-CO</t>
  </si>
  <si>
    <t>US-CT</t>
  </si>
  <si>
    <t>US-DE</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</si>
  <si>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</si>
  <si>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</si>
  <si>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</si>
  <si>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</si>
  <si>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</si>
  <si>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</si>
  <si>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</si>
  <si>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</si>
  <si>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</si>
  <si>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</si>
  <si>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</si>
  <si>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</si>
  <si>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</si>
  <si>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</si>
  <si>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</si>
  <si>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</si>
  <si>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</si>
  <si>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</si>
  <si>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</si>
  <si>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</si>
  <si>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</si>
  <si>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</si>
  <si>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</si>
  <si>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</si>
  <si>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</si>
  <si>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</si>
  <si>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</si>
  <si>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</si>
  <si>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</si>
  <si>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</si>
  <si>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</si>
  <si>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</si>
  <si>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</si>
  <si>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</si>
  <si>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</si>
  <si>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</si>
  <si>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</si>
  <si>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</si>
  <si>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</si>
  <si>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</si>
  <si>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</si>
  <si>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</si>
  <si>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US-DC</t>
  </si>
  <si>
    <t>district</t>
  </si>
  <si>
    <t>US-AS</t>
  </si>
  <si>
    <t>outlying territory</t>
  </si>
  <si>
    <t>US-GU</t>
  </si>
  <si>
    <t>US-MP</t>
  </si>
  <si>
    <t>US-PR</t>
  </si>
  <si>
    <t>US-UM</t>
  </si>
  <si>
    <t>US-VI</t>
  </si>
  <si>
    <t>North Dakota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</si>
  <si>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</si>
  <si>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</si>
  <si>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</si>
  <si>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</si>
  <si>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</si>
  <si>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</si>
  <si>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</si>
  <si>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</si>
  <si>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</si>
  <si>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</si>
  <si>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</si>
  <si>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</si>
  <si>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</si>
  <si>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</si>
  <si>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</si>
  <si>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</si>
  <si>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</si>
  <si>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</si>
  <si>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</si>
  <si>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</si>
  <si>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</si>
  <si>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</si>
  <si>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</si>
  <si>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</si>
  <si>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</si>
  <si>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</si>
  <si>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</si>
  <si>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</si>
  <si>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</si>
  <si>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</si>
  <si>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</si>
  <si>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</si>
  <si>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</si>
  <si>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</si>
  <si>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</si>
  <si>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</si>
  <si>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</si>
  <si>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</si>
  <si>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</si>
  <si>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</si>
  <si>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</si>
  <si>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</si>
  <si>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</si>
  <si>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</si>
  <si>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</si>
  <si>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</si>
  <si>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</si>
  <si>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</si>
  <si>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District of Columbia</t>
  </si>
  <si>
    <t>United States Minor Outlying Islands</t>
  </si>
  <si>
    <t>Virgin Islands, U.S.</t>
  </si>
  <si>
    <t>Designation</t>
  </si>
  <si>
    <t>Prince Edward Island</t>
  </si>
  <si>
    <t>New Brunswick</t>
  </si>
  <si>
    <t>Newfoundland and Labrador</t>
  </si>
  <si>
    <t>Nova Scotia</t>
  </si>
  <si>
    <t>Quebec</t>
  </si>
  <si>
    <t>Northwest Territories</t>
  </si>
  <si>
    <t>ISO3166_1_alpha_2</t>
  </si>
  <si>
    <t>ISO3166_2</t>
  </si>
  <si>
    <t>?</t>
  </si>
  <si>
    <t>Postal / Zip</t>
  </si>
  <si>
    <t>Code</t>
  </si>
  <si>
    <t>Strain</t>
  </si>
  <si>
    <t>Sequencing facility</t>
  </si>
  <si>
    <t>Season classification</t>
  </si>
  <si>
    <t>Collection depth</t>
  </si>
  <si>
    <t xml:space="preserve"> </t>
  </si>
  <si>
    <t>Campylobacter jejuni</t>
  </si>
  <si>
    <t>Ontology ID</t>
  </si>
  <si>
    <t>IDO_0000531</t>
  </si>
  <si>
    <t>OBI_0001619</t>
  </si>
  <si>
    <t>IRIDA_0000027</t>
  </si>
  <si>
    <t>SIO_000767</t>
  </si>
  <si>
    <t>OBI_0001620</t>
  </si>
  <si>
    <t>OBI_0001621</t>
  </si>
  <si>
    <t>*</t>
  </si>
  <si>
    <t>Name</t>
  </si>
  <si>
    <t>NCBI_Taxonomy_Id</t>
  </si>
  <si>
    <t>Label</t>
  </si>
  <si>
    <t>Bacteroides (genus)</t>
  </si>
  <si>
    <t>fall</t>
  </si>
  <si>
    <t>winter</t>
  </si>
  <si>
    <t>spring</t>
  </si>
  <si>
    <t>summer</t>
  </si>
  <si>
    <t>Season (Enviro)</t>
  </si>
  <si>
    <t>ENVO:00010483</t>
  </si>
  <si>
    <t>gravel</t>
  </si>
  <si>
    <t>plant</t>
  </si>
  <si>
    <t>animal</t>
  </si>
  <si>
    <t>*sample_name</t>
  </si>
  <si>
    <t>description</t>
  </si>
  <si>
    <t>sample_title</t>
  </si>
  <si>
    <t>*organism</t>
  </si>
  <si>
    <t>isolate</t>
  </si>
  <si>
    <t>strain</t>
  </si>
  <si>
    <t>*collection_date</t>
  </si>
  <si>
    <t>*geo_loc_name</t>
  </si>
  <si>
    <t>*isolation_source</t>
  </si>
  <si>
    <t>*lat_lon</t>
  </si>
  <si>
    <t>culture_collection</t>
  </si>
  <si>
    <t>genotype</t>
  </si>
  <si>
    <t>pathotype</t>
  </si>
  <si>
    <t>serovar</t>
  </si>
  <si>
    <t>specimen_voucher</t>
  </si>
  <si>
    <t>subgroup</t>
  </si>
  <si>
    <t>subtype</t>
  </si>
  <si>
    <t>Description</t>
  </si>
  <si>
    <t>BioProject ID</t>
  </si>
  <si>
    <t>Convert format</t>
  </si>
  <si>
    <t xml:space="preserve">social gathering </t>
  </si>
  <si>
    <t>campground</t>
  </si>
  <si>
    <t>human (Homo Sapiens)</t>
  </si>
  <si>
    <t>animal - petting zoo</t>
  </si>
  <si>
    <t>water - pool</t>
  </si>
  <si>
    <t>water - bottled</t>
  </si>
  <si>
    <t>water - lake</t>
  </si>
  <si>
    <t>water - river</t>
  </si>
  <si>
    <t>water - ocean</t>
  </si>
  <si>
    <t>key</t>
  </si>
  <si>
    <t>vehicle</t>
  </si>
  <si>
    <t>animal, farm - porcine</t>
  </si>
  <si>
    <t>animal, farm - poultry</t>
  </si>
  <si>
    <t>animal, farm - bovine</t>
  </si>
  <si>
    <t>animal, domestic - cat</t>
  </si>
  <si>
    <t>animal, domestic - dog</t>
  </si>
  <si>
    <t>missing</t>
  </si>
  <si>
    <t>not collected</t>
  </si>
  <si>
    <t>not applicable</t>
  </si>
  <si>
    <t>Sample name</t>
  </si>
  <si>
    <t>Genotype</t>
  </si>
  <si>
    <t>Field Status</t>
  </si>
  <si>
    <t>https://submit.ncbi.nlm.nih.gov/subs/biosample/</t>
  </si>
  <si>
    <t>animal - feed (blood meal)</t>
  </si>
  <si>
    <t>animal - feed (other)</t>
  </si>
  <si>
    <t>animal - litter / cage / bedding</t>
  </si>
  <si>
    <t>plant - rinse</t>
  </si>
  <si>
    <t>See list</t>
  </si>
  <si>
    <t>Key</t>
  </si>
  <si>
    <t>Specimen voucher</t>
  </si>
  <si>
    <t>Collection code</t>
  </si>
  <si>
    <t>Sequencing Facility</t>
  </si>
  <si>
    <t>dust</t>
  </si>
  <si>
    <t>mud</t>
  </si>
  <si>
    <t>organic material</t>
  </si>
  <si>
    <t>rock</t>
  </si>
  <si>
    <t>sand</t>
  </si>
  <si>
    <t>sediment</t>
  </si>
  <si>
    <t>soil</t>
  </si>
  <si>
    <t>water</t>
  </si>
  <si>
    <t>BTO_0000000</t>
  </si>
  <si>
    <t>host_subject_id</t>
  </si>
  <si>
    <t>host_tissue_sampled</t>
  </si>
  <si>
    <t>Processing</t>
  </si>
  <si>
    <t>host_age</t>
  </si>
  <si>
    <t>host_description</t>
  </si>
  <si>
    <t>host_disease_outcome</t>
  </si>
  <si>
    <t>host_disease_stage</t>
  </si>
  <si>
    <t>host_health_state</t>
  </si>
  <si>
    <t>host_sex</t>
  </si>
  <si>
    <t>female</t>
  </si>
  <si>
    <t>neuter</t>
  </si>
  <si>
    <t>hermaphrodite</t>
  </si>
  <si>
    <t>not determined</t>
  </si>
  <si>
    <t>male</t>
  </si>
  <si>
    <t>Host sex</t>
  </si>
  <si>
    <t xml:space="preserve">pooled male and female </t>
  </si>
  <si>
    <t>Host disease stage</t>
  </si>
  <si>
    <t>Host health state</t>
  </si>
  <si>
    <t>Host disease outcome</t>
  </si>
  <si>
    <t>Host age</t>
  </si>
  <si>
    <t>Tax_Label</t>
  </si>
  <si>
    <t>animal - bird</t>
  </si>
  <si>
    <t>Aves</t>
  </si>
  <si>
    <t>Homo Sapiens</t>
  </si>
  <si>
    <t>Felis catus</t>
  </si>
  <si>
    <t>Canis lupus familiaris</t>
  </si>
  <si>
    <t>animal - horse (equine)</t>
  </si>
  <si>
    <t>Equus caballus</t>
  </si>
  <si>
    <t>Bos taurus</t>
  </si>
  <si>
    <t>Sus scrofa domesticus</t>
  </si>
  <si>
    <t>Gallus gallus</t>
  </si>
  <si>
    <t>Viridiplantae</t>
  </si>
  <si>
    <t>animal - fish</t>
  </si>
  <si>
    <t>Chordata</t>
  </si>
  <si>
    <t>Salmonella enterica</t>
  </si>
  <si>
    <t>Salmonella bongori</t>
  </si>
  <si>
    <t>Escherichia coli</t>
  </si>
  <si>
    <t>Salmonella (genus)</t>
  </si>
  <si>
    <t>Biosample Field</t>
  </si>
  <si>
    <t>BioSample Table</t>
  </si>
  <si>
    <t>After saving the Biosample table to a file, upload it by using the 'Attributes' tab of the BioSample Submission Portal at:</t>
  </si>
  <si>
    <t>#</t>
  </si>
  <si>
    <t>concentration</t>
  </si>
  <si>
    <t>1 - 14</t>
  </si>
  <si>
    <t>isolation_source_food</t>
  </si>
  <si>
    <t xml:space="preserve"> State / Province / Region</t>
  </si>
  <si>
    <t>a</t>
  </si>
  <si>
    <t>b</t>
  </si>
  <si>
    <t>c</t>
  </si>
  <si>
    <t>d</t>
  </si>
  <si>
    <t>Sample title</t>
  </si>
  <si>
    <t>Phage type</t>
  </si>
  <si>
    <t>Salmonella (DT)</t>
  </si>
  <si>
    <t>phage_type</t>
  </si>
  <si>
    <t>SG_H1_H2</t>
  </si>
  <si>
    <t>Serovar</t>
  </si>
  <si>
    <t>Serogroup</t>
  </si>
  <si>
    <t>Somatic Antigens</t>
  </si>
  <si>
    <t>H1</t>
  </si>
  <si>
    <t>H2</t>
  </si>
  <si>
    <t>Antigenic Formula</t>
  </si>
  <si>
    <t>Group</t>
  </si>
  <si>
    <t>J_z35_1,6</t>
  </si>
  <si>
    <t>Aachen</t>
  </si>
  <si>
    <t>J</t>
  </si>
  <si>
    <t>z35</t>
  </si>
  <si>
    <t>1,6</t>
  </si>
  <si>
    <t>J (17):z35:1,6</t>
  </si>
  <si>
    <t>Group O:17 (J)</t>
  </si>
  <si>
    <t>K_z4,z23_z64</t>
  </si>
  <si>
    <t>Aarhus</t>
  </si>
  <si>
    <t>K</t>
  </si>
  <si>
    <t>z4,z23</t>
  </si>
  <si>
    <t>z64</t>
  </si>
  <si>
    <t>K (18):z4,z23:z64</t>
  </si>
  <si>
    <t>Group O:18 (K)</t>
  </si>
  <si>
    <t>C2-C3_i_e,n,z15</t>
  </si>
  <si>
    <t>Aba</t>
  </si>
  <si>
    <t>C2-C3</t>
  </si>
  <si>
    <t>6,8</t>
  </si>
  <si>
    <t>i</t>
  </si>
  <si>
    <t>e,n,z15</t>
  </si>
  <si>
    <t>C2-C3 (6,8):i:e,n,z15</t>
  </si>
  <si>
    <t>Group O:8 (C2-C3)</t>
  </si>
  <si>
    <t>M_g,m_[e,n,z15]</t>
  </si>
  <si>
    <t>Abadina</t>
  </si>
  <si>
    <t>M</t>
  </si>
  <si>
    <t>g,m</t>
  </si>
  <si>
    <t>[e,n,z15]</t>
  </si>
  <si>
    <t>M (28):g,m:[e,n,z15]</t>
  </si>
  <si>
    <t>Group O:28 (M)</t>
  </si>
  <si>
    <t>F_k_1,5</t>
  </si>
  <si>
    <t>Abaetetuba</t>
  </si>
  <si>
    <t>F</t>
  </si>
  <si>
    <t>k</t>
  </si>
  <si>
    <t>1,5</t>
  </si>
  <si>
    <t>F (11):k:1,5</t>
  </si>
  <si>
    <t>Group O:11 (F)</t>
  </si>
  <si>
    <t>F_i_1,2</t>
  </si>
  <si>
    <t>Aberdeen</t>
  </si>
  <si>
    <t>1,2</t>
  </si>
  <si>
    <t>F (11):i:1,2</t>
  </si>
  <si>
    <t>Q_b_l,w</t>
  </si>
  <si>
    <t>Abidjan</t>
  </si>
  <si>
    <t>Q</t>
  </si>
  <si>
    <t>l,w</t>
  </si>
  <si>
    <t>Q (39):b:l,w</t>
  </si>
  <si>
    <t>Group O:39 (Q)</t>
  </si>
  <si>
    <t>I_l,z13,z28_z6</t>
  </si>
  <si>
    <t>Ablogame</t>
  </si>
  <si>
    <t>I</t>
  </si>
  <si>
    <t>l,z13,z28</t>
  </si>
  <si>
    <t>z6</t>
  </si>
  <si>
    <t>I (16):l,z13,z28:z6</t>
  </si>
  <si>
    <t>Group O:16 (I)</t>
  </si>
  <si>
    <t>I_i_z6</t>
  </si>
  <si>
    <t>Abobo</t>
  </si>
  <si>
    <t>I (16):i:z6</t>
  </si>
  <si>
    <t>B_b_e,n,x</t>
  </si>
  <si>
    <t>Abony</t>
  </si>
  <si>
    <t>B</t>
  </si>
  <si>
    <t>1,4,[5],12,[27]</t>
  </si>
  <si>
    <t>e,n,x</t>
  </si>
  <si>
    <t>B (1,4,[5],12,[27]):b:e,n,x</t>
  </si>
  <si>
    <t>Group O:4 (B)</t>
  </si>
  <si>
    <t>B_–_e,n,x</t>
  </si>
  <si>
    <t>Abortusequi</t>
  </si>
  <si>
    <t>4,12</t>
  </si>
  <si>
    <t>–</t>
  </si>
  <si>
    <t>B (4,12):–:e,n,x</t>
  </si>
  <si>
    <t>B_c_1,6</t>
  </si>
  <si>
    <t>Abortusovis</t>
  </si>
  <si>
    <t>B (4,12):c:1,6</t>
  </si>
  <si>
    <t>F_g,m_1,5</t>
  </si>
  <si>
    <t>Abuja</t>
  </si>
  <si>
    <t>F (11):g,m:1,5</t>
  </si>
  <si>
    <t>E4_b_z6</t>
  </si>
  <si>
    <t>Accra</t>
  </si>
  <si>
    <t>E4</t>
  </si>
  <si>
    <t>1,3,19</t>
  </si>
  <si>
    <t>E4 (1,3,19):b:z6</t>
  </si>
  <si>
    <t>Group O:1,3,19 (E4)</t>
  </si>
  <si>
    <t>D2_l,w_–</t>
  </si>
  <si>
    <t>Ackwepe</t>
  </si>
  <si>
    <t>D2</t>
  </si>
  <si>
    <t>9,46</t>
  </si>
  <si>
    <t>D2 (9,46):l,w:–</t>
  </si>
  <si>
    <t>Group O:9,46 (D2)</t>
  </si>
  <si>
    <t>E1_z4,z23_[1,7]</t>
  </si>
  <si>
    <t>Adabraka</t>
  </si>
  <si>
    <t>E1</t>
  </si>
  <si>
    <t>3,10</t>
  </si>
  <si>
    <t>[1,7]</t>
  </si>
  <si>
    <t>E1 (3,10):z4,z23:[1,7]</t>
  </si>
  <si>
    <t>Group O:3,10 (E1)</t>
  </si>
  <si>
    <t>M_k_1,6</t>
  </si>
  <si>
    <t>Adamstown</t>
  </si>
  <si>
    <t>M (28):k:1,6</t>
  </si>
  <si>
    <t>F_e,h_1,6</t>
  </si>
  <si>
    <t>Adamstua</t>
  </si>
  <si>
    <t>e,h</t>
  </si>
  <si>
    <t>F (11):e,h:1,6</t>
  </si>
  <si>
    <t>U_z10_1,5</t>
  </si>
  <si>
    <t>Adana</t>
  </si>
  <si>
    <t>U</t>
  </si>
  <si>
    <t>z10</t>
  </si>
  <si>
    <t>U (43):z10:1,5</t>
  </si>
  <si>
    <t>Group O:43 (U)</t>
  </si>
  <si>
    <t>O_f,g_–</t>
  </si>
  <si>
    <t>Adelaide</t>
  </si>
  <si>
    <t>O</t>
  </si>
  <si>
    <t>f,g</t>
  </si>
  <si>
    <t>O (35):f,g:–</t>
  </si>
  <si>
    <t>Group O:35 (O)</t>
  </si>
  <si>
    <t>I_g,m,[t]_–</t>
  </si>
  <si>
    <t>Adeoyo</t>
  </si>
  <si>
    <t>g,m,[t]</t>
  </si>
  <si>
    <t>I (16):g,m,[t]:–</t>
  </si>
  <si>
    <t>M_z38_e,n,z15</t>
  </si>
  <si>
    <t>Aderike</t>
  </si>
  <si>
    <t>z38</t>
  </si>
  <si>
    <t>M (28):z38:e,n,z15</t>
  </si>
  <si>
    <t>C1_b_1,6</t>
  </si>
  <si>
    <t>Adime</t>
  </si>
  <si>
    <t>C1</t>
  </si>
  <si>
    <t>6,7</t>
  </si>
  <si>
    <t>C1 (6,7):b:1,6</t>
  </si>
  <si>
    <t>Group O:7 (C1)</t>
  </si>
  <si>
    <t>G_r_1,6</t>
  </si>
  <si>
    <t>Adjame</t>
  </si>
  <si>
    <t>G</t>
  </si>
  <si>
    <t>13,23</t>
  </si>
  <si>
    <t>r</t>
  </si>
  <si>
    <t>G (13,23):r:1,6</t>
  </si>
  <si>
    <t>Group O:13 (G)</t>
  </si>
  <si>
    <t>C1_z4,z23_e,n,z15</t>
  </si>
  <si>
    <t>Aequatoria</t>
  </si>
  <si>
    <t>C1 (6,7):z4,z23:e,n,z15</t>
  </si>
  <si>
    <t>C2-C3_z60_1,2</t>
  </si>
  <si>
    <t>Aesch</t>
  </si>
  <si>
    <t>z60</t>
  </si>
  <si>
    <t>C2-C3 (6,8):z60:1,2</t>
  </si>
  <si>
    <t>H_l,z28_e,n,x</t>
  </si>
  <si>
    <t>Aflao</t>
  </si>
  <si>
    <t>H</t>
  </si>
  <si>
    <t>1,6,14,25</t>
  </si>
  <si>
    <t>l,z28</t>
  </si>
  <si>
    <t>H (1,6,14,25):l,z28:e,n,x</t>
  </si>
  <si>
    <t>Group O:6,14 (H)</t>
  </si>
  <si>
    <t>B_r,i_l,w</t>
  </si>
  <si>
    <t>Africana</t>
  </si>
  <si>
    <t>r,i</t>
  </si>
  <si>
    <t>B (4,12):r,i:l,w</t>
  </si>
  <si>
    <t>C1_f,g,t_e,n,x</t>
  </si>
  <si>
    <t>Afula</t>
  </si>
  <si>
    <t>f,g,t</t>
  </si>
  <si>
    <t>C1 (6,7):f,g,t:e,n,x</t>
  </si>
  <si>
    <t>B_i_1,6</t>
  </si>
  <si>
    <t>Agama</t>
  </si>
  <si>
    <t>B (4,12):i:1,6</t>
  </si>
  <si>
    <t>I_i_1,6</t>
  </si>
  <si>
    <t>Agbara</t>
  </si>
  <si>
    <t>I (16):i:1,6</t>
  </si>
  <si>
    <t>G_g,m,[s],[t_] –</t>
  </si>
  <si>
    <t>Agbeni</t>
  </si>
  <si>
    <t>1,13,23</t>
  </si>
  <si>
    <t>g,m,[s],[t</t>
  </si>
  <si>
    <t>] –</t>
  </si>
  <si>
    <t>G (1,13,23):g,m,[s],[t:] –</t>
  </si>
  <si>
    <t>E1_c_e,n,z15</t>
  </si>
  <si>
    <t>Agege</t>
  </si>
  <si>
    <t>E1 (3,10):c:e,n,z15</t>
  </si>
  <si>
    <t>N_z38_–</t>
  </si>
  <si>
    <t>Ago</t>
  </si>
  <si>
    <t>N</t>
  </si>
  <si>
    <t>N (30):z38:–</t>
  </si>
  <si>
    <t>Group O:30 (N)</t>
  </si>
  <si>
    <t>O_g,t_–</t>
  </si>
  <si>
    <t>Agodi</t>
  </si>
  <si>
    <t>g,t</t>
  </si>
  <si>
    <t>O (35):g,t:–</t>
  </si>
  <si>
    <t>B_f,g,s_[1,2]</t>
  </si>
  <si>
    <t>Agona</t>
  </si>
  <si>
    <t>1,4,[5],12</t>
  </si>
  <si>
    <t>f,g,s</t>
  </si>
  <si>
    <t>[1,2]</t>
  </si>
  <si>
    <t>B (1,4,[5],12):f,g,s:[1,2]</t>
  </si>
  <si>
    <t>G_z29_–</t>
  </si>
  <si>
    <t>Agoueve</t>
  </si>
  <si>
    <t>13,22</t>
  </si>
  <si>
    <t>z29</t>
  </si>
  <si>
    <t>G (13,22):z29:–</t>
  </si>
  <si>
    <t>J_i_1,7</t>
  </si>
  <si>
    <t>Ahanou</t>
  </si>
  <si>
    <t>1,7</t>
  </si>
  <si>
    <t>J (17):i:1,7</t>
  </si>
  <si>
    <t>U_z35_1,6</t>
  </si>
  <si>
    <t>Ahepe</t>
  </si>
  <si>
    <t>U (43):z35:1,6</t>
  </si>
  <si>
    <t>E4_d_1,5</t>
  </si>
  <si>
    <t>Ahmadi</t>
  </si>
  <si>
    <t>E4 (1,3,19):d:1,5</t>
  </si>
  <si>
    <t>S_z35_1,6</t>
  </si>
  <si>
    <t>Ahoutoue</t>
  </si>
  <si>
    <t>S</t>
  </si>
  <si>
    <t>S (41):z35:1,6</t>
  </si>
  <si>
    <t>Group O:41 (S)</t>
  </si>
  <si>
    <t>U_k_1,5</t>
  </si>
  <si>
    <t>Ahuza</t>
  </si>
  <si>
    <t>U (43):k:1,5</t>
  </si>
  <si>
    <t>G_z4,z23_–</t>
  </si>
  <si>
    <t>Ajiobo</t>
  </si>
  <si>
    <t>G (13,23):z4,z23:–</t>
  </si>
  <si>
    <t>C2-C3_r_1,7</t>
  </si>
  <si>
    <t>Akanji</t>
  </si>
  <si>
    <t>C2-C3 (6,8):r:1,7</t>
  </si>
  <si>
    <t>I_y_1,6</t>
  </si>
  <si>
    <t>Akuafo</t>
  </si>
  <si>
    <t>y</t>
  </si>
  <si>
    <t>I (16):y:1,6</t>
  </si>
  <si>
    <t>D1_c_e,n,z15</t>
  </si>
  <si>
    <t>D1</t>
  </si>
  <si>
    <t>9,12</t>
  </si>
  <si>
    <t>D1 (9,12):c:e,n,z15</t>
  </si>
  <si>
    <t>Group O:9 (D1)</t>
  </si>
  <si>
    <t>O_z4,z23_–</t>
  </si>
  <si>
    <t>Alachua</t>
  </si>
  <si>
    <t>O (35):z4,z23:–</t>
  </si>
  <si>
    <t>C2-C3_y_1,7</t>
  </si>
  <si>
    <t>Alagbon</t>
  </si>
  <si>
    <t>8,20</t>
  </si>
  <si>
    <t>C2-C3 (8,20):y:1,7</t>
  </si>
  <si>
    <t>C1_g,z51_1,5</t>
  </si>
  <si>
    <t>Alamo</t>
  </si>
  <si>
    <t>g,z51</t>
  </si>
  <si>
    <t>C1 (6,7):g,z51:1,5</t>
  </si>
  <si>
    <t>C2-C3_z4,z24_–</t>
  </si>
  <si>
    <t>Albany</t>
  </si>
  <si>
    <t>z4,z24</t>
  </si>
  <si>
    <t>C2-C3 (8,20):z4,z24:–</t>
  </si>
  <si>
    <t>B_z10_e,n,x</t>
  </si>
  <si>
    <t>Albert</t>
  </si>
  <si>
    <t>B (4,12):z10:e,n,x</t>
  </si>
  <si>
    <t>V_r_1,5</t>
  </si>
  <si>
    <t>Albertbanjul</t>
  </si>
  <si>
    <t>V</t>
  </si>
  <si>
    <t>V (44):r:1,5</t>
  </si>
  <si>
    <t>Group O:44 (V)</t>
  </si>
  <si>
    <t>E1_z38_1,6</t>
  </si>
  <si>
    <t>Albertslund</t>
  </si>
  <si>
    <t>E1 (3,10):z38:1,6</t>
  </si>
  <si>
    <t>H_d_z6</t>
  </si>
  <si>
    <t>Albuquerque</t>
  </si>
  <si>
    <t>1,6,14,24</t>
  </si>
  <si>
    <t>H (1,6,14,24):d:z6</t>
  </si>
  <si>
    <t>X_z38_–</t>
  </si>
  <si>
    <t>Alexanderplatz</t>
  </si>
  <si>
    <t>X</t>
  </si>
  <si>
    <t>X (47):z38:–</t>
  </si>
  <si>
    <t>Group O:47 (X)</t>
  </si>
  <si>
    <t>C2-C3_c_l,w</t>
  </si>
  <si>
    <t>Alexanderpolde</t>
  </si>
  <si>
    <t>r 8</t>
  </si>
  <si>
    <t>C2-C3 (r 8):c:l,w</t>
  </si>
  <si>
    <t>E1_f,g_e,n,x</t>
  </si>
  <si>
    <t>Alfort</t>
  </si>
  <si>
    <t>E1 (3,10):f,g:e,n,x</t>
  </si>
  <si>
    <t>P_l,v_1,2</t>
  </si>
  <si>
    <t>Alger</t>
  </si>
  <si>
    <t>P</t>
  </si>
  <si>
    <t>l,v</t>
  </si>
  <si>
    <t>P (38):l,v:1,2</t>
  </si>
  <si>
    <t>Group O:38 (P)</t>
  </si>
  <si>
    <t>E4_a_l,w</t>
  </si>
  <si>
    <t>Alkmaar</t>
  </si>
  <si>
    <t>E4 (1,3,19):a:l,w</t>
  </si>
  <si>
    <t>R_k_1,6</t>
  </si>
  <si>
    <t>Allandale</t>
  </si>
  <si>
    <t>R</t>
  </si>
  <si>
    <t>1,40</t>
  </si>
  <si>
    <t>R (1,40):k:1,6</t>
  </si>
  <si>
    <t>Group O:40 (R)</t>
  </si>
  <si>
    <t>E1_b_1,6</t>
  </si>
  <si>
    <t>Allerton</t>
  </si>
  <si>
    <t>E1 (3,10):b:1,6</t>
  </si>
  <si>
    <t>Q_i_e,n,z15</t>
  </si>
  <si>
    <t>Alma</t>
  </si>
  <si>
    <t>Q (39):i:e,n,z15</t>
  </si>
  <si>
    <t>C2-C3_g,s,t_–</t>
  </si>
  <si>
    <t>Alminko</t>
  </si>
  <si>
    <t>g,s,t</t>
  </si>
  <si>
    <t>C2-C3 (8,20):g,s,t:–</t>
  </si>
  <si>
    <t>H_l,v_e,n,z15</t>
  </si>
  <si>
    <t>Alpenquai</t>
  </si>
  <si>
    <t>6,14</t>
  </si>
  <si>
    <t>H (6,14):l,v:e,n,z15</t>
  </si>
  <si>
    <t>B_c_1,7</t>
  </si>
  <si>
    <t>Altendorf</t>
  </si>
  <si>
    <t>4,12,[27]</t>
  </si>
  <si>
    <t>B (4,12,[27]):c:1,7</t>
  </si>
  <si>
    <t>C2-C3_r,[i]_z6</t>
  </si>
  <si>
    <t>Altona</t>
  </si>
  <si>
    <t>r,[i]</t>
  </si>
  <si>
    <t>C2-C3 (8,20):r,[i]:z6</t>
  </si>
  <si>
    <t>E1_y_1,2</t>
  </si>
  <si>
    <t>Amager</t>
  </si>
  <si>
    <t>3,{10}{15}</t>
  </si>
  <si>
    <t>E1 (3,{10}{15}):y:1,2</t>
  </si>
  <si>
    <t>F_k_l,z13,z28</t>
  </si>
  <si>
    <t>Amba</t>
  </si>
  <si>
    <t>F (11):k:l,z13,z28</t>
  </si>
  <si>
    <t>H_l,v_1,7</t>
  </si>
  <si>
    <t>Amberg</t>
  </si>
  <si>
    <t>6,14,24</t>
  </si>
  <si>
    <t>H (6,14,24):l,v:1,7</t>
  </si>
  <si>
    <t>C1_d_e,n,x</t>
  </si>
  <si>
    <t>Amersfoort</t>
  </si>
  <si>
    <t>6,7,14</t>
  </si>
  <si>
    <t>C1 (6,7,14):d:e,n,x</t>
  </si>
  <si>
    <t>C2-C3_l,v_1,6</t>
  </si>
  <si>
    <t>Amherstiana</t>
  </si>
  <si>
    <t>C2-C3 (8):l,v:1,6</t>
  </si>
  <si>
    <t>I_i_1,5</t>
  </si>
  <si>
    <t>Amina</t>
  </si>
  <si>
    <t>I (16):i:1,5</t>
  </si>
  <si>
    <t>E1_a_1,2</t>
  </si>
  <si>
    <t>Aminatu</t>
  </si>
  <si>
    <t>E1 (3,10):a:1,2</t>
  </si>
  <si>
    <t>E1_i_1,5</t>
  </si>
  <si>
    <t>Amounderness</t>
  </si>
  <si>
    <t>E1 (3,10):i:1,5</t>
  </si>
  <si>
    <t>M_d_1,5</t>
  </si>
  <si>
    <t>Amoutive</t>
  </si>
  <si>
    <t>M (28):d:1,5</t>
  </si>
  <si>
    <t>E1_,34} g,m,s_–</t>
  </si>
  <si>
    <t>Amsterdam</t>
  </si>
  <si>
    <t>3,{10}{15}{15</t>
  </si>
  <si>
    <t>,34} g,m,s</t>
  </si>
  <si>
    <t>E1 (3,{10}{15}{15):,34} g,m,s:–</t>
  </si>
  <si>
    <t>I_a_1,6</t>
  </si>
  <si>
    <t>Amunigun</t>
  </si>
  <si>
    <t>I (16):a:1,6</t>
  </si>
  <si>
    <t>E1_,34} e,h_1,6</t>
  </si>
  <si>
    <t>Anatum</t>
  </si>
  <si>
    <t>,34} e,h</t>
  </si>
  <si>
    <t>E1 (3,{10}{15}{15):,34} e,h:1,6</t>
  </si>
  <si>
    <t>E1_c_l,w</t>
  </si>
  <si>
    <t>Anderlecht</t>
  </si>
  <si>
    <t>E1 (3,10):c:l,w</t>
  </si>
  <si>
    <t>O_g,s,t_–</t>
  </si>
  <si>
    <t>Anecho</t>
  </si>
  <si>
    <t>O (35):g,s,t:–</t>
  </si>
  <si>
    <t>Q_y_1,2</t>
  </si>
  <si>
    <t>Anfo</t>
  </si>
  <si>
    <t>Q (39):y:1,2</t>
  </si>
  <si>
    <t>C2-C3_z35_z6</t>
  </si>
  <si>
    <t>Angers</t>
  </si>
  <si>
    <t>C2-C3 (8,20):z35:z6</t>
  </si>
  <si>
    <t>N_k_e,n,x</t>
  </si>
  <si>
    <t>Angoda</t>
  </si>
  <si>
    <t>N (30):k:e,n,x</t>
  </si>
  <si>
    <t>I_z10_z6</t>
  </si>
  <si>
    <t>Angouleme</t>
  </si>
  <si>
    <t>I (16):z10:z6</t>
  </si>
  <si>
    <t>M_k_e,n,z15</t>
  </si>
  <si>
    <t>Ank</t>
  </si>
  <si>
    <t>M (28):k:e,n,z15</t>
  </si>
  <si>
    <t>G_z35_e,n,z15</t>
  </si>
  <si>
    <t>Anna</t>
  </si>
  <si>
    <t>G (13,23):z35:e,n,z15</t>
  </si>
  <si>
    <t>I_r,i_e,n,x</t>
  </si>
  <si>
    <t>Annedal</t>
  </si>
  <si>
    <t>I (16):r,i:e,n,x</t>
  </si>
  <si>
    <t>D1_g,z63_–</t>
  </si>
  <si>
    <t>Antarctica</t>
  </si>
  <si>
    <t>g,z63</t>
  </si>
  <si>
    <t>D1 (9,12):g,z63:–</t>
  </si>
  <si>
    <t>57_a_z6</t>
  </si>
  <si>
    <t>Antonio</t>
  </si>
  <si>
    <t>57 (57):a:z6</t>
  </si>
  <si>
    <t>Group O:57</t>
  </si>
  <si>
    <t>51_z_1,5</t>
  </si>
  <si>
    <t>Antsalova</t>
  </si>
  <si>
    <t>z</t>
  </si>
  <si>
    <t>51 (51):z:1,5</t>
  </si>
  <si>
    <t>Group O:51</t>
  </si>
  <si>
    <t>T_c_e,n,z15</t>
  </si>
  <si>
    <t>Antwerpen</t>
  </si>
  <si>
    <t>T</t>
  </si>
  <si>
    <t>1,42</t>
  </si>
  <si>
    <t>T (1,42):c:e,n,z15</t>
  </si>
  <si>
    <t>Group O:42 (T)</t>
  </si>
  <si>
    <t>W_m,t_–</t>
  </si>
  <si>
    <t>Apapa</t>
  </si>
  <si>
    <t>W</t>
  </si>
  <si>
    <t>m,t</t>
  </si>
  <si>
    <t>W (45):m,t:–</t>
  </si>
  <si>
    <t>Group O:45 (W)</t>
  </si>
  <si>
    <t>C2-C3_z38_–</t>
  </si>
  <si>
    <t>Apeyeme</t>
  </si>
  <si>
    <t>C2-C3 (8,20):z38:–</t>
  </si>
  <si>
    <t>W_z10_–</t>
  </si>
  <si>
    <t>Aprad</t>
  </si>
  <si>
    <t>W (45):z10:–</t>
  </si>
  <si>
    <t>N_k_1,6</t>
  </si>
  <si>
    <t>Aqua</t>
  </si>
  <si>
    <t>N (30):k:1,6</t>
  </si>
  <si>
    <t>N_z29_–</t>
  </si>
  <si>
    <t>Aragua</t>
  </si>
  <si>
    <t>N (30):z29:–</t>
  </si>
  <si>
    <t>H_z4,z23_1,5</t>
  </si>
  <si>
    <t>Arapahoe</t>
  </si>
  <si>
    <t>H (6,14):z4,z23:1,5</t>
  </si>
  <si>
    <t>B_a_1,7</t>
  </si>
  <si>
    <t>Arechavaleta</t>
  </si>
  <si>
    <t>4,[5],12</t>
  </si>
  <si>
    <t>B (4,[5],12):a:1,7</t>
  </si>
  <si>
    <t>D2_c_1,7</t>
  </si>
  <si>
    <t>Argenteuil</t>
  </si>
  <si>
    <t>1,9,46</t>
  </si>
  <si>
    <t>D2 (1,9,46):c:1,7</t>
  </si>
  <si>
    <t>U_z_e,n,z15</t>
  </si>
  <si>
    <t>Arusha</t>
  </si>
  <si>
    <t>U (43):z:e,n,z15</t>
  </si>
  <si>
    <t>N_b_1,5</t>
  </si>
  <si>
    <t>Aschersleben</t>
  </si>
  <si>
    <t>N (30):b:1,5</t>
  </si>
  <si>
    <t>M_b_1,6</t>
  </si>
  <si>
    <t>Ashanti</t>
  </si>
  <si>
    <t>M (28):b:1,6</t>
  </si>
  <si>
    <t>L_a_[1,5]</t>
  </si>
  <si>
    <t>Assen</t>
  </si>
  <si>
    <t>L</t>
  </si>
  <si>
    <t>[1,5]</t>
  </si>
  <si>
    <t>L (21):a:[1,5]</t>
  </si>
  <si>
    <t>Group O:21 (L)</t>
  </si>
  <si>
    <t>E1_l,w_z6</t>
  </si>
  <si>
    <t>Assinie</t>
  </si>
  <si>
    <t>E1 (3,10):l,w:z6</t>
  </si>
  <si>
    <t>I_e,h_1,6</t>
  </si>
  <si>
    <t>Astridplein</t>
  </si>
  <si>
    <t>I (16):e,h:1,6</t>
  </si>
  <si>
    <t>E1_c_1,2</t>
  </si>
  <si>
    <t>Asylanta</t>
  </si>
  <si>
    <t>E1 (3,10):c:1,2</t>
  </si>
  <si>
    <t>C2-C3_e,h_1,7</t>
  </si>
  <si>
    <t>Atakpame</t>
  </si>
  <si>
    <t>C2-C3 (8,20):e,h:1,7</t>
  </si>
  <si>
    <t>F_b_1,2</t>
  </si>
  <si>
    <t>Atento</t>
  </si>
  <si>
    <t>F (11):b:1,2</t>
  </si>
  <si>
    <t>R_g,m,s_e,n,x</t>
  </si>
  <si>
    <t>Athens</t>
  </si>
  <si>
    <t>g,m,s</t>
  </si>
  <si>
    <t>R (1,40):g,m,s:e,n,x</t>
  </si>
  <si>
    <t>C1_i_e,n,z15</t>
  </si>
  <si>
    <t>Athinai</t>
  </si>
  <si>
    <t>C1 (6,7):i:e,n,z15</t>
  </si>
  <si>
    <t>F_d_1,2</t>
  </si>
  <si>
    <t>Ati</t>
  </si>
  <si>
    <t>F (11):d:1,2</t>
  </si>
  <si>
    <t>C1_i_1,2</t>
  </si>
  <si>
    <t>Augustenborg</t>
  </si>
  <si>
    <t>C1 (6,7,14):i:1,2</t>
  </si>
  <si>
    <t>D1_z_e,n,z15</t>
  </si>
  <si>
    <t>Aurelianis</t>
  </si>
  <si>
    <t>D1 (9,12):z:e,n,z15</t>
  </si>
  <si>
    <t>C1_a_1,7</t>
  </si>
  <si>
    <t>Austin</t>
  </si>
  <si>
    <t>C1 (6,7):a:1,7</t>
  </si>
  <si>
    <t>Y_l,v_1,5</t>
  </si>
  <si>
    <t>Australia</t>
  </si>
  <si>
    <t>Y (48):l,v:1,5</t>
  </si>
  <si>
    <t>Group O:48 (Y)1</t>
  </si>
  <si>
    <t>I_y_e,n,z15</t>
  </si>
  <si>
    <t>Avignon</t>
  </si>
  <si>
    <t>I (16):y:e,n,z15</t>
  </si>
  <si>
    <t>E4_i_e,n,z15</t>
  </si>
  <si>
    <t>Avonmouth</t>
  </si>
  <si>
    <t>E4 (1,3,19):i:e,n,z15</t>
  </si>
  <si>
    <t>I_z4,z23_z6</t>
  </si>
  <si>
    <t>Axim</t>
  </si>
  <si>
    <t>I (16):z4,z23:z6</t>
  </si>
  <si>
    <t>B_d_z6</t>
  </si>
  <si>
    <t>Ayinde</t>
  </si>
  <si>
    <t>1,4,12,27</t>
  </si>
  <si>
    <t>B (1,4,12,27):d:z6</t>
  </si>
  <si>
    <t>B_l,w_z6</t>
  </si>
  <si>
    <t>Ayton</t>
  </si>
  <si>
    <t>B (1,4,12,27):l,w:z6</t>
  </si>
  <si>
    <t>B_ l,v_1,5</t>
  </si>
  <si>
    <t>Azteca</t>
  </si>
  <si>
    <t>4,[5],12,[27]</t>
  </si>
  <si>
    <t xml:space="preserve"> l,v</t>
  </si>
  <si>
    <t>B (4,[5],12,[27]): l,v:1,5</t>
  </si>
  <si>
    <t>M_z4,z23_[e,n,z15]</t>
  </si>
  <si>
    <t>Babelsberg</t>
  </si>
  <si>
    <t>M (28):z4,z23:[e,n,z15]</t>
  </si>
  <si>
    <t>M_z35_1,7</t>
  </si>
  <si>
    <t>Babili</t>
  </si>
  <si>
    <t>M (28):z35:1,7</t>
  </si>
  <si>
    <t>I_z10_1,5</t>
  </si>
  <si>
    <t>Badagry</t>
  </si>
  <si>
    <t>I (16):z10:1,5</t>
  </si>
  <si>
    <t>L_z4,z23_–</t>
  </si>
  <si>
    <t>Baguida</t>
  </si>
  <si>
    <t>L (21):z4,z23:–</t>
  </si>
  <si>
    <t>N_y_e,n,x</t>
  </si>
  <si>
    <t>Baguirmi</t>
  </si>
  <si>
    <t>N (30):y:e,n,x</t>
  </si>
  <si>
    <t>G_b_e,n,z15</t>
  </si>
  <si>
    <t>Bahati</t>
  </si>
  <si>
    <t>G (13,22):b:e,n,z15</t>
  </si>
  <si>
    <t>H_e,h_1,5</t>
  </si>
  <si>
    <t>Bahrenfeld</t>
  </si>
  <si>
    <t>6,14,[24]</t>
  </si>
  <si>
    <t>H (6,14,[24]):e,h:1,5</t>
  </si>
  <si>
    <t>C1_k_1,7</t>
  </si>
  <si>
    <t>Baiboukoum</t>
  </si>
  <si>
    <t>C1 (6,7):k:1,7</t>
  </si>
  <si>
    <t>D2_a_e,n,x</t>
  </si>
  <si>
    <t>Baildon</t>
  </si>
  <si>
    <t>D2 (9,46):a:e,n,x</t>
  </si>
  <si>
    <t>M_a_1,7</t>
  </si>
  <si>
    <t>Bakau</t>
  </si>
  <si>
    <t>M (28):a:1,7</t>
  </si>
  <si>
    <t>W_z36_–</t>
  </si>
  <si>
    <t>Balcones</t>
  </si>
  <si>
    <t>z36</t>
  </si>
  <si>
    <t>W (45):z36:–</t>
  </si>
  <si>
    <t>B_ y_e,n,x</t>
  </si>
  <si>
    <t>Ball</t>
  </si>
  <si>
    <t xml:space="preserve"> y</t>
  </si>
  <si>
    <t>B (1,4,[5],12,[27]): y:e,n,x</t>
  </si>
  <si>
    <t>J_m,t_–</t>
  </si>
  <si>
    <t>Bama</t>
  </si>
  <si>
    <t>J (17):m,t:–</t>
  </si>
  <si>
    <t>D2_b_l,w</t>
  </si>
  <si>
    <t>Bamboye</t>
  </si>
  <si>
    <t>D2 (9,46):b:l,w</t>
  </si>
  <si>
    <t>D2_z_e,n,z15</t>
  </si>
  <si>
    <t>Bambylor</t>
  </si>
  <si>
    <t>D2 (9,46):z:e,n,z15</t>
  </si>
  <si>
    <t>C2-C3_b_z6</t>
  </si>
  <si>
    <t>Banalia</t>
  </si>
  <si>
    <t>C2-C3 (6,8):b:z6</t>
  </si>
  <si>
    <t>B_m,t_[1,5]</t>
  </si>
  <si>
    <t>Banana</t>
  </si>
  <si>
    <t>B (1,4,[5],12):m,t:[1,5]</t>
  </si>
  <si>
    <t>M_r,i_1,7</t>
  </si>
  <si>
    <t>Banco</t>
  </si>
  <si>
    <t>M (28):r,i:1,7</t>
  </si>
  <si>
    <t>O_i_l,w</t>
  </si>
  <si>
    <t>Bandia</t>
  </si>
  <si>
    <t>O (35):i:l,w</t>
  </si>
  <si>
    <t>J_k_1,6</t>
  </si>
  <si>
    <t>Bandim</t>
  </si>
  <si>
    <t>J (17):k:1,6</t>
  </si>
  <si>
    <t>P_z4,z24_–</t>
  </si>
  <si>
    <t>Bangkok</t>
  </si>
  <si>
    <t>P (38):z4,z24:–</t>
  </si>
  <si>
    <t>D1_d_e,n,z15</t>
  </si>
  <si>
    <t>Bangui</t>
  </si>
  <si>
    <t>D1 (9,12):d:e,n,z15</t>
  </si>
  <si>
    <t>H_a_e,n,z15</t>
  </si>
  <si>
    <t>Banjul</t>
  </si>
  <si>
    <t>H (1,6,14,25):a:e,n,z15</t>
  </si>
  <si>
    <t>C2-C3_e,h_1,2</t>
  </si>
  <si>
    <t>Bardo</t>
  </si>
  <si>
    <t>C2-C3 (8):e,h:1,2</t>
  </si>
  <si>
    <t>C1_y_1,5</t>
  </si>
  <si>
    <t>Bareilly</t>
  </si>
  <si>
    <t>C1 (6,7,14):y:1,5</t>
  </si>
  <si>
    <t>C2-C3_i_1,5</t>
  </si>
  <si>
    <t>Bargny</t>
  </si>
  <si>
    <t>C2-C3 (8,20):i:1,5</t>
  </si>
  <si>
    <t>I_d_z6</t>
  </si>
  <si>
    <t>Barmbek</t>
  </si>
  <si>
    <t>I (16):d:z6</t>
  </si>
  <si>
    <t>I_d_e,n,x</t>
  </si>
  <si>
    <t>Barranquilla</t>
  </si>
  <si>
    <t>I (16):d:e,n,x</t>
  </si>
  <si>
    <t>54_z10_e,n,z15</t>
  </si>
  <si>
    <t>Barry</t>
  </si>
  <si>
    <t>54 (54):z10:e,n,z15</t>
  </si>
  <si>
    <t>Group O:54</t>
  </si>
  <si>
    <t>D2_z35_e,n,z15</t>
  </si>
  <si>
    <t>Basingstoke</t>
  </si>
  <si>
    <t>D2 (9,46):z35:e,n,z15</t>
  </si>
  <si>
    <t>C2-C3_m,t_–</t>
  </si>
  <si>
    <t>Bassa</t>
  </si>
  <si>
    <t>C2-C3 (6,8):m,t:–</t>
  </si>
  <si>
    <t>M_r_1,6</t>
  </si>
  <si>
    <t>Bassadji</t>
  </si>
  <si>
    <t>M (28):r:1,6</t>
  </si>
  <si>
    <t>D1_b_1,7</t>
  </si>
  <si>
    <t>Bata</t>
  </si>
  <si>
    <t>D1 (9,12):b:1,7</t>
  </si>
  <si>
    <t>57_b_e,n,z15</t>
  </si>
  <si>
    <t>Batonrouge</t>
  </si>
  <si>
    <t>57 (57):b:e,n,z15</t>
  </si>
  <si>
    <t>I_l,z13,z28_1,6</t>
  </si>
  <si>
    <t>Battle</t>
  </si>
  <si>
    <t>I (16):l,z13,z28:1,6</t>
  </si>
  <si>
    <t>C2-C3_z10_1,2</t>
  </si>
  <si>
    <t>Bazenheid</t>
  </si>
  <si>
    <t>C2-C3 (8,20):z10:1,2</t>
  </si>
  <si>
    <t>C2-C3_a_[z6]</t>
  </si>
  <si>
    <t>Be</t>
  </si>
  <si>
    <t>[z6]</t>
  </si>
  <si>
    <t>C2-C3 (8,20):a:[z6]</t>
  </si>
  <si>
    <t>H_e,h_1,7</t>
  </si>
  <si>
    <t>Beaudesert</t>
  </si>
  <si>
    <t>[1],6,14,[25]</t>
  </si>
  <si>
    <t>H ([1],6,14,[25]):e,h:1,7</t>
  </si>
  <si>
    <t>E4_l,z13,z28_e,n,z15</t>
  </si>
  <si>
    <t>Bedford</t>
  </si>
  <si>
    <t>E4 (1,3,19):l,z13,z28:e,n,z15</t>
  </si>
  <si>
    <t>C2-C3_c_e,n,x</t>
  </si>
  <si>
    <t>Belem</t>
  </si>
  <si>
    <t>C2-C3 (6,8):c:e,n,x</t>
  </si>
  <si>
    <t>C2-C3_c_1,7</t>
  </si>
  <si>
    <t>Belfast</t>
  </si>
  <si>
    <t>C2-C3 (6,8):c:1,7</t>
  </si>
  <si>
    <t>C2-C3_z4,z23_1,7</t>
  </si>
  <si>
    <t>Bellevue</t>
  </si>
  <si>
    <t>C2-C3 (8):z4,z23:1,7</t>
  </si>
  <si>
    <t>E1_b_e,n,x</t>
  </si>
  <si>
    <t>Benfica</t>
  </si>
  <si>
    <t>E1 (3,10):b:e,n,x</t>
  </si>
  <si>
    <t>R_b_z6</t>
  </si>
  <si>
    <t>Benguella</t>
  </si>
  <si>
    <t>R (40):b:z6</t>
  </si>
  <si>
    <t>D2_y_1,7</t>
  </si>
  <si>
    <t>Benin</t>
  </si>
  <si>
    <t>D2 (9,46):y:1,7</t>
  </si>
  <si>
    <t>C2-C3_y_l,w</t>
  </si>
  <si>
    <t>Benue</t>
  </si>
  <si>
    <t>C2-C3 (6,8):y:l,w</t>
  </si>
  <si>
    <t>X_z4,z23_z6</t>
  </si>
  <si>
    <t>Bere</t>
  </si>
  <si>
    <t>X (47):z4,z23:z6</t>
  </si>
  <si>
    <t>D2_e,h_1,2</t>
  </si>
  <si>
    <t>Bergedorf</t>
  </si>
  <si>
    <t>D2 (9,46):e,h:1,2</t>
  </si>
  <si>
    <t>X_i_e,n,z15</t>
  </si>
  <si>
    <t>Bergen</t>
  </si>
  <si>
    <t>X (47):i:e,n,z15</t>
  </si>
  <si>
    <t>51_z10_1,5</t>
  </si>
  <si>
    <t>Bergues</t>
  </si>
  <si>
    <t>51 (51):z10:1,5</t>
  </si>
  <si>
    <t>U_a_1,5</t>
  </si>
  <si>
    <t>Berkeley</t>
  </si>
  <si>
    <t>U (43):a:1,5</t>
  </si>
  <si>
    <t>J_d_1,5</t>
  </si>
  <si>
    <t>Berlin</t>
  </si>
  <si>
    <t>J (17):d:1,5</t>
  </si>
  <si>
    <t>D1_[f],g,[t]_–</t>
  </si>
  <si>
    <t>Berta</t>
  </si>
  <si>
    <t>1,9,12</t>
  </si>
  <si>
    <t>[f],g,[t]</t>
  </si>
  <si>
    <t>D1 (1,9,12):[f],g,[t]:–</t>
  </si>
  <si>
    <t>E1_i_e,n,x</t>
  </si>
  <si>
    <t>Bessi</t>
  </si>
  <si>
    <t>E1 (3,10):i:e,n,x</t>
  </si>
  <si>
    <t>E4_k_1,7</t>
  </si>
  <si>
    <t>Bethune</t>
  </si>
  <si>
    <t>E4 (1,3,19):k:1,7</t>
  </si>
  <si>
    <t>E1_z10_z6</t>
  </si>
  <si>
    <t>Biafra</t>
  </si>
  <si>
    <t>E1 (3,10):z10:z6</t>
  </si>
  <si>
    <t>E4_c_1,6</t>
  </si>
  <si>
    <t>Bida</t>
  </si>
  <si>
    <t>E4 (1,3,19):c:1,6</t>
  </si>
  <si>
    <t>N_y_1,5</t>
  </si>
  <si>
    <t>Bietri</t>
  </si>
  <si>
    <t>N (30):y:1,5</t>
  </si>
  <si>
    <t>J_b_e,n,z15</t>
  </si>
  <si>
    <t>Bignona</t>
  </si>
  <si>
    <t>J (17):b:e,n,z15</t>
  </si>
  <si>
    <t>R_g,m_–</t>
  </si>
  <si>
    <t>Bijlmer</t>
  </si>
  <si>
    <t>R (1,40):g,m:–</t>
  </si>
  <si>
    <t>E4_f,g,t_1,(2),7</t>
  </si>
  <si>
    <t>Bilu</t>
  </si>
  <si>
    <t>1,3,10,19</t>
  </si>
  <si>
    <t>1,(2),7</t>
  </si>
  <si>
    <t>E4 (1,3,10,19):f,g,t:1,(2),7</t>
  </si>
  <si>
    <t>X_z4,z23_l,w</t>
  </si>
  <si>
    <t>Binche</t>
  </si>
  <si>
    <t>X (47):z4,z23:l,w</t>
  </si>
  <si>
    <t>X_z35_e,n,z15</t>
  </si>
  <si>
    <t>Bingerville</t>
  </si>
  <si>
    <t>X (47):z35:e,n,z15</t>
  </si>
  <si>
    <t>W_g,s,t_–</t>
  </si>
  <si>
    <t>Binningen</t>
  </si>
  <si>
    <t>W (45):g,s,t:–</t>
  </si>
  <si>
    <t>C1_c_1,6</t>
  </si>
  <si>
    <t>Birkenhead</t>
  </si>
  <si>
    <t>C1 (6,7):c:1,6</t>
  </si>
  <si>
    <t>E1_d_l,w</t>
  </si>
  <si>
    <t>Birmingham</t>
  </si>
  <si>
    <t>E1 (3,{10}{15}):d:l,w</t>
  </si>
  <si>
    <t>B_a_e,n,x</t>
  </si>
  <si>
    <t>Bispebjerg</t>
  </si>
  <si>
    <t>B (1,4,[5],12):a:e,n,x</t>
  </si>
  <si>
    <t>B_c_e,n,x</t>
  </si>
  <si>
    <t>Bissau</t>
  </si>
  <si>
    <t>B (4,12):c:e,n,x</t>
  </si>
  <si>
    <t>B_l,w_e,n,z15</t>
  </si>
  <si>
    <t>Blancmesnil</t>
  </si>
  <si>
    <t>B (4,12):l,w:e,n,z15</t>
  </si>
  <si>
    <t>D1_g,m,q_–</t>
  </si>
  <si>
    <t>Blegdam</t>
  </si>
  <si>
    <t>g,m,q</t>
  </si>
  <si>
    <t>D1 (9,12):g,m,q:–</t>
  </si>
  <si>
    <t>H_c_1,5</t>
  </si>
  <si>
    <t>Blijdorp</t>
  </si>
  <si>
    <t>H (1,6,14,25):c:1,5</t>
  </si>
  <si>
    <t>X_y_e,n,x</t>
  </si>
  <si>
    <t>Blitta</t>
  </si>
  <si>
    <t>X (47):y:e,n,x</t>
  </si>
  <si>
    <t>C2-C3_k_1,5</t>
  </si>
  <si>
    <t>Blockley</t>
  </si>
  <si>
    <t>C2-C3 (6,8):k:1,5</t>
  </si>
  <si>
    <t>E1_g,t_1,5</t>
  </si>
  <si>
    <t>Bloomsbury</t>
  </si>
  <si>
    <t>E1 (3,10):g,t:1,5</t>
  </si>
  <si>
    <t>K_z4,z24_–</t>
  </si>
  <si>
    <t>Blukwa</t>
  </si>
  <si>
    <t>6,14,18</t>
  </si>
  <si>
    <t>K (6,14,18):z4,z24:–</t>
  </si>
  <si>
    <t>V_d_1,5</t>
  </si>
  <si>
    <t>Bobo</t>
  </si>
  <si>
    <t>V (44):d:1,5</t>
  </si>
  <si>
    <t>B_r_l,w</t>
  </si>
  <si>
    <t>Bochum</t>
  </si>
  <si>
    <t>B (1,4,[5],12):r:l,w</t>
  </si>
  <si>
    <t>N_z4,z24_–</t>
  </si>
  <si>
    <t>Bodjonegoro</t>
  </si>
  <si>
    <t>N (30):z4,z24:–</t>
  </si>
  <si>
    <t>Boecker</t>
  </si>
  <si>
    <t>H ([1],6,14,[25]):l,v:1,7</t>
  </si>
  <si>
    <t>S_z4,z23_1,7</t>
  </si>
  <si>
    <t>Bofflens</t>
  </si>
  <si>
    <t>S (41):z4,z23:1,7</t>
  </si>
  <si>
    <t>M_b_1,7</t>
  </si>
  <si>
    <t>Bokanjac</t>
  </si>
  <si>
    <t>M (28):b:1,7</t>
  </si>
  <si>
    <t>V_z_e,n,x</t>
  </si>
  <si>
    <t>Bolama</t>
  </si>
  <si>
    <t>V (44):z:e,n,x</t>
  </si>
  <si>
    <t>E1_z38_[z6]</t>
  </si>
  <si>
    <t>Bolombo</t>
  </si>
  <si>
    <t>E1 (3,10):z38:[z6]</t>
  </si>
  <si>
    <t>E1_y_e,n,z15</t>
  </si>
  <si>
    <t>Bolton</t>
  </si>
  <si>
    <t>E1 (3,10):y:e,n,z15</t>
  </si>
  <si>
    <t>J_a_1,2</t>
  </si>
  <si>
    <t>Bonames</t>
  </si>
  <si>
    <t>J (17):a:1,2</t>
  </si>
  <si>
    <t>C2-C3_i_e,n,x</t>
  </si>
  <si>
    <t>Bonariensis</t>
  </si>
  <si>
    <t>C2-C3 (6,8):i:e,n,x</t>
  </si>
  <si>
    <t>C1_l,v_e,n,x</t>
  </si>
  <si>
    <t>Bonn</t>
  </si>
  <si>
    <t>C1 (6,7):l,v:e,n,x</t>
  </si>
  <si>
    <t>X_k_1,5</t>
  </si>
  <si>
    <t>Bootle</t>
  </si>
  <si>
    <t>X (47):k:1,5</t>
  </si>
  <si>
    <t>G_l,v_1,6</t>
  </si>
  <si>
    <t>Borbeck</t>
  </si>
  <si>
    <t>G (13,22):l,v:1,6</t>
  </si>
  <si>
    <t>52_k_1,5</t>
  </si>
  <si>
    <t>Bordeaux</t>
  </si>
  <si>
    <t>52 (52):k:1,5</t>
  </si>
  <si>
    <t>Group O:52</t>
  </si>
  <si>
    <t>54_f,g,s_–</t>
  </si>
  <si>
    <t>Borreze</t>
  </si>
  <si>
    <t>54 (54):f,g,s:–</t>
  </si>
  <si>
    <t>T_i_1,6</t>
  </si>
  <si>
    <t>Borromea</t>
  </si>
  <si>
    <t>T (42):i:1,6</t>
  </si>
  <si>
    <t>I_z_z6</t>
  </si>
  <si>
    <t>Bouake</t>
  </si>
  <si>
    <t>I (16):z:z6</t>
  </si>
  <si>
    <t>D1_e,h_1,2</t>
  </si>
  <si>
    <t>Bournemouth</t>
  </si>
  <si>
    <t>D1 (9,12):e,h:1,2</t>
  </si>
  <si>
    <t>H_z4,z23_[e,n,z15]</t>
  </si>
  <si>
    <t>Bousso</t>
  </si>
  <si>
    <t>H (1,6,14,25):z4,z23:[e,n,z15]</t>
  </si>
  <si>
    <t>C2-C3_r,[i]_1,5</t>
  </si>
  <si>
    <t>Bovismorbifica</t>
  </si>
  <si>
    <t>ns1 6,8,20</t>
  </si>
  <si>
    <t>C2-C3 (ns1 6,8,20):r,[i]:1,5</t>
  </si>
  <si>
    <t>V_z_1,5</t>
  </si>
  <si>
    <t>Brackenridge</t>
  </si>
  <si>
    <t>V (44):z:1,5</t>
  </si>
  <si>
    <t>G_b_1,6</t>
  </si>
  <si>
    <t>Bracknell</t>
  </si>
  <si>
    <t>G (13,23):b:1,6</t>
  </si>
  <si>
    <t>B_r_1,5</t>
  </si>
  <si>
    <t>Bradford</t>
  </si>
  <si>
    <t>B (4,12,[27]):r:1,5</t>
  </si>
  <si>
    <t>C1_e,h_e,n,z15</t>
  </si>
  <si>
    <t>Braenderup</t>
  </si>
  <si>
    <t>C1 (6,7,14):e,h:e,n,z15</t>
  </si>
  <si>
    <t>B_z29_–</t>
  </si>
  <si>
    <t>Brancaster</t>
  </si>
  <si>
    <t>B (1,4,12,27):z29:–</t>
  </si>
  <si>
    <t>B_l,v_e,n,z15</t>
  </si>
  <si>
    <t>Brandenburg</t>
  </si>
  <si>
    <t>B (4,[5],12):l,v:e,n,z15</t>
  </si>
  <si>
    <t>I_a_1,5</t>
  </si>
  <si>
    <t>Brazil</t>
  </si>
  <si>
    <t>I (16):a:1,5</t>
  </si>
  <si>
    <t>K_a_e,n,z15</t>
  </si>
  <si>
    <t>Brazos</t>
  </si>
  <si>
    <t>K (6,14,18):a:e,n,z15</t>
  </si>
  <si>
    <t>C1_b_1,2</t>
  </si>
  <si>
    <t>Brazzaville</t>
  </si>
  <si>
    <t>C1 (6,7):b:1,2</t>
  </si>
  <si>
    <t>C2-C3_z4,z23_e,n,x</t>
  </si>
  <si>
    <t>Breda</t>
  </si>
  <si>
    <t>C2-C3 (6,8):z4,z23:e,n,x</t>
  </si>
  <si>
    <t>B_l,v_1,7</t>
  </si>
  <si>
    <t>Bredeney</t>
  </si>
  <si>
    <t>B (1,4,12,27):l,v:1,7</t>
  </si>
  <si>
    <t>V_r_e,n,z15</t>
  </si>
  <si>
    <t>Brefet</t>
  </si>
  <si>
    <t>V (44):r:e,n,z15</t>
  </si>
  <si>
    <t>C2-C3_l,z13,[z28]_e,n,z15</t>
  </si>
  <si>
    <t>Breukelen</t>
  </si>
  <si>
    <t>l,z13,[z28]</t>
  </si>
  <si>
    <t>C2-C3 (6,8):l,z13,[z28]:e,n,z15</t>
  </si>
  <si>
    <t>I_z_e,n,[x],z15</t>
  </si>
  <si>
    <t>Brevik</t>
  </si>
  <si>
    <t>e,n,[x],z15</t>
  </si>
  <si>
    <t>I (16):z:e,n,[x],z15</t>
  </si>
  <si>
    <t>B_d_1,6</t>
  </si>
  <si>
    <t>Brezany</t>
  </si>
  <si>
    <t>B (1,4,12,27):d:1,6</t>
  </si>
  <si>
    <t>F_i_1,5</t>
  </si>
  <si>
    <t>Brijbhumi</t>
  </si>
  <si>
    <t>F (11):i:1,5</t>
  </si>
  <si>
    <t>C2-C3_r,[i]_l,w</t>
  </si>
  <si>
    <t>Brikama</t>
  </si>
  <si>
    <t>C2-C3 (8,20):r,[i]:l,w</t>
  </si>
  <si>
    <t>F_c_1,6</t>
  </si>
  <si>
    <t>Brindisi</t>
  </si>
  <si>
    <t>F (11):c:1,6</t>
  </si>
  <si>
    <t>M_z_e,n,z15</t>
  </si>
  <si>
    <t>Brisbane</t>
  </si>
  <si>
    <t>M (28):z:e,n,z15</t>
  </si>
  <si>
    <t>G_z_1,7</t>
  </si>
  <si>
    <t>Bristol</t>
  </si>
  <si>
    <t>G (13,22):z:1,7</t>
  </si>
  <si>
    <t>T_r_l,w</t>
  </si>
  <si>
    <t>Brive</t>
  </si>
  <si>
    <t>T (1,42):r:l,w</t>
  </si>
  <si>
    <t>T_z4,z23_e,n,z15</t>
  </si>
  <si>
    <t>Broc</t>
  </si>
  <si>
    <t>T (42):z4,z23:e,n,z15</t>
  </si>
  <si>
    <t>G_g,m_[e,n,z15]</t>
  </si>
  <si>
    <t>Bron</t>
  </si>
  <si>
    <t>G (13,22):g,m:[e,n,z15]</t>
  </si>
  <si>
    <t>C2-C3_c_1,6</t>
  </si>
  <si>
    <t>Bronx</t>
  </si>
  <si>
    <t>C2-C3 (6,8):c:1,6</t>
  </si>
  <si>
    <t>I_l,w_e,n,x</t>
  </si>
  <si>
    <t>Brooklyn</t>
  </si>
  <si>
    <t>I (16):l,w:e,n,x</t>
  </si>
  <si>
    <t>E4_b_l,w</t>
  </si>
  <si>
    <t>Broughton</t>
  </si>
  <si>
    <t>E4 (1,3,19):b:l,w</t>
  </si>
  <si>
    <t>C1_z_l,w</t>
  </si>
  <si>
    <t>Bruck</t>
  </si>
  <si>
    <t>C1 (6,7):z:l,w</t>
  </si>
  <si>
    <t>Q_e,h_1,2</t>
  </si>
  <si>
    <t>Bruebach</t>
  </si>
  <si>
    <t>Q (39):e,h:1,2</t>
  </si>
  <si>
    <t>C2-C3_y_1,5</t>
  </si>
  <si>
    <t>Brunei</t>
  </si>
  <si>
    <t>C2-C3 (8,20):y:1,5</t>
  </si>
  <si>
    <t>I_r_1,7</t>
  </si>
  <si>
    <t>Brunflo</t>
  </si>
  <si>
    <t>I (16):r:1,7</t>
  </si>
  <si>
    <t>C2-C3_r_1,2</t>
  </si>
  <si>
    <t>Bsilla</t>
  </si>
  <si>
    <t>C2-C3 (6,8):r:1,2</t>
  </si>
  <si>
    <t>Y_d_–</t>
  </si>
  <si>
    <t>Buckeye</t>
  </si>
  <si>
    <t>Y (48):d:–</t>
  </si>
  <si>
    <t>B_g,t_–</t>
  </si>
  <si>
    <t>Budapest</t>
  </si>
  <si>
    <t>1,4,12,[27]</t>
  </si>
  <si>
    <t>B (1,4,12,[27]):g,t:–</t>
  </si>
  <si>
    <t>R_l,z28_1,5</t>
  </si>
  <si>
    <t>Bukavu</t>
  </si>
  <si>
    <t>R (1,40):l,z28:1,5</t>
  </si>
  <si>
    <t>C2-C3_b_l,w</t>
  </si>
  <si>
    <t>Bukuru</t>
  </si>
  <si>
    <t>C2-C3 (6,8):b:l,w</t>
  </si>
  <si>
    <t>C2-C3_y_1,6</t>
  </si>
  <si>
    <t>Bulgaria</t>
  </si>
  <si>
    <t>C2-C3 (6,8):y:1,6</t>
  </si>
  <si>
    <t>F_l,v_e,n,z15</t>
  </si>
  <si>
    <t>Bullbay</t>
  </si>
  <si>
    <t>F (11):l,v:e,n,z15</t>
  </si>
  <si>
    <t>C1_z44_–</t>
  </si>
  <si>
    <t>Bulovka</t>
  </si>
  <si>
    <t>z44</t>
  </si>
  <si>
    <t>C1 (6,7):z44:–</t>
  </si>
  <si>
    <t>I_l,v_e,n,z15</t>
  </si>
  <si>
    <t>Burgas</t>
  </si>
  <si>
    <t>I (16):l,v:e,n,z15</t>
  </si>
  <si>
    <t>S_a_–</t>
  </si>
  <si>
    <t>Burundi</t>
  </si>
  <si>
    <t>S (41):a:–</t>
  </si>
  <si>
    <t>B_c_z6</t>
  </si>
  <si>
    <t>Bury</t>
  </si>
  <si>
    <t>4,12,27</t>
  </si>
  <si>
    <t>B (4,12,27):c:z6</t>
  </si>
  <si>
    <t>C1_z_e,n,z15</t>
  </si>
  <si>
    <t>Businga</t>
  </si>
  <si>
    <t>C1 (6,7):z:e,n,z15</t>
  </si>
  <si>
    <t>E1_b_1,5</t>
  </si>
  <si>
    <t>Butantan</t>
  </si>
  <si>
    <t>3,{10}{15}{15,34}</t>
  </si>
  <si>
    <t>E1 (3,{10}{15}{15,34}):b:1,5</t>
  </si>
  <si>
    <t>52_e,h_1,6</t>
  </si>
  <si>
    <t>Butare</t>
  </si>
  <si>
    <t>52 (52):e,h:1,6</t>
  </si>
  <si>
    <t>H_i_1,7</t>
  </si>
  <si>
    <t>Buzu</t>
  </si>
  <si>
    <t>H ([1],6,14,[25]):i:1,7</t>
  </si>
  <si>
    <t>I_d_l,w</t>
  </si>
  <si>
    <t>Caen</t>
  </si>
  <si>
    <t>I (16):d:l,w</t>
  </si>
  <si>
    <t>E1_z35_z6</t>
  </si>
  <si>
    <t>Cairina</t>
  </si>
  <si>
    <t>E1 (3,10):z35:z6</t>
  </si>
  <si>
    <t>W_k_e,n,z15</t>
  </si>
  <si>
    <t>Cairns</t>
  </si>
  <si>
    <t>W (45):k:e,n,z15</t>
  </si>
  <si>
    <t>E4_e,h_l,w</t>
  </si>
  <si>
    <t>Calabar</t>
  </si>
  <si>
    <t>E4 (1,3,19):e,h:l,w</t>
  </si>
  <si>
    <t>B_g,m,t_[z67]</t>
  </si>
  <si>
    <t>g,m,t</t>
  </si>
  <si>
    <t>[z67]</t>
  </si>
  <si>
    <t>B (4,12):g,m,t:[z67]</t>
  </si>
  <si>
    <t>O_z10_1,5</t>
  </si>
  <si>
    <t>Camberene</t>
  </si>
  <si>
    <t>O (35):z10:1,5</t>
  </si>
  <si>
    <t>D1_r_1,7</t>
  </si>
  <si>
    <t>Camberwell</t>
  </si>
  <si>
    <t>D1 (9,12):r:1,7</t>
  </si>
  <si>
    <t>D1_r_e,n,z15</t>
  </si>
  <si>
    <t>Campinense</t>
  </si>
  <si>
    <t>D1 (9,12):r:e,n,z15</t>
  </si>
  <si>
    <t>B_b_1,6</t>
  </si>
  <si>
    <t>B (4,12,[27]):b:1,6</t>
  </si>
  <si>
    <t>R_l,v_1,6</t>
  </si>
  <si>
    <t>Canary</t>
  </si>
  <si>
    <t>R (40):l,v:1,6</t>
  </si>
  <si>
    <t>M_z4,z23_1,5</t>
  </si>
  <si>
    <t>Cannobio</t>
  </si>
  <si>
    <t>M (28):z4,z23:1,5</t>
  </si>
  <si>
    <t>E4_},19 y_e,n,x</t>
  </si>
  <si>
    <t>Cannonhill</t>
  </si>
  <si>
    <t>1,3,{10}{15</t>
  </si>
  <si>
    <t>},19 y</t>
  </si>
  <si>
    <t>E4 (1,3,{10}{15):},19 y:e,n,x</t>
  </si>
  <si>
    <t>E4_m,t_–</t>
  </si>
  <si>
    <t>Cannstatt</t>
  </si>
  <si>
    <t>E4 (1,3,19):m,t:–</t>
  </si>
  <si>
    <t>54_z10_e,n,x</t>
  </si>
  <si>
    <t>Canton</t>
  </si>
  <si>
    <t>54 (54):z10:e,n,x</t>
  </si>
  <si>
    <t>H_g,m,s_–</t>
  </si>
  <si>
    <t>Caracas</t>
  </si>
  <si>
    <t>H ([1],6,14,[25]):g,m,s:–</t>
  </si>
  <si>
    <t>I_g,s,t_–</t>
  </si>
  <si>
    <t>Cardoner</t>
  </si>
  <si>
    <t>I (16):g,s,t:–</t>
  </si>
  <si>
    <t>J_l,v_e,n,x</t>
  </si>
  <si>
    <t>Carmel</t>
  </si>
  <si>
    <t>J (17):l,v:e,n,x</t>
  </si>
  <si>
    <t>K_z10_z6</t>
  </si>
  <si>
    <t>Carnac</t>
  </si>
  <si>
    <t>K (18):z10:z6</t>
  </si>
  <si>
    <t>E4_z_l,w</t>
  </si>
  <si>
    <t>Carno</t>
  </si>
  <si>
    <t>E4 (1,3,19):z:l,w</t>
  </si>
  <si>
    <t>P_z35_e,n,z15</t>
  </si>
  <si>
    <t>Carpentras</t>
  </si>
  <si>
    <t>P (38):z35:e,n,z15</t>
  </si>
  <si>
    <t>H_y_1,7</t>
  </si>
  <si>
    <t>Carrau</t>
  </si>
  <si>
    <t>H (6,14,[24]):y:1,7</t>
  </si>
  <si>
    <t>V_g,z51_–</t>
  </si>
  <si>
    <t>Carswell</t>
  </si>
  <si>
    <t>V (44):g,z51:–</t>
  </si>
  <si>
    <t>W_k_1,7</t>
  </si>
  <si>
    <t>Casablanca</t>
  </si>
  <si>
    <t>W (45):k:1,7</t>
  </si>
  <si>
    <t>R_z_e,n,x</t>
  </si>
  <si>
    <t>Casamance</t>
  </si>
  <si>
    <t>R (40):z:e,n,x</t>
  </si>
  <si>
    <t>M_l,z13,z28_1,5</t>
  </si>
  <si>
    <t>Catalunia</t>
  </si>
  <si>
    <t>M (28):l,z13,z28:1,5</t>
  </si>
  <si>
    <t>H_g,s,t_–</t>
  </si>
  <si>
    <t>Catanzaro</t>
  </si>
  <si>
    <t>H (6,14):g,s,t:–</t>
  </si>
  <si>
    <t>E4_z35_1,5</t>
  </si>
  <si>
    <t>Catumagos</t>
  </si>
  <si>
    <t>E4 (1,3,19):z35:1,5</t>
  </si>
  <si>
    <t>C1_z_e,n,x</t>
  </si>
  <si>
    <t>Cayar</t>
  </si>
  <si>
    <t>C1 (6,7):z:e,n,x</t>
  </si>
  <si>
    <t>K_z4,z23_[1,5]</t>
  </si>
  <si>
    <t>Cerro</t>
  </si>
  <si>
    <t>K (6,14,18):z4,z23:[1,5]</t>
  </si>
  <si>
    <t>D2_k_z35</t>
  </si>
  <si>
    <t>Ceyco</t>
  </si>
  <si>
    <t>D2 (9,46):k:z35</t>
  </si>
  <si>
    <t>G_a_1,5</t>
  </si>
  <si>
    <t>Chagoua</t>
  </si>
  <si>
    <t>G (1,13,23):a:1,5</t>
  </si>
  <si>
    <t>C2-C3_z4,z23_[e,n,z15]</t>
  </si>
  <si>
    <t>Chailey</t>
  </si>
  <si>
    <t>C2-C3 (6,8):z4,z23:[e,n,z15]</t>
  </si>
  <si>
    <t>Q_k_1,5</t>
  </si>
  <si>
    <t>Champaign</t>
  </si>
  <si>
    <t>Q (39):k:1,5</t>
  </si>
  <si>
    <t>F_d_[e,n,x]</t>
  </si>
  <si>
    <t>Chandans</t>
  </si>
  <si>
    <t>[e,n,x]</t>
  </si>
  <si>
    <t>F (11):d:[e,n,x]</t>
  </si>
  <si>
    <t>H_d_e,n,x</t>
  </si>
  <si>
    <t>Charity</t>
  </si>
  <si>
    <t>H ([1],6,14,[25]):d:e,n,x</t>
  </si>
  <si>
    <t>C2-C3_k_e,n,z15</t>
  </si>
  <si>
    <t>Charlottenburg</t>
  </si>
  <si>
    <t>C2-C3 (6,8):k:e,n,z15</t>
  </si>
  <si>
    <t>B_e,h_l,w</t>
  </si>
  <si>
    <t>Chartres</t>
  </si>
  <si>
    <t>1,4,12</t>
  </si>
  <si>
    <t>B (1,4,12):e,h:l,w</t>
  </si>
  <si>
    <t>D2_b_1,5</t>
  </si>
  <si>
    <t>Cheltenham</t>
  </si>
  <si>
    <t>D2 (9,46):b:1,5</t>
  </si>
  <si>
    <t>B_d_z35</t>
  </si>
  <si>
    <t>Chennai</t>
  </si>
  <si>
    <t>B (4,12):d:z35</t>
  </si>
  <si>
    <t>B_e,h_e,n,x</t>
  </si>
  <si>
    <t>Chester</t>
  </si>
  <si>
    <t>B (1,4,[5],12):e,h:e,n,x</t>
  </si>
  <si>
    <t>M_r,[i]_1,5</t>
  </si>
  <si>
    <t>Chicago</t>
  </si>
  <si>
    <t>M (28):r,[i]:1,5</t>
  </si>
  <si>
    <t>E4_i_1,6</t>
  </si>
  <si>
    <t>Chichester</t>
  </si>
  <si>
    <t>E4 (1,3,19):i:1,6</t>
  </si>
  <si>
    <t>H_z4,z24_–</t>
  </si>
  <si>
    <t>Chichiri</t>
  </si>
  <si>
    <t>H (6,14,24):z4,z24:–</t>
  </si>
  <si>
    <t>C1_z_1,2</t>
  </si>
  <si>
    <t>Chile</t>
  </si>
  <si>
    <t>C1 (6,7):z:1,2</t>
  </si>
  <si>
    <t>C2-C3_g,m,[s]_[e,n,x]</t>
  </si>
  <si>
    <t>Chincol</t>
  </si>
  <si>
    <t>g,m,[s]</t>
  </si>
  <si>
    <t>C2-C3 (6,8):g,m,[s]:[e,n,x]</t>
  </si>
  <si>
    <t>F_e,h_1,2</t>
  </si>
  <si>
    <t>Chingola</t>
  </si>
  <si>
    <t>F (11):e,h:1,2</t>
  </si>
  <si>
    <t>F_c_1,5</t>
  </si>
  <si>
    <t>Chiredzi</t>
  </si>
  <si>
    <t>F (11):c:1,5</t>
  </si>
  <si>
    <t>E4_b_z35</t>
  </si>
  <si>
    <t>Chittagong</t>
  </si>
  <si>
    <t>E4 (1,3,10,19):b:z35</t>
  </si>
  <si>
    <t>C1_c_1,5</t>
  </si>
  <si>
    <t>Choleraesuis1</t>
  </si>
  <si>
    <t>C1 (6,7):c:1,5</t>
  </si>
  <si>
    <t>C2-C3_z10_e,n,z15</t>
  </si>
  <si>
    <t>Chomedey</t>
  </si>
  <si>
    <t>C2-C3 (8,20):z10:e,n,z15</t>
  </si>
  <si>
    <t>V_z4,z24_–</t>
  </si>
  <si>
    <t>Christiansborg</t>
  </si>
  <si>
    <t>V (44):z4,z24:–</t>
  </si>
  <si>
    <t>B_l,v_1,6</t>
  </si>
  <si>
    <t>Clackamas</t>
  </si>
  <si>
    <t>B (4,12):l,v:1,6</t>
  </si>
  <si>
    <t>D1_k_1,5</t>
  </si>
  <si>
    <t>Claibornei</t>
  </si>
  <si>
    <t>D1 (1,9,12):k:1,5</t>
  </si>
  <si>
    <t>F_r_e,n,z15</t>
  </si>
  <si>
    <t>Clanvillian</t>
  </si>
  <si>
    <t>F (11):r:e,n,z15</t>
  </si>
  <si>
    <t>E1_z_l,w</t>
  </si>
  <si>
    <t>Clerkenwell</t>
  </si>
  <si>
    <t>E1 (3,10):z:l,w</t>
  </si>
  <si>
    <t>C2-C3_z10_1,7</t>
  </si>
  <si>
    <t>Cleveland</t>
  </si>
  <si>
    <t>C2-C3 (6,8):z10:1,7</t>
  </si>
  <si>
    <t>D2_k_1,6</t>
  </si>
  <si>
    <t>Clontarf</t>
  </si>
  <si>
    <t>D2 (9,46):k:1,6</t>
  </si>
  <si>
    <t>D2_k_1,5</t>
  </si>
  <si>
    <t>Cochin</t>
  </si>
  <si>
    <t>D2 (9,46):k:1,5</t>
  </si>
  <si>
    <t>K_b_1,7</t>
  </si>
  <si>
    <t>Cochise</t>
  </si>
  <si>
    <t>K (18):b:1,7</t>
  </si>
  <si>
    <t>C2-C3_r,i_e,n,z15</t>
  </si>
  <si>
    <t>Cocody</t>
  </si>
  <si>
    <t>C2-C3 (8,20):r,i:e,n,z15</t>
  </si>
  <si>
    <t>B_y_1,2</t>
  </si>
  <si>
    <t>Coeln</t>
  </si>
  <si>
    <t>B (1,4,[5],12):y:1,2</t>
  </si>
  <si>
    <t>C1_a_l,w</t>
  </si>
  <si>
    <t>Coleypark</t>
  </si>
  <si>
    <t>C1 (6,7,14):a:l,w</t>
  </si>
  <si>
    <t>C1_r_1,7</t>
  </si>
  <si>
    <t>Colindale</t>
  </si>
  <si>
    <t>C1 (6,7):r:1,7</t>
  </si>
  <si>
    <t>F_k_1,7</t>
  </si>
  <si>
    <t>Colobane</t>
  </si>
  <si>
    <t>F (11):k:1,7</t>
  </si>
  <si>
    <t>P_y_1,6</t>
  </si>
  <si>
    <t>Colombo</t>
  </si>
  <si>
    <t>P (38):y:1,6</t>
  </si>
  <si>
    <t>C1_l,w_1,5</t>
  </si>
  <si>
    <t>C1 (6,7):l,w:1,5</t>
  </si>
  <si>
    <t>C1_l,v_1,2</t>
  </si>
  <si>
    <t>Concord</t>
  </si>
  <si>
    <t>C1 (6,7):l,v:1,2</t>
  </si>
  <si>
    <t>F_l,z13,z28_1,5</t>
  </si>
  <si>
    <t>F (11):l,z13,z28:1,5</t>
  </si>
  <si>
    <t>T_l,v_e,n,z15</t>
  </si>
  <si>
    <t>Coogee</t>
  </si>
  <si>
    <t>T (42):l,v:e,n,z15</t>
  </si>
  <si>
    <t>E1_z10_1,7</t>
  </si>
  <si>
    <t>Coquilhatville</t>
  </si>
  <si>
    <t>E1 (3,10):z10:1,7</t>
  </si>
  <si>
    <t>C1_l,v_z35</t>
  </si>
  <si>
    <t>Coromandel</t>
  </si>
  <si>
    <t>C1 (6,7):l,v:z35</t>
  </si>
  <si>
    <t>C2-C3_z4,z23_[z6]</t>
  </si>
  <si>
    <t>Corvallis</t>
  </si>
  <si>
    <t>C2-C3 (8,20):z4,z23:[z6]</t>
  </si>
  <si>
    <t>M_i_1,5</t>
  </si>
  <si>
    <t>Cotham</t>
  </si>
  <si>
    <t>M (28):i:1,5</t>
  </si>
  <si>
    <t>K_–_1,6</t>
  </si>
  <si>
    <t>Cotia</t>
  </si>
  <si>
    <t>K (18):–:1,6</t>
  </si>
  <si>
    <t>C1_c_z6</t>
  </si>
  <si>
    <t>Cotonou</t>
  </si>
  <si>
    <t>C1 (6,7):c:z6</t>
  </si>
  <si>
    <t>C2-C3_e,h_1,6</t>
  </si>
  <si>
    <t>Cremieu1</t>
  </si>
  <si>
    <t>C2-C3 (6,8):e,h:1,6</t>
  </si>
  <si>
    <t>F_z_1,5</t>
  </si>
  <si>
    <t>Crewe</t>
  </si>
  <si>
    <t>F (11):z:1,5</t>
  </si>
  <si>
    <t>M_g,m,s_[e,n,z15]</t>
  </si>
  <si>
    <t>Croft</t>
  </si>
  <si>
    <t>M (28):g,m,s:[e,n,z15]</t>
  </si>
  <si>
    <t>67_r_1,2</t>
  </si>
  <si>
    <t>Crossness</t>
  </si>
  <si>
    <t>67 (67):r:1,2</t>
  </si>
  <si>
    <t>Group O:67</t>
  </si>
  <si>
    <t>Cubana</t>
  </si>
  <si>
    <t>G (1,13,23):z29:–</t>
  </si>
  <si>
    <t>E1_i_1,2</t>
  </si>
  <si>
    <t>Cuckmere</t>
  </si>
  <si>
    <t>E1 (3,10):i:1,2</t>
  </si>
  <si>
    <t>M_d_l,w</t>
  </si>
  <si>
    <t>Cullingworth</t>
  </si>
  <si>
    <t>M (28):d:l,w</t>
  </si>
  <si>
    <t>Q_i_e,n,x</t>
  </si>
  <si>
    <t>Cumberland</t>
  </si>
  <si>
    <t>Q (39):i:e,n,x</t>
  </si>
  <si>
    <t>C2-C3_a_1,6</t>
  </si>
  <si>
    <t>Curacao</t>
  </si>
  <si>
    <t>C2-C3 (6,8):a:1,6</t>
  </si>
  <si>
    <t>C2-C3_i_l,w</t>
  </si>
  <si>
    <t>Cyprus</t>
  </si>
  <si>
    <t>C2-C3 (6,8):i:l,w</t>
  </si>
  <si>
    <t>54_r_1,5</t>
  </si>
  <si>
    <t>Czernyring</t>
  </si>
  <si>
    <t>54 (54):r:1,5</t>
  </si>
  <si>
    <t>C2-C3_y_e,n,x</t>
  </si>
  <si>
    <t>Daarle</t>
  </si>
  <si>
    <t>C2-C3 (6,8):y:e,n,x</t>
  </si>
  <si>
    <t>C2-C3_z4,z23_l,w</t>
  </si>
  <si>
    <t>Dabou</t>
  </si>
  <si>
    <t>C2-C3 (8,20):z4,z23:l,w</t>
  </si>
  <si>
    <t>51_l,v_e,n,x</t>
  </si>
  <si>
    <t>Dadzie</t>
  </si>
  <si>
    <t>51 (51):l,v:e,n,x</t>
  </si>
  <si>
    <t>Y_k_e,n,z15</t>
  </si>
  <si>
    <t>Dahlem</t>
  </si>
  <si>
    <t>Y (48):k:e,n,z15</t>
  </si>
  <si>
    <t>X_k_1,6</t>
  </si>
  <si>
    <t>Dahomey</t>
  </si>
  <si>
    <t>X (47):k:1,6</t>
  </si>
  <si>
    <t>J_b_1,5</t>
  </si>
  <si>
    <t>Dahra</t>
  </si>
  <si>
    <t>J (17):b:1,5</t>
  </si>
  <si>
    <t>M_a_1,6</t>
  </si>
  <si>
    <t>Dakar</t>
  </si>
  <si>
    <t>M (28):a:1,6</t>
  </si>
  <si>
    <t>I_z35_e,n,z15</t>
  </si>
  <si>
    <t>Dakota</t>
  </si>
  <si>
    <t>I (16):z35:e,n,z15</t>
  </si>
  <si>
    <t>E4_z10_e,n,z15</t>
  </si>
  <si>
    <t>Dallgow</t>
  </si>
  <si>
    <t>E4 (1,3,19):z10:e,n,z15</t>
  </si>
  <si>
    <t>C1_a_z6</t>
  </si>
  <si>
    <t>Damman</t>
  </si>
  <si>
    <t>C1 (6,7,14):a:z6</t>
  </si>
  <si>
    <t>51_k_e,n,z15</t>
  </si>
  <si>
    <t>Dan</t>
  </si>
  <si>
    <t>51 (51):k:e,n,z15</t>
  </si>
  <si>
    <t>X_r_1,2</t>
  </si>
  <si>
    <t>Dapango</t>
  </si>
  <si>
    <t>X (47):r:1,2</t>
  </si>
  <si>
    <t>C2-C3_z_z6</t>
  </si>
  <si>
    <t>Daula</t>
  </si>
  <si>
    <t>C2-C3 (8,20):z:z6</t>
  </si>
  <si>
    <t>C1_k_1,6</t>
  </si>
  <si>
    <t>Daytona</t>
  </si>
  <si>
    <t>C1 (6,7):k:1,6</t>
  </si>
  <si>
    <t>D2_r_1,7</t>
  </si>
  <si>
    <t>Deckstein</t>
  </si>
  <si>
    <t>D2 (9,46):r:1,7</t>
  </si>
  <si>
    <t>Q_y_e,n,z15</t>
  </si>
  <si>
    <t>Delan</t>
  </si>
  <si>
    <t>Q (39):y:e,n,z15</t>
  </si>
  <si>
    <t>K_z71_–</t>
  </si>
  <si>
    <t>Delmenhorst</t>
  </si>
  <si>
    <t>z71</t>
  </si>
  <si>
    <t>K (18):z71:–</t>
  </si>
  <si>
    <t>O_d_l,w</t>
  </si>
  <si>
    <t>Dembe</t>
  </si>
  <si>
    <t>O (35):d:l,w</t>
  </si>
  <si>
    <t>G_z10_l,w</t>
  </si>
  <si>
    <t>Demerara</t>
  </si>
  <si>
    <t>G (13,23):z10:l,w</t>
  </si>
  <si>
    <t>C1_a_e,n,z15</t>
  </si>
  <si>
    <t>Denver</t>
  </si>
  <si>
    <t>C1 (6,7):a:e,n,z15</t>
  </si>
  <si>
    <t>B_f,g_[1,2]</t>
  </si>
  <si>
    <t>Derby</t>
  </si>
  <si>
    <t>B (1,4,[5],12):f,g:[1,2]</t>
  </si>
  <si>
    <t>52_e,h_1,7</t>
  </si>
  <si>
    <t>Derkle</t>
  </si>
  <si>
    <t>52 (52):e,h:1,7</t>
  </si>
  <si>
    <t>E4_g,s,t_–</t>
  </si>
  <si>
    <t>Dessau</t>
  </si>
  <si>
    <t>1,3,15,19</t>
  </si>
  <si>
    <t>E4 (1,3,15,19):g,s,t:–</t>
  </si>
  <si>
    <t>D2_a_1,2</t>
  </si>
  <si>
    <t>Detmold</t>
  </si>
  <si>
    <t>D2 (9,46):a:1,2</t>
  </si>
  <si>
    <t>W_c_e,n,x</t>
  </si>
  <si>
    <t>Deversoir</t>
  </si>
  <si>
    <t>W (45):c:e,n,x</t>
  </si>
  <si>
    <t>M_a_z6</t>
  </si>
  <si>
    <t>Dibra</t>
  </si>
  <si>
    <t>M (28):a:z6</t>
  </si>
  <si>
    <t>Q_m,t_–</t>
  </si>
  <si>
    <t>Dietrichsdorf</t>
  </si>
  <si>
    <t>Q (39):m,t:–</t>
  </si>
  <si>
    <t>M_i_1,7</t>
  </si>
  <si>
    <t>Dieuppeul</t>
  </si>
  <si>
    <t>M (28):i:1,7</t>
  </si>
  <si>
    <t>G_d_e,n,z15</t>
  </si>
  <si>
    <t>Diguel</t>
  </si>
  <si>
    <t>1,13,22</t>
  </si>
  <si>
    <t>G (1,13,22):d:e,n,z15</t>
  </si>
  <si>
    <t>J_z_1,6</t>
  </si>
  <si>
    <t>Dingiri</t>
  </si>
  <si>
    <t>J (17):z:1,6</t>
  </si>
  <si>
    <t>C2-C3_z41_z6</t>
  </si>
  <si>
    <t>Diogoye</t>
  </si>
  <si>
    <t>z41</t>
  </si>
  <si>
    <t>C2-C3 (8,20):z41:z6</t>
  </si>
  <si>
    <t>L_i_1,2</t>
  </si>
  <si>
    <t>Diourbel</t>
  </si>
  <si>
    <t>L (21):i:1,2</t>
  </si>
  <si>
    <t>Y_z4,z24_–</t>
  </si>
  <si>
    <t>Djakarta</t>
  </si>
  <si>
    <t>Y (48):z4,z24:–</t>
  </si>
  <si>
    <t>T_z29_[1,5]</t>
  </si>
  <si>
    <t>Djama</t>
  </si>
  <si>
    <t>T (1,42):z29:[1,5]</t>
  </si>
  <si>
    <t>C2-C3_b_1,2</t>
  </si>
  <si>
    <t>Djelfa</t>
  </si>
  <si>
    <t>C2-C3 (8):b:1,2</t>
  </si>
  <si>
    <t>M_z29_–</t>
  </si>
  <si>
    <t>Djermaia</t>
  </si>
  <si>
    <t>M (28):z29:–</t>
  </si>
  <si>
    <t>J_z10_e,n,x</t>
  </si>
  <si>
    <t>Djibouti</t>
  </si>
  <si>
    <t>J (17):z10:e,n,x</t>
  </si>
  <si>
    <t>51_m,t_–</t>
  </si>
  <si>
    <t>Djinten</t>
  </si>
  <si>
    <t>51 (51):m,t:–</t>
  </si>
  <si>
    <t>C1_z10_e,n,x</t>
  </si>
  <si>
    <t>Djugu</t>
  </si>
  <si>
    <t>C1 (6,7):z10:e,n,x</t>
  </si>
  <si>
    <t>D2_a_e,n,z15</t>
  </si>
  <si>
    <t>Doba</t>
  </si>
  <si>
    <t>D2 (9,46):a:e,n,z15</t>
  </si>
  <si>
    <t>M_z_1,6</t>
  </si>
  <si>
    <t>Doel</t>
  </si>
  <si>
    <t>M (28):z:1,6</t>
  </si>
  <si>
    <t>C2-C3_a_1,5</t>
  </si>
  <si>
    <t>Doncaster</t>
  </si>
  <si>
    <t>C2-C3 (6,8):a:1,5</t>
  </si>
  <si>
    <t>N_l,v_1,5</t>
  </si>
  <si>
    <t>Donna</t>
  </si>
  <si>
    <t>N (30):l,v:1,5</t>
  </si>
  <si>
    <t>M_i_1,2</t>
  </si>
  <si>
    <t>Doorn</t>
  </si>
  <si>
    <t>M (28):i:1,2</t>
  </si>
  <si>
    <t>E1_z41_1,[2],5</t>
  </si>
  <si>
    <t>Dortmund</t>
  </si>
  <si>
    <t>1,[2],5</t>
  </si>
  <si>
    <t>E1 (3,10):z41:1,[2],5</t>
  </si>
  <si>
    <t>M_i_l,w</t>
  </si>
  <si>
    <t>Douala</t>
  </si>
  <si>
    <t>M (28):i:l,w</t>
  </si>
  <si>
    <t>Z_y_1,6</t>
  </si>
  <si>
    <t>Dougi</t>
  </si>
  <si>
    <t>Z</t>
  </si>
  <si>
    <t>Z (50):y:1,6</t>
  </si>
  <si>
    <t>Group O:50 (Z)</t>
  </si>
  <si>
    <t>N_a_e,n,z15</t>
  </si>
  <si>
    <t>Doulassame</t>
  </si>
  <si>
    <t>N (30):a:e,n,z15</t>
  </si>
  <si>
    <t>X_l,v_e,n,x</t>
  </si>
  <si>
    <t>Drac</t>
  </si>
  <si>
    <t>X (47):l,v:e,n,x</t>
  </si>
  <si>
    <t>M_c_e,n,x</t>
  </si>
  <si>
    <t>Dresden</t>
  </si>
  <si>
    <t>M (28):c:e,n,x</t>
  </si>
  <si>
    <t>R_d_1,5</t>
  </si>
  <si>
    <t>Driffield</t>
  </si>
  <si>
    <t>R (1,40):d:1,5</t>
  </si>
  <si>
    <t>B_r,[i]_e,n,z15</t>
  </si>
  <si>
    <t>Drogana</t>
  </si>
  <si>
    <t>B (1,4,12,27):r,[i]:e,n,z15</t>
  </si>
  <si>
    <t>D1_g,p_–</t>
  </si>
  <si>
    <t>Dublin</t>
  </si>
  <si>
    <t>1,9,12[Vi]</t>
  </si>
  <si>
    <t>g,p</t>
  </si>
  <si>
    <t>D1 (1,9,12[Vi]):g,p:–</t>
  </si>
  <si>
    <t>Duesseldorf</t>
  </si>
  <si>
    <t>C2-C3 (6,8):z4,z24:–</t>
  </si>
  <si>
    <t>W_d_1,6</t>
  </si>
  <si>
    <t>Dugbe</t>
  </si>
  <si>
    <t>W (45):d:1,6</t>
  </si>
  <si>
    <t>B_d_e,n,z15</t>
  </si>
  <si>
    <t>Duisburg</t>
  </si>
  <si>
    <t>B (1,4,12,[27]):d:e,n,z15</t>
  </si>
  <si>
    <t>E1_r,i_1,6</t>
  </si>
  <si>
    <t>Dumfries</t>
  </si>
  <si>
    <t>E1 (3,10):r,i:1,6</t>
  </si>
  <si>
    <t>C2-C3_d_1,7</t>
  </si>
  <si>
    <t>Dunkwa</t>
  </si>
  <si>
    <t>C2-C3 (6,8):d:1,7</t>
  </si>
  <si>
    <t>D1_a_e,n,z15</t>
  </si>
  <si>
    <t>Durban</t>
  </si>
  <si>
    <t>D1 (1,9,12):a:e,n,z15</t>
  </si>
  <si>
    <t>Durham</t>
  </si>
  <si>
    <t>G (13,23):b:e,n,z15</t>
  </si>
  <si>
    <t>R_b_e,n,z15</t>
  </si>
  <si>
    <t>Duval</t>
  </si>
  <si>
    <t>R (1,40):b:e,n,z15</t>
  </si>
  <si>
    <t>O_g,m,s_–</t>
  </si>
  <si>
    <t>Ealing</t>
  </si>
  <si>
    <t>O (35):g,m,s:–</t>
  </si>
  <si>
    <t>D1_e,h_1,5</t>
  </si>
  <si>
    <t>Eastbourne</t>
  </si>
  <si>
    <t>D1 (1,9,12):e,h:1,5</t>
  </si>
  <si>
    <t>E4_c_1,5</t>
  </si>
  <si>
    <t>Eastglam</t>
  </si>
  <si>
    <t>E4 (1,3,19):c:1,5</t>
  </si>
  <si>
    <t>K_g,s,t_–</t>
  </si>
  <si>
    <t>Eaubonne</t>
  </si>
  <si>
    <t>K (18):g,s,t:–</t>
  </si>
  <si>
    <t>M_c_1,6</t>
  </si>
  <si>
    <t>Eberswalde</t>
  </si>
  <si>
    <t>M (28):c:1,6</t>
  </si>
  <si>
    <t>C2-C3_b_1,7</t>
  </si>
  <si>
    <t>Eboko</t>
  </si>
  <si>
    <t>C2-C3 (6,8):b:1,7</t>
  </si>
  <si>
    <t>O_g,m,t_–</t>
  </si>
  <si>
    <t>Ebrie</t>
  </si>
  <si>
    <t>O (35):g,m,t:–</t>
  </si>
  <si>
    <t>P_k_1,2</t>
  </si>
  <si>
    <t>Echa</t>
  </si>
  <si>
    <t>P (38):k:1,2</t>
  </si>
  <si>
    <t>U_b_e,n,z15</t>
  </si>
  <si>
    <t>Ede</t>
  </si>
  <si>
    <t>U (43):b:e,n,z15</t>
  </si>
  <si>
    <t>C1_b_1,5</t>
  </si>
  <si>
    <t>Edinburg</t>
  </si>
  <si>
    <t>C1 (6,7,14):b:1,5</t>
  </si>
  <si>
    <t>C2-C3_l,v_e,n,z15</t>
  </si>
  <si>
    <t>Edmonton</t>
  </si>
  <si>
    <t>C2-C3 (6,8):l,v:e,n,z15</t>
  </si>
  <si>
    <t>S_d_1,5</t>
  </si>
  <si>
    <t>Egusi</t>
  </si>
  <si>
    <t>S (41):d:1,5</t>
  </si>
  <si>
    <t>T_b_z6</t>
  </si>
  <si>
    <t>Egusitoo</t>
  </si>
  <si>
    <t>T (1,42):b:z6</t>
  </si>
  <si>
    <t>C1_f,g,t_1,2,7</t>
  </si>
  <si>
    <t>Eingedi</t>
  </si>
  <si>
    <t>1,2,7</t>
  </si>
  <si>
    <t>C1 (6,7):f,g,t:1,2,7</t>
  </si>
  <si>
    <t>B_e,h_1,6</t>
  </si>
  <si>
    <t>Eko</t>
  </si>
  <si>
    <t>B (4,12):e,h:1,6</t>
  </si>
  <si>
    <t>D2_z4,z23_–</t>
  </si>
  <si>
    <t>Ekotedo</t>
  </si>
  <si>
    <t>D2 (9,46):z4,z23:–</t>
  </si>
  <si>
    <t>X_z29_–</t>
  </si>
  <si>
    <t>Ekpoui</t>
  </si>
  <si>
    <t>X (47):z29:–</t>
  </si>
  <si>
    <t>V_b_e,n,x</t>
  </si>
  <si>
    <t>Elbeuf</t>
  </si>
  <si>
    <t>V (44):b:e,n,x</t>
  </si>
  <si>
    <t>E1_r_1,7</t>
  </si>
  <si>
    <t>Elisabethville</t>
  </si>
  <si>
    <t>E1 (3,{10}{15}):r:1,7</t>
  </si>
  <si>
    <t>D1_c_1,7</t>
  </si>
  <si>
    <t>Elokate</t>
  </si>
  <si>
    <t>D1 (9,12):c:1,7</t>
  </si>
  <si>
    <t>D1_z38_–</t>
  </si>
  <si>
    <t>Elomrane</t>
  </si>
  <si>
    <t>D1 (1,9,12):z38:–</t>
  </si>
  <si>
    <t>C2-C3_g,m,s_–</t>
  </si>
  <si>
    <t>Emek</t>
  </si>
  <si>
    <t>C2-C3 (8,20):g,m,s:–</t>
  </si>
  <si>
    <t>P_r_1,6</t>
  </si>
  <si>
    <t>Emmastad</t>
  </si>
  <si>
    <t>P (38):r:1,6</t>
  </si>
  <si>
    <t>H_d_l,z13,z28</t>
  </si>
  <si>
    <t>Encino</t>
  </si>
  <si>
    <t>H (1,6,14,25):d:l,z13,z28</t>
  </si>
  <si>
    <t>O_z10_l,w</t>
  </si>
  <si>
    <t>Enschede</t>
  </si>
  <si>
    <t>O (35):z10:l,w</t>
  </si>
  <si>
    <t>B_z_z6</t>
  </si>
  <si>
    <t>Entebbe</t>
  </si>
  <si>
    <t>B (1,4,12,27):z:z6</t>
  </si>
  <si>
    <t>D1_g,m_–</t>
  </si>
  <si>
    <t>Enteritidis3</t>
  </si>
  <si>
    <t>D1 (1,9,12):g,m:–</t>
  </si>
  <si>
    <t>I_l,[z13],z28_[1,5]</t>
  </si>
  <si>
    <t>Enugu</t>
  </si>
  <si>
    <t>l,[z13],z28</t>
  </si>
  <si>
    <t>I (16):l,[z13],z28:[1,5]</t>
  </si>
  <si>
    <t>U_l,w_[z44]</t>
  </si>
  <si>
    <t>Epalinges</t>
  </si>
  <si>
    <t>[z44]</t>
  </si>
  <si>
    <t>U (43):l,w:[z44]</t>
  </si>
  <si>
    <t>E1_b_l,w</t>
  </si>
  <si>
    <t>Epicrates</t>
  </si>
  <si>
    <t>E1 (3,10):b:l,w</t>
  </si>
  <si>
    <t>F_a_l,z13,z28</t>
  </si>
  <si>
    <t>Epinay</t>
  </si>
  <si>
    <t>F (11):a:l,z13,z28</t>
  </si>
  <si>
    <t>B_d_1,5</t>
  </si>
  <si>
    <t>Eppendorf</t>
  </si>
  <si>
    <t>B (1,4,12,[27]):d:1,5</t>
  </si>
  <si>
    <t>F_b_z6</t>
  </si>
  <si>
    <t>Erfurt</t>
  </si>
  <si>
    <t>F (11):b:z6</t>
  </si>
  <si>
    <t>C1_k_e,n,z15</t>
  </si>
  <si>
    <t>Escanaba</t>
  </si>
  <si>
    <t>C1 (6,7):k:e,n,z15</t>
  </si>
  <si>
    <t>D1_d_1,7</t>
  </si>
  <si>
    <t>Eschberg</t>
  </si>
  <si>
    <t>D1 (9,12):d:1,7</t>
  </si>
  <si>
    <t>C1_z10_1,6</t>
  </si>
  <si>
    <t>Eschweiler</t>
  </si>
  <si>
    <t>C1 (6,7):z10:1,6</t>
  </si>
  <si>
    <t>B_g,m_–</t>
  </si>
  <si>
    <t>Essen</t>
  </si>
  <si>
    <t>B (4,12):g,m:–</t>
  </si>
  <si>
    <t>I_l,w_z6</t>
  </si>
  <si>
    <t>Essingen</t>
  </si>
  <si>
    <t>I (16):l,w:z6</t>
  </si>
  <si>
    <t>F_z4,z23_e,n,z15</t>
  </si>
  <si>
    <t>Etterbeek</t>
  </si>
  <si>
    <t>F (11):z4,z23:e,n,z15</t>
  </si>
  <si>
    <t>F_r,i_e,n,x,z15</t>
  </si>
  <si>
    <t>Euston</t>
  </si>
  <si>
    <t>e,n,x,z15</t>
  </si>
  <si>
    <t>F (11):r,i:e,n,x,z15</t>
  </si>
  <si>
    <t>E1_z29_e,n,x</t>
  </si>
  <si>
    <t>Everleigh</t>
  </si>
  <si>
    <t>E1 (3,10):z29:e,n,x</t>
  </si>
  <si>
    <t>O_i_z6</t>
  </si>
  <si>
    <t>Evry</t>
  </si>
  <si>
    <t>O (35):i:z6</t>
  </si>
  <si>
    <t>M_z_1,7</t>
  </si>
  <si>
    <t>Ezra</t>
  </si>
  <si>
    <t>M (28):z:1,7</t>
  </si>
  <si>
    <t>M_r_l,w</t>
  </si>
  <si>
    <t>Fairfield</t>
  </si>
  <si>
    <t>M (28):r:l,w</t>
  </si>
  <si>
    <t>M_l,z28_e,n,x</t>
  </si>
  <si>
    <t>Fajara</t>
  </si>
  <si>
    <t>M (28):l,z28:e,n,x</t>
  </si>
  <si>
    <t>T_a_e,n,z15</t>
  </si>
  <si>
    <t>Faji</t>
  </si>
  <si>
    <t>T (1,42):a:e,n,z15</t>
  </si>
  <si>
    <t>E1_i_e,n,z15</t>
  </si>
  <si>
    <t>Falkensee</t>
  </si>
  <si>
    <t>E1 (3,{10}{15}):i:e,n,z15</t>
  </si>
  <si>
    <t>E1_l,z13,z28_e,n,z15</t>
  </si>
  <si>
    <t>Fallowfield</t>
  </si>
  <si>
    <t>E1 (3,10):l,z13,z28:e,n,z15</t>
  </si>
  <si>
    <t>F_l,v_e,n,x</t>
  </si>
  <si>
    <t>Fann</t>
  </si>
  <si>
    <t>F (11):l,v:e,n,x</t>
  </si>
  <si>
    <t>G_z38_–</t>
  </si>
  <si>
    <t>Fanti</t>
  </si>
  <si>
    <t>G (13,23):z38:–</t>
  </si>
  <si>
    <t>M_z10_1,5</t>
  </si>
  <si>
    <t>Farakan</t>
  </si>
  <si>
    <t>M (28):z10:1,5</t>
  </si>
  <si>
    <t>U_y_1,2</t>
  </si>
  <si>
    <t>Farcha</t>
  </si>
  <si>
    <t>U (43):y:1,2</t>
  </si>
  <si>
    <t>E4_r,i_l,w</t>
  </si>
  <si>
    <t>Fareham</t>
  </si>
  <si>
    <t>E4 (1,3,19):r,i:l,w</t>
  </si>
  <si>
    <t>U_z4,z23_[1,2]</t>
  </si>
  <si>
    <t>Farmingdale</t>
  </si>
  <si>
    <t>U (43):z4,z23:[1,2]</t>
  </si>
  <si>
    <t>G_z_1,6</t>
  </si>
  <si>
    <t>Farmsen</t>
  </si>
  <si>
    <t>G (13,23):z:1,6</t>
  </si>
  <si>
    <t>B_i_e,n,x</t>
  </si>
  <si>
    <t>Farsta</t>
  </si>
  <si>
    <t>B (4,12):i:e,n,x</t>
  </si>
  <si>
    <t>Z_l,v_1,2</t>
  </si>
  <si>
    <t>Fass</t>
  </si>
  <si>
    <t>Z (50):l,v:1,2</t>
  </si>
  <si>
    <t>C2-C3_l,w_1,2</t>
  </si>
  <si>
    <t>Fayed</t>
  </si>
  <si>
    <t>C2-C3 (6,8):l,w:1,2</t>
  </si>
  <si>
    <t>X_z4,z23_1,6</t>
  </si>
  <si>
    <t>Fehrbellin</t>
  </si>
  <si>
    <t>X (47):z4,z23:1,6</t>
  </si>
  <si>
    <t>S_k_1,6</t>
  </si>
  <si>
    <t>Ferlo</t>
  </si>
  <si>
    <t>S (41):k:1,6</t>
  </si>
  <si>
    <t>C2-C3_e,h_1,5</t>
  </si>
  <si>
    <t>Ferruch</t>
  </si>
  <si>
    <t>C2-C3 (8):e,h:1,5</t>
  </si>
  <si>
    <t>C2-C3_e,h_e,n,x</t>
  </si>
  <si>
    <t>Fillmore</t>
  </si>
  <si>
    <t>C2-C3 (6,8):e,h:e,n,x</t>
  </si>
  <si>
    <t>B_y_1,6</t>
  </si>
  <si>
    <t>Finaghy</t>
  </si>
  <si>
    <t>B (4,12):y:1,6</t>
  </si>
  <si>
    <t>F_d_z6</t>
  </si>
  <si>
    <t>Findorff</t>
  </si>
  <si>
    <t>F (11):d:z6</t>
  </si>
  <si>
    <t>H_d_1,5</t>
  </si>
  <si>
    <t>Finkenwerder</t>
  </si>
  <si>
    <t>H ([1],6,14,[25]):d:1,5</t>
  </si>
  <si>
    <t>I_a_e,n,z15</t>
  </si>
  <si>
    <t>Fischerhuette</t>
  </si>
  <si>
    <t>I (16):a:e,n,z15</t>
  </si>
  <si>
    <t>H_y_e,n,x</t>
  </si>
  <si>
    <t>Fischerkietz</t>
  </si>
  <si>
    <t>H (1,6,14,25):y:e,n,x</t>
  </si>
  <si>
    <t>V_d_e,n,z15</t>
  </si>
  <si>
    <t>Fischerstrasse</t>
  </si>
  <si>
    <t>V (44):d:e,n,z15</t>
  </si>
  <si>
    <t>Y_e,h_1,5</t>
  </si>
  <si>
    <t>Fitzroy</t>
  </si>
  <si>
    <t>Y (48):e,h:1,5</t>
  </si>
  <si>
    <t>E1_z4,z24_–</t>
  </si>
  <si>
    <t>Florian</t>
  </si>
  <si>
    <t>E1 (3,{10}{15}):z4,z24:–</t>
  </si>
  <si>
    <t>H_d_1,7</t>
  </si>
  <si>
    <t>H ([1],6,14,[25]):d:1,7</t>
  </si>
  <si>
    <t>52_b_e,n,x</t>
  </si>
  <si>
    <t>Flottbek</t>
  </si>
  <si>
    <t>52 (52):b:e,n,x</t>
  </si>
  <si>
    <t>K_b_1,5</t>
  </si>
  <si>
    <t>Fluntern</t>
  </si>
  <si>
    <t>K (6,14,18):b:1,5</t>
  </si>
  <si>
    <t>W_b_e,n,z15</t>
  </si>
  <si>
    <t>Fomeco</t>
  </si>
  <si>
    <t>W (45):b:e,n,z15</t>
  </si>
  <si>
    <t>I_z_1,6</t>
  </si>
  <si>
    <t>Fortlamy</t>
  </si>
  <si>
    <t>I (16):z:1,6</t>
  </si>
  <si>
    <t>B_z10_z6</t>
  </si>
  <si>
    <t>Fortune</t>
  </si>
  <si>
    <t>B (1,4,12,[27]):z10:z6</t>
  </si>
  <si>
    <t>D1_z6_z67</t>
  </si>
  <si>
    <t>Franken4</t>
  </si>
  <si>
    <t>z67</t>
  </si>
  <si>
    <t>D1 (9,12):z6:z67</t>
  </si>
  <si>
    <t>I_i_e,n,z15</t>
  </si>
  <si>
    <t>Frankfurt</t>
  </si>
  <si>
    <t>I (16):i:e,n,z15</t>
  </si>
  <si>
    <t>T_b_l,w</t>
  </si>
  <si>
    <t>Frederiksberg</t>
  </si>
  <si>
    <t>T (1,42):b:l,w</t>
  </si>
  <si>
    <t>M_b_l,w</t>
  </si>
  <si>
    <t>Freefalls</t>
  </si>
  <si>
    <t>M (28):b:l,w</t>
  </si>
  <si>
    <t>P_y_1,5</t>
  </si>
  <si>
    <t>Freetown</t>
  </si>
  <si>
    <t>P (38):y:1,5</t>
  </si>
  <si>
    <t>E1_l,z13_1,2</t>
  </si>
  <si>
    <t>Freiburg</t>
  </si>
  <si>
    <t>l,z13</t>
  </si>
  <si>
    <t>E1 (3,10):l,z13:1,2</t>
  </si>
  <si>
    <t>D2_z38_–</t>
  </si>
  <si>
    <t>Fresno</t>
  </si>
  <si>
    <t>D2 (9,46):z38:–</t>
  </si>
  <si>
    <t>G_d_1,6</t>
  </si>
  <si>
    <t>Friedenau</t>
  </si>
  <si>
    <t>G (13,22):d:1,6</t>
  </si>
  <si>
    <t>M_f,g_–</t>
  </si>
  <si>
    <t>Friedrichsfelde</t>
  </si>
  <si>
    <t>M (28):f,g:–</t>
  </si>
  <si>
    <t>D1_b_1,5</t>
  </si>
  <si>
    <t>Frintrop</t>
  </si>
  <si>
    <t>D1 (1,9,12):b:1,5</t>
  </si>
  <si>
    <t>E1_z_1,5</t>
  </si>
  <si>
    <t>Fufu</t>
  </si>
  <si>
    <t>E1 (3,10):z:1,5</t>
  </si>
  <si>
    <t>E4_l,w_1,5</t>
  </si>
  <si>
    <t>Fulda</t>
  </si>
  <si>
    <t>E4 (1,3,19):l,w:1,5</t>
  </si>
  <si>
    <t>B_a_[1,5]</t>
  </si>
  <si>
    <t>Fulica1</t>
  </si>
  <si>
    <t>B (4,[5],12):a:[1,5]</t>
  </si>
  <si>
    <t>B_l,v_1,2</t>
  </si>
  <si>
    <t>Fyris</t>
  </si>
  <si>
    <t>B (4,[5],12):l,v:1,2</t>
  </si>
  <si>
    <t>C1_l,w_1,2</t>
  </si>
  <si>
    <t>Gabon</t>
  </si>
  <si>
    <t>C1 (6,7):l,w:1,2</t>
  </si>
  <si>
    <t>I_c_1,6</t>
  </si>
  <si>
    <t>Gafsa</t>
  </si>
  <si>
    <t>I (16):c:1,6</t>
  </si>
  <si>
    <t>C2-C3_c_1,5</t>
  </si>
  <si>
    <t>Gaillac</t>
  </si>
  <si>
    <t>C2-C3 (8,20):c:1,5</t>
  </si>
  <si>
    <t>C1_k_1,2</t>
  </si>
  <si>
    <t>Galiema</t>
  </si>
  <si>
    <t>C1 (6,7,14):k:1,2</t>
  </si>
  <si>
    <t>E1_a_e,n,z15</t>
  </si>
  <si>
    <t>Galil</t>
  </si>
  <si>
    <t>E1 (3,10):a:e,n,z15</t>
  </si>
  <si>
    <t>F_a_1,2</t>
  </si>
  <si>
    <t>Gallen</t>
  </si>
  <si>
    <t>F (11):a:1,2</t>
  </si>
  <si>
    <t>D1_–_–</t>
  </si>
  <si>
    <t>Gallinarum</t>
  </si>
  <si>
    <t>D1 (1,9,12):–:–</t>
  </si>
  <si>
    <t>V_g,m,[s]_[1,6]</t>
  </si>
  <si>
    <t>Gamaba</t>
  </si>
  <si>
    <t>1,44</t>
  </si>
  <si>
    <t>[1,6]</t>
  </si>
  <si>
    <t>V (1,44):g,m,[s]:[1,6]</t>
  </si>
  <si>
    <t>L_z35_e,n,z15</t>
  </si>
  <si>
    <t>Gambaga</t>
  </si>
  <si>
    <t>L (21):z35:e,n,z15</t>
  </si>
  <si>
    <t>O_i_e,n,z15</t>
  </si>
  <si>
    <t>Gambia</t>
  </si>
  <si>
    <t>O (35):i:e,n,z15</t>
  </si>
  <si>
    <t>I_d_1,7</t>
  </si>
  <si>
    <t>Gaminara</t>
  </si>
  <si>
    <t>I (16):d:1,7</t>
  </si>
  <si>
    <t>H_a_1,5</t>
  </si>
  <si>
    <t>Garba</t>
  </si>
  <si>
    <t>H (1,6,14,25):a:1,5</t>
  </si>
  <si>
    <t>C1_i_1,6</t>
  </si>
  <si>
    <t>Garoli</t>
  </si>
  <si>
    <t>C1 (6,7):i:1,6</t>
  </si>
  <si>
    <t>O_e,h_z6</t>
  </si>
  <si>
    <t>Gassi</t>
  </si>
  <si>
    <t>O (35):e,h:z6</t>
  </si>
  <si>
    <t>D2_g,s,t_–</t>
  </si>
  <si>
    <t>Gateshead</t>
  </si>
  <si>
    <t>D2 (9,46):g,s,t:–</t>
  </si>
  <si>
    <t>E4_y_1,5</t>
  </si>
  <si>
    <t>Gatineau</t>
  </si>
  <si>
    <t>E4 (1,3,19):y:1,5</t>
  </si>
  <si>
    <t>C1_y_1,7</t>
  </si>
  <si>
    <t>Gatow</t>
  </si>
  <si>
    <t>C1 (6,7):y:1,7</t>
  </si>
  <si>
    <t>C2-C3_b_e,n,x</t>
  </si>
  <si>
    <t>Gatuni</t>
  </si>
  <si>
    <t>C2-C3 (6,8):b:e,n,x</t>
  </si>
  <si>
    <t>E1_c_1,5</t>
  </si>
  <si>
    <t>Gbadago</t>
  </si>
  <si>
    <t>E1 (3,{10}{15}):c:1,5</t>
  </si>
  <si>
    <t>C1_l,v_z6</t>
  </si>
  <si>
    <t>Gdansk</t>
  </si>
  <si>
    <t>C1 (6,7,14):l,v:z6</t>
  </si>
  <si>
    <t>N_r_1,5</t>
  </si>
  <si>
    <t>Gege</t>
  </si>
  <si>
    <t>N (30):r:1,5</t>
  </si>
  <si>
    <t>C1_b_e,n,z15</t>
  </si>
  <si>
    <t>C1 (6,7):b:e,n,z15</t>
  </si>
  <si>
    <t>T_z4,z23_1,6</t>
  </si>
  <si>
    <t>Gera</t>
  </si>
  <si>
    <t>T (1,42):z4,z23:1,6</t>
  </si>
  <si>
    <t>D2_l,v_1,6</t>
  </si>
  <si>
    <t>Geraldton</t>
  </si>
  <si>
    <t>D2 (9,46):l,v:1,6</t>
  </si>
  <si>
    <t>I_z_1,5</t>
  </si>
  <si>
    <t>Gerland</t>
  </si>
  <si>
    <t>I (16):z:1,5</t>
  </si>
  <si>
    <t>L_b_1,6</t>
  </si>
  <si>
    <t>Ghana</t>
  </si>
  <si>
    <t>L (21):b:1,6</t>
  </si>
  <si>
    <t>N_g,m,s_–</t>
  </si>
  <si>
    <t>Giessen</t>
  </si>
  <si>
    <t>N (30):g,m,s:–</t>
  </si>
  <si>
    <t>E1_,34} l,v_1,7</t>
  </si>
  <si>
    <t>Give</t>
  </si>
  <si>
    <t>,34} l,v</t>
  </si>
  <si>
    <t>E1 (3,{10}{15}{15):,34} l,v:1,7</t>
  </si>
  <si>
    <t>C2-C3_y_1,2</t>
  </si>
  <si>
    <t>Giza</t>
  </si>
  <si>
    <t>C2-C3 (8,20):y:1,2</t>
  </si>
  <si>
    <t>I_b_1,6</t>
  </si>
  <si>
    <t>Glasgow</t>
  </si>
  <si>
    <t>I (16):b:1,6</t>
  </si>
  <si>
    <t>F_l,w_1,5</t>
  </si>
  <si>
    <t>Glidji</t>
  </si>
  <si>
    <t>F (11):l,w:1,5</t>
  </si>
  <si>
    <t>Glostrup</t>
  </si>
  <si>
    <t>C2-C3 (6,8):z10:e,n,z15</t>
  </si>
  <si>
    <t>B_i_l,w</t>
  </si>
  <si>
    <t>Gloucester</t>
  </si>
  <si>
    <t>B (1,4,12,27):i:l,w</t>
  </si>
  <si>
    <t>E4_b_1,5</t>
  </si>
  <si>
    <t>Gnesta</t>
  </si>
  <si>
    <t>E4 (1,3,19):b:1,5</t>
  </si>
  <si>
    <t>N_g,m,[t]_–</t>
  </si>
  <si>
    <t>Godesberg</t>
  </si>
  <si>
    <t>N (30):g,m,[t]:–</t>
  </si>
  <si>
    <t>E1_a_1,5</t>
  </si>
  <si>
    <t>Goelzau</t>
  </si>
  <si>
    <t>E1 (3,{10}{15}):a:1,5</t>
  </si>
  <si>
    <t>D1_c_1,5</t>
  </si>
  <si>
    <t>Goeteborg</t>
  </si>
  <si>
    <t>D1 (9,12):c:1,5</t>
  </si>
  <si>
    <t>D1_l,v_e,n,z15</t>
  </si>
  <si>
    <t>Goettingen</t>
  </si>
  <si>
    <t>D1 (9,12):l,v:e,n,z15</t>
  </si>
  <si>
    <t>51_d_1,5</t>
  </si>
  <si>
    <t>Gokul</t>
  </si>
  <si>
    <t>1,51</t>
  </si>
  <si>
    <t>51 (1,51):d:1,5</t>
  </si>
  <si>
    <t>C2-C3_r_l,w</t>
  </si>
  <si>
    <t>Goldcoast</t>
  </si>
  <si>
    <t>C2-C3 (6,8):r:l,w</t>
  </si>
  <si>
    <t>C1_z4,z23_z6</t>
  </si>
  <si>
    <t>Goma</t>
  </si>
  <si>
    <t>C1 (6,7):z4,z23:z6</t>
  </si>
  <si>
    <t>C1_d_e,n,z15</t>
  </si>
  <si>
    <t>Gombe</t>
  </si>
  <si>
    <t>C1 (6,7,14):d:e,n,z15</t>
  </si>
  <si>
    <t>L_f,g_e,n,x</t>
  </si>
  <si>
    <t>Good</t>
  </si>
  <si>
    <t>L (21):f,g:e,n,x</t>
  </si>
  <si>
    <t>J_z_1,2</t>
  </si>
  <si>
    <t>Gori</t>
  </si>
  <si>
    <t>J (17):z:1,2</t>
  </si>
  <si>
    <t>R_k_1,5</t>
  </si>
  <si>
    <t>Goulfey</t>
  </si>
  <si>
    <t>R (1,40):k:1,5</t>
  </si>
  <si>
    <t>O_c_1,5</t>
  </si>
  <si>
    <t>Gouloumbo</t>
  </si>
  <si>
    <t>O (35):c:1,5</t>
  </si>
  <si>
    <t>D1_k_1,6</t>
  </si>
  <si>
    <t>Goverdhan</t>
  </si>
  <si>
    <t>D1 (9,12):k:1,6</t>
  </si>
  <si>
    <t>M_e,h_e,n,z15</t>
  </si>
  <si>
    <t>Gozo</t>
  </si>
  <si>
    <t>M (28):e,h:e,n,z15</t>
  </si>
  <si>
    <t>C1_r_l,w</t>
  </si>
  <si>
    <t>Grampian</t>
  </si>
  <si>
    <t>C1 (6,7):r:l,w</t>
  </si>
  <si>
    <t>I_z39_[1,6]</t>
  </si>
  <si>
    <t>Grancanaria</t>
  </si>
  <si>
    <t>z39</t>
  </si>
  <si>
    <t>I (16):z39:[1,6]</t>
  </si>
  <si>
    <t>N_r_1,2</t>
  </si>
  <si>
    <t>Grandhaven</t>
  </si>
  <si>
    <t>N (30):r:1,2</t>
  </si>
  <si>
    <t>J_l,z28_e,n,x</t>
  </si>
  <si>
    <t>Granlo</t>
  </si>
  <si>
    <t>J (17):l,z28:e,n,x</t>
  </si>
  <si>
    <t>U_a_1,2</t>
  </si>
  <si>
    <t>Graz</t>
  </si>
  <si>
    <t>U (43):a:1,2</t>
  </si>
  <si>
    <t>R_a_z6</t>
  </si>
  <si>
    <t>Greiz</t>
  </si>
  <si>
    <t>R (40):a:z6</t>
  </si>
  <si>
    <t>K_d_1,5</t>
  </si>
  <si>
    <t>Groenekan</t>
  </si>
  <si>
    <t>K (18):d:1,5</t>
  </si>
  <si>
    <t>G_d_1,7</t>
  </si>
  <si>
    <t>Grumpensis</t>
  </si>
  <si>
    <t>G (1,13,23):d:1,7</t>
  </si>
  <si>
    <t>N_a_e,n,x</t>
  </si>
  <si>
    <t>Guarapiranga</t>
  </si>
  <si>
    <t>N (30):a:e,n,x</t>
  </si>
  <si>
    <t>D2_e,h_z6</t>
  </si>
  <si>
    <t>Guerin</t>
  </si>
  <si>
    <t>D2 (9,46):e,h:z6</t>
  </si>
  <si>
    <t>D1_g,m,s_–</t>
  </si>
  <si>
    <t>Gueuletapee</t>
  </si>
  <si>
    <t>D1 (9,12):g,m,s:–</t>
  </si>
  <si>
    <t>M_k_1,2</t>
  </si>
  <si>
    <t>Guildford</t>
  </si>
  <si>
    <t>M (28):k:1,2</t>
  </si>
  <si>
    <t>V_z10_1,7</t>
  </si>
  <si>
    <t>Guinea</t>
  </si>
  <si>
    <t>V (1,44):z10:1,7</t>
  </si>
  <si>
    <t>F_d_1,5</t>
  </si>
  <si>
    <t>Gustavia</t>
  </si>
  <si>
    <t>F (11):d:1,5</t>
  </si>
  <si>
    <t>T_k_z6</t>
  </si>
  <si>
    <t>Gwale</t>
  </si>
  <si>
    <t>T (1,42):k:z6</t>
  </si>
  <si>
    <t>E4_a_e,n,z15</t>
  </si>
  <si>
    <t>Gwoza</t>
  </si>
  <si>
    <t>E4 (1,3,19):a:e,n,z15</t>
  </si>
  <si>
    <t>Haardt</t>
  </si>
  <si>
    <t>C2-C3 (8):k:1,5</t>
  </si>
  <si>
    <t>C2-C3_z10_e,n,x</t>
  </si>
  <si>
    <t>Hadar</t>
  </si>
  <si>
    <t>C2-C3 (6,8):z10:e,n,x</t>
  </si>
  <si>
    <t>J_y_e,n,z15</t>
  </si>
  <si>
    <t>Hadejia</t>
  </si>
  <si>
    <t>J (17):y:e,n,z15</t>
  </si>
  <si>
    <t>B_l,z13,[z28]_1,6</t>
  </si>
  <si>
    <t>Haduna</t>
  </si>
  <si>
    <t>B (4,12):l,z13,[z28]:1,6</t>
  </si>
  <si>
    <t>C1_m,p,t,[u]_–</t>
  </si>
  <si>
    <t>Haelsingborg</t>
  </si>
  <si>
    <t>m,p,t,[u]</t>
  </si>
  <si>
    <t>C1 (6,7):m,p,t,[u]:–</t>
  </si>
  <si>
    <t>T_k_1,6</t>
  </si>
  <si>
    <t>Haferbreite</t>
  </si>
  <si>
    <t>T (42):k:1,6</t>
  </si>
  <si>
    <t>O_z38_–</t>
  </si>
  <si>
    <t>Haga</t>
  </si>
  <si>
    <t>O (35):z38:–</t>
  </si>
  <si>
    <t>B_z10_1,2</t>
  </si>
  <si>
    <t>Haifa</t>
  </si>
  <si>
    <t>B (1,4,[5],12):z10:1,2</t>
  </si>
  <si>
    <t>M_c_1,7</t>
  </si>
  <si>
    <t>Halle</t>
  </si>
  <si>
    <t>M (28):c:1,7</t>
  </si>
  <si>
    <t>B_c_l,w</t>
  </si>
  <si>
    <t>Hallfold</t>
  </si>
  <si>
    <t>B (1,4,12,27):c:l,w</t>
  </si>
  <si>
    <t>G_d_1,2</t>
  </si>
  <si>
    <t>Handen</t>
  </si>
  <si>
    <t>G (1,13,23):d:1,2</t>
  </si>
  <si>
    <t>R_k_e,n,x</t>
  </si>
  <si>
    <t>Hann</t>
  </si>
  <si>
    <t>R (40):k:e,n,x</t>
  </si>
  <si>
    <t>I_a_1,2</t>
  </si>
  <si>
    <t>Hannover</t>
  </si>
  <si>
    <t>I (16):a:1,2</t>
  </si>
  <si>
    <t>G_c_e,n,x,z15</t>
  </si>
  <si>
    <t>Haouaria</t>
  </si>
  <si>
    <t>G (13,22):c:e,n,x,z15</t>
  </si>
  <si>
    <t>H_k_1,5</t>
  </si>
  <si>
    <t>Harburg</t>
  </si>
  <si>
    <t>H ([1],6,14,[25]):k:1,5</t>
  </si>
  <si>
    <t>51_l,v_1,2</t>
  </si>
  <si>
    <t>Harcourt</t>
  </si>
  <si>
    <t>51 (51):l,v:1,2</t>
  </si>
  <si>
    <t>E1_z_1,6</t>
  </si>
  <si>
    <t>Harleystreet</t>
  </si>
  <si>
    <t>E1 (3,10):z:1,6</t>
  </si>
  <si>
    <t>E1_,34} z10_1,6</t>
  </si>
  <si>
    <t>Harrisonburg</t>
  </si>
  <si>
    <t>,34} z10</t>
  </si>
  <si>
    <t>E1 (3,{10}{15}{15):,34} z10:1,6</t>
  </si>
  <si>
    <t>C1_y_e,n,x</t>
  </si>
  <si>
    <t>Hartford</t>
  </si>
  <si>
    <t>C1 (6,7):y:e,n,x</t>
  </si>
  <si>
    <t>T_y_z6</t>
  </si>
  <si>
    <t>Harvestehude</t>
  </si>
  <si>
    <t>T (1,42):y:z6</t>
  </si>
  <si>
    <t>M_d_1,6</t>
  </si>
  <si>
    <t>Hatfield</t>
  </si>
  <si>
    <t>M (28):d:1,6</t>
  </si>
  <si>
    <t>B_g,m,s_[1,2]</t>
  </si>
  <si>
    <t>Hato</t>
  </si>
  <si>
    <t>B (1,4,[5],12):g,m,s:[1,2]</t>
  </si>
  <si>
    <t>G_f,g,[s]_–</t>
  </si>
  <si>
    <t>Havana</t>
  </si>
  <si>
    <t>f,g,[s]</t>
  </si>
  <si>
    <t>G (1,13,23):f,g,[s]:–</t>
  </si>
  <si>
    <t>E4_e,h_1,6</t>
  </si>
  <si>
    <t>Hayindogo</t>
  </si>
  <si>
    <t>E4 (1,3,19):e,h:1,6</t>
  </si>
  <si>
    <t>F_i_1,6</t>
  </si>
  <si>
    <t>Heerlen</t>
  </si>
  <si>
    <t>F (11):i:1,6</t>
  </si>
  <si>
    <t>Q_z10_–</t>
  </si>
  <si>
    <t>Hegau</t>
  </si>
  <si>
    <t>Q (39):z10:–</t>
  </si>
  <si>
    <t>B_r_1,2</t>
  </si>
  <si>
    <t>Heidelberg</t>
  </si>
  <si>
    <t>B (1,4,[5],12):r:1,2</t>
  </si>
  <si>
    <t>Heistopdenberg</t>
  </si>
  <si>
    <t>C2-C3 (8,20):b:l,w</t>
  </si>
  <si>
    <t>Z_d_1,5</t>
  </si>
  <si>
    <t>Hemingford</t>
  </si>
  <si>
    <t>Z (50):d:1,5</t>
  </si>
  <si>
    <t>T_z35_e,n,z15</t>
  </si>
  <si>
    <t>Hennekamp</t>
  </si>
  <si>
    <t>T (42):z35:e,n,z15</t>
  </si>
  <si>
    <t>M_c_1,5</t>
  </si>
  <si>
    <t>Hermannswerd</t>
  </si>
  <si>
    <t>er 28</t>
  </si>
  <si>
    <t>M (er 28):c:1,5</t>
  </si>
  <si>
    <t>I_a_z6</t>
  </si>
  <si>
    <t>Heron</t>
  </si>
  <si>
    <t>I (16):a:z6</t>
  </si>
  <si>
    <t>C2-C3_d_e,n,z15</t>
  </si>
  <si>
    <t>Herston</t>
  </si>
  <si>
    <t>C2-C3 (6,8):d:e,n,z15</t>
  </si>
  <si>
    <t>F_y_e,n,x</t>
  </si>
  <si>
    <t>Herzliya</t>
  </si>
  <si>
    <t>F (11):y:e,n,x</t>
  </si>
  <si>
    <t>B_a_1,5</t>
  </si>
  <si>
    <t>Hessarek1</t>
  </si>
  <si>
    <t>B (4,12,[27]):a:1,5</t>
  </si>
  <si>
    <t>C2-C3_r,[i]_e,n,z15</t>
  </si>
  <si>
    <t>Hidalgo</t>
  </si>
  <si>
    <t>C2-C3 (6,8):r,[i]:e,n,z15</t>
  </si>
  <si>
    <t>C2-C3_l,z13,z28_1,5</t>
  </si>
  <si>
    <t>Hiduddify</t>
  </si>
  <si>
    <t>C2-C3 (6,8):l,z13,z28:1,5</t>
  </si>
  <si>
    <t>D2_z35_1,5</t>
  </si>
  <si>
    <t>Hillegersberg</t>
  </si>
  <si>
    <t>D2 (9,46):z35:1,5</t>
  </si>
  <si>
    <t>D2_g,m_–</t>
  </si>
  <si>
    <t>Hillingdon</t>
  </si>
  <si>
    <t>D2 (9,46):g,m:–</t>
  </si>
  <si>
    <t>C1_z41_l,w</t>
  </si>
  <si>
    <t>Hillsborough</t>
  </si>
  <si>
    <t>C1 (6,7):z41:l,w</t>
  </si>
  <si>
    <t>N_k_1,2</t>
  </si>
  <si>
    <t>Hilversum</t>
  </si>
  <si>
    <t>N (30):k:1,2</t>
  </si>
  <si>
    <t>C2-C3_r_1,5</t>
  </si>
  <si>
    <t>Hindmarsh</t>
  </si>
  <si>
    <t>C2-C3 (8,20):r:1,5</t>
  </si>
  <si>
    <t>Y_a_1,5,7</t>
  </si>
  <si>
    <t>Hisingen</t>
  </si>
  <si>
    <t>1,5,7</t>
  </si>
  <si>
    <t>Y (48):a:1,5,7</t>
  </si>
  <si>
    <t>C1_c_1,2</t>
  </si>
  <si>
    <t>Hissar</t>
  </si>
  <si>
    <t>C1 (6,7,14):c:1,2</t>
  </si>
  <si>
    <t>I_c_e,n,z15</t>
  </si>
  <si>
    <t>Hithergreen</t>
  </si>
  <si>
    <t>I (16):c:e,n,z15</t>
  </si>
  <si>
    <t>E1_i_l,w</t>
  </si>
  <si>
    <t>Hoboken</t>
  </si>
  <si>
    <t>E1 (3,10):i:l,w</t>
  </si>
  <si>
    <t>Q_i_1,5</t>
  </si>
  <si>
    <t>Hofit</t>
  </si>
  <si>
    <t>Q (39):i:1,5</t>
  </si>
  <si>
    <t>E1_l,z13,z28_z6</t>
  </si>
  <si>
    <t>Hoghton</t>
  </si>
  <si>
    <t>E1 (3,10):l,z13,z28:z6</t>
  </si>
  <si>
    <t>N_z_e,n,x,z15</t>
  </si>
  <si>
    <t>Hohentwiel</t>
  </si>
  <si>
    <t>N (30):z:e,n,x,z15</t>
  </si>
  <si>
    <t>C2-C3_l,v_e,n,x</t>
  </si>
  <si>
    <t>Holcomb</t>
  </si>
  <si>
    <t>C2-C3 (6,8):l,v:e,n,x</t>
  </si>
  <si>
    <t>H_z_1,5</t>
  </si>
  <si>
    <t>Homosassa</t>
  </si>
  <si>
    <t>H (1,6,14,25):z:1,5</t>
  </si>
  <si>
    <t>M_a_e,n,z15</t>
  </si>
  <si>
    <t>Honelis</t>
  </si>
  <si>
    <t>M (28):a:e,n,z15</t>
  </si>
  <si>
    <t>E4_z_z6</t>
  </si>
  <si>
    <t>Hongkong</t>
  </si>
  <si>
    <t>E4 (1,3,19):z:z6</t>
  </si>
  <si>
    <t>H_l,v_e,n,x</t>
  </si>
  <si>
    <t>Horsham</t>
  </si>
  <si>
    <t>1,6,14,[25]</t>
  </si>
  <si>
    <t>H (1,6,14,[25]):l,v:e,n,x</t>
  </si>
  <si>
    <t>D1_l,v_1,5</t>
  </si>
  <si>
    <t>Houston</t>
  </si>
  <si>
    <t>D1 (9,12):l,v:1,5</t>
  </si>
  <si>
    <t>E1_z_1,7</t>
  </si>
  <si>
    <t>Huddinge</t>
  </si>
  <si>
    <t>E1 (3,10):z:1,7</t>
  </si>
  <si>
    <t>B_a_l,w</t>
  </si>
  <si>
    <t>Huettwilen</t>
  </si>
  <si>
    <t>B (1,4,12):a:l,w</t>
  </si>
  <si>
    <t>I_b_1,2</t>
  </si>
  <si>
    <t>Hull</t>
  </si>
  <si>
    <t>I (16):b:1,2</t>
  </si>
  <si>
    <t>E1_b_1,7</t>
  </si>
  <si>
    <t>Huvudsta</t>
  </si>
  <si>
    <t>3,{10}{15,34}</t>
  </si>
  <si>
    <t>E1 (3,{10}{15,34}):b:1,7</t>
  </si>
  <si>
    <t>I_b_e,n,x</t>
  </si>
  <si>
    <t>Hvittingfoss</t>
  </si>
  <si>
    <t>I (16):b:e,n,x</t>
  </si>
  <si>
    <t>L_c_1,6</t>
  </si>
  <si>
    <t>Hydra</t>
  </si>
  <si>
    <t>L (21):c:1,6</t>
  </si>
  <si>
    <t>G_b_1,5</t>
  </si>
  <si>
    <t>Ibadan</t>
  </si>
  <si>
    <t>G (13,22):b:1,5</t>
  </si>
  <si>
    <t>L_y_1,2</t>
  </si>
  <si>
    <t>Ibaragi</t>
  </si>
  <si>
    <t>L (21):y:1,2</t>
  </si>
  <si>
    <t>G_i_1,5</t>
  </si>
  <si>
    <t>Idikan</t>
  </si>
  <si>
    <t>G (1,13,23):i:1,5</t>
  </si>
  <si>
    <t>B_7] a_e,n,x</t>
  </si>
  <si>
    <t>II</t>
  </si>
  <si>
    <t>1,4,[5],12,[2</t>
  </si>
  <si>
    <t>7] a</t>
  </si>
  <si>
    <t>B (1,4,[5],12,[2):7] a:e,n,x</t>
  </si>
  <si>
    <t>B_a_z39</t>
  </si>
  <si>
    <t>B (1,4,12,[27]):a:z39</t>
  </si>
  <si>
    <t>B_b_1,5</t>
  </si>
  <si>
    <t>B (4,12):b:1,5</t>
  </si>
  <si>
    <t>B_b_[e,n,x]</t>
  </si>
  <si>
    <t>B (1,4,[5],12,[27]):b:[e,n,x]</t>
  </si>
  <si>
    <t>B_d_e,n,x</t>
  </si>
  <si>
    <t>B (4,12):d:e,n,x</t>
  </si>
  <si>
    <t>B_e,n,x_1,2,7</t>
  </si>
  <si>
    <t>B (4,12):e,n,x:1,2,7</t>
  </si>
  <si>
    <t>B_e,n,x_1,[5],7</t>
  </si>
  <si>
    <t>1,[5],7</t>
  </si>
  <si>
    <t>B (1,4,12,[27]):e,n,x:1,[5],7</t>
  </si>
  <si>
    <t>B_f,g,t_z6</t>
  </si>
  <si>
    <t>B (1,4,[5],12):f,g,t:z6</t>
  </si>
  <si>
    <t>B_g,[m],[s],_t e,n,x</t>
  </si>
  <si>
    <t>g,[m],[s],</t>
  </si>
  <si>
    <t>t e,n,x</t>
  </si>
  <si>
    <t>B (1,4,12,[27]):g,[m],[s],:t e,n,x</t>
  </si>
  <si>
    <t>B_g,[m],t_[1,5]</t>
  </si>
  <si>
    <t>g,[m],t</t>
  </si>
  <si>
    <t>B (1,4,12,[27]):g,[m],t:[1,5]</t>
  </si>
  <si>
    <t>B_g,m,t_z39</t>
  </si>
  <si>
    <t>B (4,12):g,m,t:z39</t>
  </si>
  <si>
    <t>B_g,z62_–</t>
  </si>
  <si>
    <t>g,z62</t>
  </si>
  <si>
    <t>B (4,12):g,z62:–</t>
  </si>
  <si>
    <t>B_i_z35</t>
  </si>
  <si>
    <t>B (4,12,27):i:z35</t>
  </si>
  <si>
    <t>B_k_1,6</t>
  </si>
  <si>
    <t>B (1,4,12,27):k:1,6</t>
  </si>
  <si>
    <t>B_l,v_e,n,x</t>
  </si>
  <si>
    <t>B (1,4,12,27):l,v:e,n,x</t>
  </si>
  <si>
    <t>B_l,v_z39</t>
  </si>
  <si>
    <t>B (1,4,12,27):l,v:z39</t>
  </si>
  <si>
    <t>B_l,w_e,n,x</t>
  </si>
  <si>
    <t>B (4,12):l,w:e,n,x</t>
  </si>
  <si>
    <t>B_l,z28_[e,n,x]</t>
  </si>
  <si>
    <t>B (1,4,12):l,z28:[e,n,x]</t>
  </si>
  <si>
    <t>B_z_1,5</t>
  </si>
  <si>
    <t>B (1,4,12,27):z:1,5</t>
  </si>
  <si>
    <t>B_z_1,7</t>
  </si>
  <si>
    <t>B (4,12):z:1,7</t>
  </si>
  <si>
    <t>B_z_e,n,x</t>
  </si>
  <si>
    <t>B (1,4,12,27):z:e,n,x</t>
  </si>
  <si>
    <t>B_z_z39</t>
  </si>
  <si>
    <t>B (4,12):z:z39</t>
  </si>
  <si>
    <t>B_z29_e,n,x</t>
  </si>
  <si>
    <t>B (1,4,12):z29:e,n,x</t>
  </si>
  <si>
    <t>B_z39_1,[5],7</t>
  </si>
  <si>
    <t>B (1,4,12,[27]):z39:1,[5],7</t>
  </si>
  <si>
    <t>C1_a_1,5</t>
  </si>
  <si>
    <t>C1 (6,7,14):a:1,5</t>
  </si>
  <si>
    <t>C1 (6,7):a:z6</t>
  </si>
  <si>
    <t>C1_a_z42</t>
  </si>
  <si>
    <t>z42</t>
  </si>
  <si>
    <t>C1 (6,7):a:z42</t>
  </si>
  <si>
    <t>C1_b_[e,n,x]</t>
  </si>
  <si>
    <t>C1 (6,7):b:[e,n,x]</t>
  </si>
  <si>
    <t>C1_b_z39</t>
  </si>
  <si>
    <t>C1 (6,7):b:z39</t>
  </si>
  <si>
    <t>C1_d_z42</t>
  </si>
  <si>
    <t>C1 (6,7):d:z42</t>
  </si>
  <si>
    <t>C1_e,n,x_1,6</t>
  </si>
  <si>
    <t>C1 (6,7):e,n,x:1,6</t>
  </si>
  <si>
    <t>C1_g,m,[s],t_e,n,x</t>
  </si>
  <si>
    <t>g,m,[s],t</t>
  </si>
  <si>
    <t>C1 (6,7):g,m,[s],t:e,n,x</t>
  </si>
  <si>
    <t>C1_(g),m,[s],_t 1,5</t>
  </si>
  <si>
    <t>(g),m,[s],</t>
  </si>
  <si>
    <t>t 1,5</t>
  </si>
  <si>
    <t>C1 (6,7):(g),m,[s],:t 1,5</t>
  </si>
  <si>
    <t>C1_g,m,s,t_z39</t>
  </si>
  <si>
    <t>g,m,s,t</t>
  </si>
  <si>
    <t>C1 (6,7):g,m,s,t:z39</t>
  </si>
  <si>
    <t>C1_g,[m],s,t_[z42]</t>
  </si>
  <si>
    <t>g,[m],s,t</t>
  </si>
  <si>
    <t>[z42]</t>
  </si>
  <si>
    <t>C1 (6,7):g,[m],s,t:[z42]</t>
  </si>
  <si>
    <t>C1_g,t_[e,n,x]</t>
  </si>
  <si>
    <t>C1 (6,7):g,t:[e,n,x]</t>
  </si>
  <si>
    <t>C1_m,t_–</t>
  </si>
  <si>
    <t>C1 (6,7):m,t:–</t>
  </si>
  <si>
    <t>C1_k_[z6]</t>
  </si>
  <si>
    <t>C1 (6,7):k:[z6]</t>
  </si>
  <si>
    <t>C1_l,w_1,5,7</t>
  </si>
  <si>
    <t>C1 (6,7):l,w:1,5,7</t>
  </si>
  <si>
    <t>C1_l,w_z42</t>
  </si>
  <si>
    <t>C1 (6,7):l,w:z42</t>
  </si>
  <si>
    <t>C1_l,z28_1,5</t>
  </si>
  <si>
    <t>C1 (6,7):l,z28:1,5</t>
  </si>
  <si>
    <t>C1_l,z28_e,n,x</t>
  </si>
  <si>
    <t>C1 (6,7):l,z28:e,n,x</t>
  </si>
  <si>
    <t>C1_l,z28_z6</t>
  </si>
  <si>
    <t>C1 (6,7):l,z28:z6</t>
  </si>
  <si>
    <t>C1_z_1,5</t>
  </si>
  <si>
    <t>C1 (6,7):z:1,5</t>
  </si>
  <si>
    <t>C1_z_z6</t>
  </si>
  <si>
    <t>C1 (6,7):z:z6</t>
  </si>
  <si>
    <t>C1_z_z39</t>
  </si>
  <si>
    <t>C1 (6,7):z:z39</t>
  </si>
  <si>
    <t>C1_z_z42</t>
  </si>
  <si>
    <t>C1 (6,7):z:z42</t>
  </si>
  <si>
    <t>C1_z4,z23__</t>
  </si>
  <si>
    <t>_</t>
  </si>
  <si>
    <t>C1 (6,7):z4,z23:_</t>
  </si>
  <si>
    <t>C1_z4,z24_z42</t>
  </si>
  <si>
    <t>C1 (6,7):z4,z24:z42</t>
  </si>
  <si>
    <t>C1_z6_1,7</t>
  </si>
  <si>
    <t>C1 (6,7):z6:1,7</t>
  </si>
  <si>
    <t>C1_z29_[z42]</t>
  </si>
  <si>
    <t>C1 (6,7):z29:[z42]</t>
  </si>
  <si>
    <t>C1_z36_z42</t>
  </si>
  <si>
    <t>C1 (6,7):z36:z42</t>
  </si>
  <si>
    <t>C1_z39_1,5,7</t>
  </si>
  <si>
    <t>C1 (6,7):z39:1,5,7</t>
  </si>
  <si>
    <t>C1_z42_1,[5],7</t>
  </si>
  <si>
    <t>C1 (6,7):z42:1,[5],7</t>
  </si>
  <si>
    <t>C1_–_1,6</t>
  </si>
  <si>
    <t>C1 (6,7):–:1,6</t>
  </si>
  <si>
    <t>C2-C3_a_e,n,x</t>
  </si>
  <si>
    <t>C2-C3 (6,8):a:e,n,x</t>
  </si>
  <si>
    <t>C2-C3_a_z39</t>
  </si>
  <si>
    <t>C2-C3 (6,8):a:z39</t>
  </si>
  <si>
    <t>C2-C3_a_z52</t>
  </si>
  <si>
    <t>z52</t>
  </si>
  <si>
    <t>C2-C3 (6,8):a:z52</t>
  </si>
  <si>
    <t>C2-C3_b_1,5</t>
  </si>
  <si>
    <t>C2-C3 (6,8):b:1,5</t>
  </si>
  <si>
    <t>C2-C3_d_z6</t>
  </si>
  <si>
    <t>C2-C3 (6,8):d:z6</t>
  </si>
  <si>
    <t>C2-C3_f,g,m,t_[e,n,x]</t>
  </si>
  <si>
    <t>f,g,m,t</t>
  </si>
  <si>
    <t>C2-C3 (6,8):f,g,m,t:[e,n,x]</t>
  </si>
  <si>
    <t>C2-C3_g,m,t_1,7</t>
  </si>
  <si>
    <t>C2-C3 (6,8):g,m,t:1,7</t>
  </si>
  <si>
    <t>C2-C3_m,t_1,5</t>
  </si>
  <si>
    <t>C2-C3 (6,8):m,t:1,5</t>
  </si>
  <si>
    <t>C2-C3_m,t_e,n,x</t>
  </si>
  <si>
    <t>C2-C3 (6,8):m,t:e,n,x</t>
  </si>
  <si>
    <t>C2-C3_l,w_z6</t>
  </si>
  <si>
    <t>C2-C3 (6,8):l,w:z6</t>
  </si>
  <si>
    <t>C2-C3_l,z28_e,n,x</t>
  </si>
  <si>
    <t>C2-C3 (6,8):l,z28:e,n,x</t>
  </si>
  <si>
    <t>C2-C3_z_1,5</t>
  </si>
  <si>
    <t>C2-C3 (6,8):z:1,5</t>
  </si>
  <si>
    <t>C2-C3_z29_1,5</t>
  </si>
  <si>
    <t>C2-C3 (6,8):z29:1,5</t>
  </si>
  <si>
    <t>C2-C3_z29_e,n,x</t>
  </si>
  <si>
    <t>C2-C3 (6,8):z29:e,n,x</t>
  </si>
  <si>
    <t>D1_a_1,5</t>
  </si>
  <si>
    <t>D1 (9,12):a:1,5</t>
  </si>
  <si>
    <t>D1_a_e,n,x</t>
  </si>
  <si>
    <t>D1 (1,9,12):a:e,n,x</t>
  </si>
  <si>
    <t>D1_a_z39</t>
  </si>
  <si>
    <t>D1 (9,12):a:z39</t>
  </si>
  <si>
    <t>D1_a_z42</t>
  </si>
  <si>
    <t>D1 (1,9,12):a:z42</t>
  </si>
  <si>
    <t>D1_b_e,n,x</t>
  </si>
  <si>
    <t>D1 (1,9,12):b:e,n,x</t>
  </si>
  <si>
    <t>D1_b_z6</t>
  </si>
  <si>
    <t>D1 (1,9,12):b:z6</t>
  </si>
  <si>
    <t>D1_b_z39</t>
  </si>
  <si>
    <t>D1 (1,9,12):b:z39</t>
  </si>
  <si>
    <t>D1_d_e,n,x</t>
  </si>
  <si>
    <t>D1 (1,9,12):d:e,n,x</t>
  </si>
  <si>
    <t>D1_d_z39</t>
  </si>
  <si>
    <t>D1 (9,12):d:z39</t>
  </si>
  <si>
    <t>D1_e,n,x_1,[5],7</t>
  </si>
  <si>
    <t>D1 (9,12):e,n,x:1,[5],7</t>
  </si>
  <si>
    <t>D1_e,n,x_1,6</t>
  </si>
  <si>
    <t>D1 (9,12):e,n,x:1,6</t>
  </si>
  <si>
    <t>D1_g,m,[s],t_[1,5,7]</t>
  </si>
  <si>
    <t>[1,5,7]</t>
  </si>
  <si>
    <t>D1 (1,9,12):g,m,[s],t:[1,5,7]</t>
  </si>
  <si>
    <t>D1_g,m,s,t_e,n,x</t>
  </si>
  <si>
    <t>D1 (1,9,12):g,m,s,t:e,n,x</t>
  </si>
  <si>
    <t>D1_g,s,t_e,n,x</t>
  </si>
  <si>
    <t>D1 (9,12):g,s,t:e,n,x</t>
  </si>
  <si>
    <t>D1_g,z62_[e,n,x]</t>
  </si>
  <si>
    <t>D1 (1,9,12):g,z62:[e,n,x]</t>
  </si>
  <si>
    <t>D1_m,t_e,n,x</t>
  </si>
  <si>
    <t>D1 (9,12):m,t:e,n,x</t>
  </si>
  <si>
    <t>D1_m,t_1,5</t>
  </si>
  <si>
    <t>D1 (1,9,12):m,t:1,5</t>
  </si>
  <si>
    <t>D1_m,t_z39</t>
  </si>
  <si>
    <t>D1 (1,9,12):m,t:z39</t>
  </si>
  <si>
    <t>D1_l,v_e,n,x</t>
  </si>
  <si>
    <t>D1 (9,12):l,v:e,n,x</t>
  </si>
  <si>
    <t>D1_l,v_z39</t>
  </si>
  <si>
    <t>D1 (9,12):l,v:z39</t>
  </si>
  <si>
    <t>D1_l,w_e,n,x</t>
  </si>
  <si>
    <t>D1 (1,9,12):l,w:e,n,x</t>
  </si>
  <si>
    <t>D1_l,z28_1,5</t>
  </si>
  <si>
    <t>D1 (9,12):l,z28:1,5</t>
  </si>
  <si>
    <t>D1_l,z28_e,n,x</t>
  </si>
  <si>
    <t>D1 (9,12):l,z28:e,n,x</t>
  </si>
  <si>
    <t>D1_y_z39</t>
  </si>
  <si>
    <t>D1 (1,9,12):y:z39</t>
  </si>
  <si>
    <t>D1_z_1,7</t>
  </si>
  <si>
    <t>D1 (1,9,12):z:1,7</t>
  </si>
  <si>
    <t>D1_z_z6</t>
  </si>
  <si>
    <t>D1 (1,9,12):z:z6</t>
  </si>
  <si>
    <t>D1_z_z39</t>
  </si>
  <si>
    <t>D1 (9,12):z:z39</t>
  </si>
  <si>
    <t>D1_z29_1,5</t>
  </si>
  <si>
    <t>D1 (9,12):z29:1,5</t>
  </si>
  <si>
    <t>D1_z29_e,n,x</t>
  </si>
  <si>
    <t>D1 (1,9,12):z29:e,n,x</t>
  </si>
  <si>
    <t>D1_z39_1,7</t>
  </si>
  <si>
    <t>D1 (1,9,12):z39:1,7</t>
  </si>
  <si>
    <t>D1_z42_1,[5],7</t>
  </si>
  <si>
    <t>D1 (1,9,12):z42:1,[5],7</t>
  </si>
  <si>
    <t>D2_b_e,n,x</t>
  </si>
  <si>
    <t>D2 (9,46):b:e,n,x</t>
  </si>
  <si>
    <t>D2_e,n,x_1,5,7</t>
  </si>
  <si>
    <t>D2 (9,46):e,n,x:1,5,7</t>
  </si>
  <si>
    <t>D2_g,[m],[s],_t [e,n,x]</t>
  </si>
  <si>
    <t>t [e,n,x]</t>
  </si>
  <si>
    <t>D2 (9,46):g,[m],[s],:t [e,n,x]</t>
  </si>
  <si>
    <t>D2_g,z62_–</t>
  </si>
  <si>
    <t>D2 (9,46):g,z62:–</t>
  </si>
  <si>
    <t>D2_m,t_e,n,x</t>
  </si>
  <si>
    <t>D2 (9,46):m,t:e,n,x</t>
  </si>
  <si>
    <t>D2_z_1,5</t>
  </si>
  <si>
    <t>D2 (9,46):z:1,5</t>
  </si>
  <si>
    <t>D2_z_e,n,x</t>
  </si>
  <si>
    <t>D2 (9,46):z:e,n,x</t>
  </si>
  <si>
    <t>D2_z_z39</t>
  </si>
  <si>
    <t>D2 (9,46):z:z39</t>
  </si>
  <si>
    <t>D2_z4,z24_z39</t>
  </si>
  <si>
    <t>D2 (9,46):z4,z24:z39</t>
  </si>
  <si>
    <t>D2_z10_z6</t>
  </si>
  <si>
    <t>D2 (9,46):z10:z6</t>
  </si>
  <si>
    <t>D2_z10_z39</t>
  </si>
  <si>
    <t>D2 (9,46):z10:z39</t>
  </si>
  <si>
    <t>D2_z39_1,7</t>
  </si>
  <si>
    <t>D2 (9,46):z39:1,7</t>
  </si>
  <si>
    <t>D3_a_z6</t>
  </si>
  <si>
    <t>D3</t>
  </si>
  <si>
    <t>1,9,12,46,27</t>
  </si>
  <si>
    <t>D3 (1,9,12,46,27):a:z6</t>
  </si>
  <si>
    <t>Group O:9,46,27 (D3)</t>
  </si>
  <si>
    <t>D3_c_z39</t>
  </si>
  <si>
    <t>D3 (1,9,12,46,27):c:z39</t>
  </si>
  <si>
    <t>D3_g,t_e,n,x</t>
  </si>
  <si>
    <t>9,12,46,27</t>
  </si>
  <si>
    <t>D3 (9,12,46,27):g,t:e,n,x</t>
  </si>
  <si>
    <t>D3_l,z13,z28_z39</t>
  </si>
  <si>
    <t>D3 (1,9,12,46,27):l,z13,z28:z39</t>
  </si>
  <si>
    <t>D3_y_z39</t>
  </si>
  <si>
    <t>D3 (1,9,12,46,27):y:z39</t>
  </si>
  <si>
    <t>D3_z4,z24_1,5</t>
  </si>
  <si>
    <t>D3 (1,9,12,46,27):z4,z24:1,5</t>
  </si>
  <si>
    <t>D3_z10_1,5</t>
  </si>
  <si>
    <t>D3 (1,9,12,46,27):z10:1,5</t>
  </si>
  <si>
    <t>D3_z10_e,n,x</t>
  </si>
  <si>
    <t>D3 (1,9,12,46,27):z10:e,n,x</t>
  </si>
  <si>
    <t>D3_z10_z39</t>
  </si>
  <si>
    <t>D3 (1,9,12,46,27):z10:z39</t>
  </si>
  <si>
    <t>E1_a_e,n,x</t>
  </si>
  <si>
    <t>E1 (3,10):a:e,n,x</t>
  </si>
  <si>
    <t>E1_a_l,v</t>
  </si>
  <si>
    <t>E1 (3,10):a:l,v</t>
  </si>
  <si>
    <t>E1_a_z39</t>
  </si>
  <si>
    <t>E1 (3,10):a:z39</t>
  </si>
  <si>
    <t>E1_b_z39</t>
  </si>
  <si>
    <t>E1 (3,10):b:z39</t>
  </si>
  <si>
    <t>E1_d_e,n,x</t>
  </si>
  <si>
    <t>E1 (3,10):d:e,n,x</t>
  </si>
  <si>
    <t>E1_e,n,x_1,7</t>
  </si>
  <si>
    <t>E1 (3,10):e,n,x:1,7</t>
  </si>
  <si>
    <t>E1_g,m,s,t_[1,5]</t>
  </si>
  <si>
    <t>E1 (3,{10}{15}):g,m,s,t:[1,5]</t>
  </si>
  <si>
    <t>E1_g,t_–</t>
  </si>
  <si>
    <t>E1 (3,10):g,t:–</t>
  </si>
  <si>
    <t>E1_m,t_1,5</t>
  </si>
  <si>
    <t>E1 (3,10):m,t:1,5</t>
  </si>
  <si>
    <t>E1_m,t_e,n,x</t>
  </si>
  <si>
    <t>E1 (3,10):m,t:e,n,x</t>
  </si>
  <si>
    <t>E1_l,v_e,n,x</t>
  </si>
  <si>
    <t>E1 (3,10):l,v:e,n,x</t>
  </si>
  <si>
    <t>E1_l,v_z6</t>
  </si>
  <si>
    <t>E1 (3,10):l,v:z6</t>
  </si>
  <si>
    <t>E1_l,z28_1,5</t>
  </si>
  <si>
    <t>E1 (3,10):l,z28:1,5</t>
  </si>
  <si>
    <t>E1_l,z28_e,n,x</t>
  </si>
  <si>
    <t>E1 (3,10):l,z28:e,n,x</t>
  </si>
  <si>
    <t>E1_l,z28_z39</t>
  </si>
  <si>
    <t>E1 (3,10):l,z28:z39</t>
  </si>
  <si>
    <t>E1_z_e,n,x</t>
  </si>
  <si>
    <t>E1 (3,10):z:e,n,x</t>
  </si>
  <si>
    <t>E1_z_z39</t>
  </si>
  <si>
    <t>E1 (3,10):z:z39</t>
  </si>
  <si>
    <t>E1 (3,10):z4,z24:–</t>
  </si>
  <si>
    <t>E1_z29_[e,n,x]</t>
  </si>
  <si>
    <t>E1 (3,10):z29:[e,n,x]</t>
  </si>
  <si>
    <t>E1_z35_e,n,x,z15</t>
  </si>
  <si>
    <t>E1 (3,10):z35:e,n,x,z15</t>
  </si>
  <si>
    <t>E1_z38_z42</t>
  </si>
  <si>
    <t>E1 (3,10):z38:z42</t>
  </si>
  <si>
    <t>E1_z39_1,[5],7</t>
  </si>
  <si>
    <t>E1 (3,10):z39:1,[5],7</t>
  </si>
  <si>
    <t>F_a_e,n,z15</t>
  </si>
  <si>
    <t>F (11):a:e,n,z15</t>
  </si>
  <si>
    <t>F_a_z6</t>
  </si>
  <si>
    <t>F (11):a:z6</t>
  </si>
  <si>
    <t>F_c_e,n,z15</t>
  </si>
  <si>
    <t>F (11):c:e,n,z15</t>
  </si>
  <si>
    <t>F_g,[m],s,t_z39</t>
  </si>
  <si>
    <t>F (11):g,[m],s,t:z39</t>
  </si>
  <si>
    <t>F_m,t_e,n,x</t>
  </si>
  <si>
    <t>F (11):m,t:e,n,x</t>
  </si>
  <si>
    <t>F_l,z28_e,n,x</t>
  </si>
  <si>
    <t>F (11):l,z28:e,n,x</t>
  </si>
  <si>
    <t>F_z_e,n,x</t>
  </si>
  <si>
    <t>F (11):z:e,n,x</t>
  </si>
  <si>
    <t>F_z_z39</t>
  </si>
  <si>
    <t>F (11):z:z39</t>
  </si>
  <si>
    <t>F_–_1,5</t>
  </si>
  <si>
    <t>F (11):–:1,5</t>
  </si>
  <si>
    <t>G_a_e,n,x</t>
  </si>
  <si>
    <t>G (13,22):a:e,n,x</t>
  </si>
  <si>
    <t>G_a_z42</t>
  </si>
  <si>
    <t>G (1,13,23):a:z42</t>
  </si>
  <si>
    <t>G_b_[1,5]</t>
  </si>
  <si>
    <t>G (1,13,23):b:[1,5]</t>
  </si>
  <si>
    <t>G_b_z42</t>
  </si>
  <si>
    <t>G (1,13,22):b:z42</t>
  </si>
  <si>
    <t>G_d_1,5</t>
  </si>
  <si>
    <t>G (13,22):d:1,5</t>
  </si>
  <si>
    <t>G_d_e,n,x</t>
  </si>
  <si>
    <t>G (13,23):d:e,n,x</t>
  </si>
  <si>
    <t>G_e,n,x_1,[5],7</t>
  </si>
  <si>
    <t>G (1,13,23):e,n,x:1,[5],7</t>
  </si>
  <si>
    <t>G_g,m,t_[1,5]</t>
  </si>
  <si>
    <t>G (1,13,22):g,m,t:[1,5]</t>
  </si>
  <si>
    <t>G_g,m,s,t_1,5</t>
  </si>
  <si>
    <t>G (1,13,23):g,m,s,t:1,5</t>
  </si>
  <si>
    <t>G_g,m,[s],t_[e,n,x]</t>
  </si>
  <si>
    <t>G (1,13,23):g,m,[s],t:[e,n,x]</t>
  </si>
  <si>
    <t>G_g,m,s,t_z42</t>
  </si>
  <si>
    <t>G (1,13,23):g,m,s,t:z42</t>
  </si>
  <si>
    <t>G_g,t_[1,5]</t>
  </si>
  <si>
    <t>G (1,13,22):g,t:[1,5]</t>
  </si>
  <si>
    <t>G_g,t_z6</t>
  </si>
  <si>
    <t>G (13,22):g,t:z6</t>
  </si>
  <si>
    <t>G_g,t_1,5</t>
  </si>
  <si>
    <t>G (1,13,23):g,t:1,5</t>
  </si>
  <si>
    <t>G_g,t_e,n,x</t>
  </si>
  <si>
    <t>G (13,23):g,t:e,n,x</t>
  </si>
  <si>
    <t>G_g,[s],t_z42</t>
  </si>
  <si>
    <t>g,[s],t</t>
  </si>
  <si>
    <t>G (1,13,23):g,[s],t:z42</t>
  </si>
  <si>
    <t>G_m,t_1,5</t>
  </si>
  <si>
    <t>G (1,13,23):m,t:1,5</t>
  </si>
  <si>
    <t>G_m,t_e,n,x</t>
  </si>
  <si>
    <t>G (1,13,23):m,t:e,n,x</t>
  </si>
  <si>
    <t>G_m,t_z42</t>
  </si>
  <si>
    <t>G (13,22):m,t:z42</t>
  </si>
  <si>
    <t>G (1,13,23):m,t:z42</t>
  </si>
  <si>
    <t>G_k_1,5</t>
  </si>
  <si>
    <t>G (13,22):k:1,5</t>
  </si>
  <si>
    <t>G_k_z41</t>
  </si>
  <si>
    <t>G (13,23):k:z41</t>
  </si>
  <si>
    <t>G_l,w_e,n,x</t>
  </si>
  <si>
    <t>G (13,23):l,w:e,n,x</t>
  </si>
  <si>
    <t>G_l,z28_1,5</t>
  </si>
  <si>
    <t>G (13,22):l,z28:1,5</t>
  </si>
  <si>
    <t>G (13,23):l,z28:1,5</t>
  </si>
  <si>
    <t>G_l,z28_z6</t>
  </si>
  <si>
    <t>G (13,23):l,z28:z6</t>
  </si>
  <si>
    <t>G_l,z28_z42</t>
  </si>
  <si>
    <t>G (1,13,23):l,z28:z42</t>
  </si>
  <si>
    <t>G_z_1,5</t>
  </si>
  <si>
    <t>G (1,13,23):z:1,5</t>
  </si>
  <si>
    <t>G_z_z42</t>
  </si>
  <si>
    <t>G (1,13,23):z:z42</t>
  </si>
  <si>
    <t>G_z_–</t>
  </si>
  <si>
    <t>G (13,22):z:–</t>
  </si>
  <si>
    <t>G_z10_z6</t>
  </si>
  <si>
    <t>G (1,13,22):z10:z6</t>
  </si>
  <si>
    <t>G_z29_1,5</t>
  </si>
  <si>
    <t>G (13,22):z29:1,5</t>
  </si>
  <si>
    <t>G_z29_e,n,x</t>
  </si>
  <si>
    <t>G (13,22):z29:e,n,x</t>
  </si>
  <si>
    <t>G (1,13,23):z29:1,5</t>
  </si>
  <si>
    <t>G (1,13,23):z29:e,n,x</t>
  </si>
  <si>
    <t>G_z39_1,7</t>
  </si>
  <si>
    <t>G (13,22):z39:1,7</t>
  </si>
  <si>
    <t>G_z39_1,5,7</t>
  </si>
  <si>
    <t>G (1,13,23):z39:1,5,7</t>
  </si>
  <si>
    <t>G_[z42]_1,[5],7</t>
  </si>
  <si>
    <t>G (1,13,23):[z42]:1,[5],7</t>
  </si>
  <si>
    <t>G_–_1,6</t>
  </si>
  <si>
    <t>G (13,23):–:1,6</t>
  </si>
  <si>
    <t>H_m,t_1,5</t>
  </si>
  <si>
    <t>1,6,14</t>
  </si>
  <si>
    <t>H (1,6,14):m,t:1,5</t>
  </si>
  <si>
    <t>H_m,t_e,n,x</t>
  </si>
  <si>
    <t>H (6,14):m,t:e,n,x</t>
  </si>
  <si>
    <t>H_k_1,6</t>
  </si>
  <si>
    <t>H (6,14,[24]):k:1,6</t>
  </si>
  <si>
    <t>H_k_e,n,x</t>
  </si>
  <si>
    <t>H (6,14):k:e,n,x</t>
  </si>
  <si>
    <t>H_k_z6</t>
  </si>
  <si>
    <t>H (1,6,14):k:z6</t>
  </si>
  <si>
    <t>H_z10_1,5</t>
  </si>
  <si>
    <t>H (1,6,14):z10:1,5</t>
  </si>
  <si>
    <t>H_z10_z6</t>
  </si>
  <si>
    <t>H (1,6,14):z10:z6</t>
  </si>
  <si>
    <t>H_z36_–</t>
  </si>
  <si>
    <t>H (6,14):z36:–</t>
  </si>
  <si>
    <t>H_z42_1,6</t>
  </si>
  <si>
    <t>H (1,6,14):z42:1,6</t>
  </si>
  <si>
    <t>I_b_z39</t>
  </si>
  <si>
    <t>I (16):b:z39</t>
  </si>
  <si>
    <t>I_b_z42</t>
  </si>
  <si>
    <t>I (16):b:z42</t>
  </si>
  <si>
    <t>I_d_1,5</t>
  </si>
  <si>
    <t>I (16):d:1,5</t>
  </si>
  <si>
    <t>I_e,n,x_1,(5),7</t>
  </si>
  <si>
    <t>1,(5),7</t>
  </si>
  <si>
    <t>I (16):e,n,x:1,(5),7</t>
  </si>
  <si>
    <t>I_e,n,x_1,6</t>
  </si>
  <si>
    <t>I (16):e,n,x:1,6</t>
  </si>
  <si>
    <t>I_g,[m],[s],_t [1,5]</t>
  </si>
  <si>
    <t>t [1,5]</t>
  </si>
  <si>
    <t>I (16):g,[m],[s],:t [1,5]</t>
  </si>
  <si>
    <t>I_g,[m],[s],_t [e,n,x]</t>
  </si>
  <si>
    <t>I (16):g,[m],[s],:t [e,n,x]</t>
  </si>
  <si>
    <t>I_m,t_e,n,x</t>
  </si>
  <si>
    <t>I (16):m,t:e,n,x</t>
  </si>
  <si>
    <t>I_m,t_[z42]</t>
  </si>
  <si>
    <t>I (16):m,t:[z42]</t>
  </si>
  <si>
    <t>I_l,z28_z42</t>
  </si>
  <si>
    <t>I (16):l,z28:z42</t>
  </si>
  <si>
    <t>I_z_e,n,x</t>
  </si>
  <si>
    <t>I (16):z:e,n,x</t>
  </si>
  <si>
    <t>I_z_z42</t>
  </si>
  <si>
    <t>I (16):z:z42</t>
  </si>
  <si>
    <t>I_z4,z23_–</t>
  </si>
  <si>
    <t>I (16):z4,z23:–</t>
  </si>
  <si>
    <t>I_z4,z24_–</t>
  </si>
  <si>
    <t>I (16):z4,z24:–</t>
  </si>
  <si>
    <t>I_z6_1,6</t>
  </si>
  <si>
    <t>I (16):z6:1,6</t>
  </si>
  <si>
    <t>I_z29_1,5</t>
  </si>
  <si>
    <t>I (16):z29:1,5</t>
  </si>
  <si>
    <t>I_z29_e,n,x</t>
  </si>
  <si>
    <t>I (16):z29:e,n,x</t>
  </si>
  <si>
    <t>I_z35_e,n,x</t>
  </si>
  <si>
    <t>I (16):z35:e,n,x</t>
  </si>
  <si>
    <t>I_z36_e,n,z15</t>
  </si>
  <si>
    <t>I (16):z36:e,n,z15</t>
  </si>
  <si>
    <t>I_z42_1,(5),7</t>
  </si>
  <si>
    <t>I (16):z42:1,(5),7</t>
  </si>
  <si>
    <t>I_z42_1,6</t>
  </si>
  <si>
    <t>I (16):z42:1,6</t>
  </si>
  <si>
    <t>J_b_e,n,x,z15</t>
  </si>
  <si>
    <t>J (17):b:e,n,x,z15</t>
  </si>
  <si>
    <t>J_b_z6</t>
  </si>
  <si>
    <t>J (17):b:z6</t>
  </si>
  <si>
    <t>J_c_z39</t>
  </si>
  <si>
    <t>J (17):c:z39</t>
  </si>
  <si>
    <t>J_e,n,x,z15_1,6</t>
  </si>
  <si>
    <t>J (17):e,n,x,z15:1,6</t>
  </si>
  <si>
    <t>J_e,n,x,z15_1,[5],7</t>
  </si>
  <si>
    <t>J (17):e,n,x,z15:1,[5],7</t>
  </si>
  <si>
    <t>J_g,m,s,t_–</t>
  </si>
  <si>
    <t>J (17):g,m,s,t:–</t>
  </si>
  <si>
    <t>J_g,t_[e,n,x,z15]</t>
  </si>
  <si>
    <t>[e,n,x,z15]</t>
  </si>
  <si>
    <t>J (17):g,t:[e,n,x,z15]</t>
  </si>
  <si>
    <t>J_g,t_z39</t>
  </si>
  <si>
    <t>J (17):g,t:z39</t>
  </si>
  <si>
    <t>J_k_–</t>
  </si>
  <si>
    <t>J (17):k:–</t>
  </si>
  <si>
    <t>J_y_–</t>
  </si>
  <si>
    <t>J (17):y:–</t>
  </si>
  <si>
    <t>J_z_1,7</t>
  </si>
  <si>
    <t>J (17):z:1,7</t>
  </si>
  <si>
    <t>J_z_l,w</t>
  </si>
  <si>
    <t>J (17):z:l,w</t>
  </si>
  <si>
    <t>J_z10_–</t>
  </si>
  <si>
    <t>J (17):z10:–</t>
  </si>
  <si>
    <t>K_m,t_1,5</t>
  </si>
  <si>
    <t>K (18):m,t:1,5</t>
  </si>
  <si>
    <t>K_y_e,n,x,z15</t>
  </si>
  <si>
    <t>K (18):y:e,n,x,z15</t>
  </si>
  <si>
    <t>K_z4,z23_–</t>
  </si>
  <si>
    <t>K (18):z4,z23:–</t>
  </si>
  <si>
    <t>K (18):z4,z24:–</t>
  </si>
  <si>
    <t>K_z36_–</t>
  </si>
  <si>
    <t>K (18):z36:–</t>
  </si>
  <si>
    <t>L_b_1,5</t>
  </si>
  <si>
    <t>L (21):b:1,5</t>
  </si>
  <si>
    <t>L_c_e,n,x</t>
  </si>
  <si>
    <t>L (21):c:e,n,x</t>
  </si>
  <si>
    <t>L_g,[m],[s],_t –</t>
  </si>
  <si>
    <t>t –</t>
  </si>
  <si>
    <t>L (21):g,[m],[s],:t –</t>
  </si>
  <si>
    <t>L_m,t_–</t>
  </si>
  <si>
    <t>L (21):m,t:–</t>
  </si>
  <si>
    <t>L_z_–</t>
  </si>
  <si>
    <t>L (21):z:–</t>
  </si>
  <si>
    <t>L_z4,z24_–</t>
  </si>
  <si>
    <t>L (21):z4,z24:–</t>
  </si>
  <si>
    <t>L_z10_[z6]</t>
  </si>
  <si>
    <t>L (21):z10:[z6]</t>
  </si>
  <si>
    <t>M_a_e,n,x</t>
  </si>
  <si>
    <t>M (28):a:e,n,x</t>
  </si>
  <si>
    <t>M_b_e,n,x</t>
  </si>
  <si>
    <t>M (28):b:e,n,x</t>
  </si>
  <si>
    <t>M_b_z6</t>
  </si>
  <si>
    <t>M (28):b:z6</t>
  </si>
  <si>
    <t>M_e,n,x_1,7</t>
  </si>
  <si>
    <t>M (28):e,n,x:1,7</t>
  </si>
  <si>
    <t>M_e,n,z15_z87</t>
  </si>
  <si>
    <t>z87</t>
  </si>
  <si>
    <t>M (28):e,n,z15:z87</t>
  </si>
  <si>
    <t>M_g,(m),[s],_t 1,5</t>
  </si>
  <si>
    <t>g,(m),[s],</t>
  </si>
  <si>
    <t>M (28):g,(m),[s],:t 1,5</t>
  </si>
  <si>
    <t>M_g,m,t_e,n,x</t>
  </si>
  <si>
    <t>M (28):g,m,t:e,n,x</t>
  </si>
  <si>
    <t>M_g,m,t_z39</t>
  </si>
  <si>
    <t>M (28):g,m,t:z39</t>
  </si>
  <si>
    <t>M_g,s,t_e,n,x</t>
  </si>
  <si>
    <t>M (28):g,s,t:e,n,x</t>
  </si>
  <si>
    <t>M_m,t_[e,n,x]</t>
  </si>
  <si>
    <t>M (28):m,t:[e,n,x]</t>
  </si>
  <si>
    <t>M_m,t_z39</t>
  </si>
  <si>
    <t>M (28):m,t:z39</t>
  </si>
  <si>
    <t>M_l,z28_1,5</t>
  </si>
  <si>
    <t>M (28):l,z28:1,5</t>
  </si>
  <si>
    <t>M_r_e,n,z15</t>
  </si>
  <si>
    <t>M (28):r:e,n,z15</t>
  </si>
  <si>
    <t>M_z_1,5</t>
  </si>
  <si>
    <t>M (28):z:1,5</t>
  </si>
  <si>
    <t>M_z_z39</t>
  </si>
  <si>
    <t>M (28):z:z39</t>
  </si>
  <si>
    <t>M_z29_1,5</t>
  </si>
  <si>
    <t>M (28):z29:1,5</t>
  </si>
  <si>
    <t>M_z29_e,n,x</t>
  </si>
  <si>
    <t>M (28):z29:e,n,x</t>
  </si>
  <si>
    <t>N_a_z39</t>
  </si>
  <si>
    <t>N (30):a:z39</t>
  </si>
  <si>
    <t>N_b_z6</t>
  </si>
  <si>
    <t>N (30):b:z6</t>
  </si>
  <si>
    <t>N_c_z39</t>
  </si>
  <si>
    <t>N (30):c:z39</t>
  </si>
  <si>
    <t>N_g,m,s_e,n,x</t>
  </si>
  <si>
    <t>N (30):g,m,s:e,n,x</t>
  </si>
  <si>
    <t>N_g,t_–</t>
  </si>
  <si>
    <t>N (30):g,t:–</t>
  </si>
  <si>
    <t>N_m,t_–</t>
  </si>
  <si>
    <t>N (30):m,t:–</t>
  </si>
  <si>
    <t>N_k_e,n,x,z15</t>
  </si>
  <si>
    <t>N (30):k:e,n,x,z15</t>
  </si>
  <si>
    <t>N_l,z28_z6</t>
  </si>
  <si>
    <t>N (30):l,z28:z6</t>
  </si>
  <si>
    <t>N_z6_1,6</t>
  </si>
  <si>
    <t>N (30):z6:1,6</t>
  </si>
  <si>
    <t>N_z10_e,n,x,z15</t>
  </si>
  <si>
    <t>N (30):z10:e,n,x,z15</t>
  </si>
  <si>
    <t>N_z39_1,7</t>
  </si>
  <si>
    <t>N (30):z39:1,7</t>
  </si>
  <si>
    <t>O_d_1,5</t>
  </si>
  <si>
    <t>O (35):d:1,5</t>
  </si>
  <si>
    <t>O_g,m,s,t_–</t>
  </si>
  <si>
    <t>O (35):g,m,s,t:–</t>
  </si>
  <si>
    <t>O_g,t_1,5</t>
  </si>
  <si>
    <t>O (35):g,t:1,5</t>
  </si>
  <si>
    <t>O_g,t_z42</t>
  </si>
  <si>
    <t>O (35):g,t:z42</t>
  </si>
  <si>
    <t>O_m,t_–</t>
  </si>
  <si>
    <t>O (35):m,t:–</t>
  </si>
  <si>
    <t>O_l,z28_–</t>
  </si>
  <si>
    <t>O (35):l,z28:–</t>
  </si>
  <si>
    <t>O_z29_e,n,x</t>
  </si>
  <si>
    <t>O (35):z29:e,n,x</t>
  </si>
  <si>
    <t>P_b_1,2</t>
  </si>
  <si>
    <t>P (38):b:1,2</t>
  </si>
  <si>
    <t>P_d_[1,5]</t>
  </si>
  <si>
    <t>P (38):d:[1,5]</t>
  </si>
  <si>
    <t>P_d_z39</t>
  </si>
  <si>
    <t>P (38):d:z39</t>
  </si>
  <si>
    <t>P_g,t_–</t>
  </si>
  <si>
    <t>P (38):g,t:–</t>
  </si>
  <si>
    <t>Q_a_z39</t>
  </si>
  <si>
    <t>Q (39):a:z39</t>
  </si>
  <si>
    <t>Q_c_e,n,x</t>
  </si>
  <si>
    <t>Q (39):c:e,n,x</t>
  </si>
  <si>
    <t>Q_e,n,x_1,7</t>
  </si>
  <si>
    <t>Q (39):e,n,x:1,7</t>
  </si>
  <si>
    <t>Q_[g],m,t_[e,n,x]</t>
  </si>
  <si>
    <t>[g],m,t</t>
  </si>
  <si>
    <t>Q (39):[g],m,t:[e,n,x]</t>
  </si>
  <si>
    <t>Q_l,v_1,5</t>
  </si>
  <si>
    <t>Q (39):l,v:1,5</t>
  </si>
  <si>
    <t>Q_l,z28_e,n,x</t>
  </si>
  <si>
    <t>Q (39):l,z28:e,n,x</t>
  </si>
  <si>
    <t>Q_l,z28_z39</t>
  </si>
  <si>
    <t>Q (39):l,z28:z39</t>
  </si>
  <si>
    <t>Q_z10_z6</t>
  </si>
  <si>
    <t>Q (39):z10:z6</t>
  </si>
  <si>
    <t>Q_–_1,7</t>
  </si>
  <si>
    <t>Q (39):–:1,7</t>
  </si>
  <si>
    <t>R_a_z39</t>
  </si>
  <si>
    <t>R (40):a:z39</t>
  </si>
  <si>
    <t>R_b_–</t>
  </si>
  <si>
    <t>R (40):b:–</t>
  </si>
  <si>
    <t>R_c_e,n,x,z15</t>
  </si>
  <si>
    <t>R (1,40):c:e,n,x,z15</t>
  </si>
  <si>
    <t>R_c_z6</t>
  </si>
  <si>
    <t>R (40):c:z6</t>
  </si>
  <si>
    <t>R_c_z39</t>
  </si>
  <si>
    <t>R (1,40):c:z39</t>
  </si>
  <si>
    <t>R_d_–</t>
  </si>
  <si>
    <t>R (40):d:–</t>
  </si>
  <si>
    <t>R_e,n,x_1,[5],7</t>
  </si>
  <si>
    <t>R (1,40):e,n,x:1,[5],7</t>
  </si>
  <si>
    <t>R_e,n,x,z15_1,6</t>
  </si>
  <si>
    <t>R (1,40):e,n,x,z15:1,6</t>
  </si>
  <si>
    <t>R_g,[m],[s],_[t] e,n,x</t>
  </si>
  <si>
    <t>[t] e,n,x</t>
  </si>
  <si>
    <t>R (1,40):g,[m],[s],:[t] e,n,x</t>
  </si>
  <si>
    <t>R_g,[m],[s],_t [1,5]</t>
  </si>
  <si>
    <t>R (1,40):g,[m],[s],:t [1,5]</t>
  </si>
  <si>
    <t>R_g,t_e,n,x,z15</t>
  </si>
  <si>
    <t>R (1,40):g,t:e,n,x,z15</t>
  </si>
  <si>
    <t>R_g,t_z39</t>
  </si>
  <si>
    <t>R (40):g,t:z39</t>
  </si>
  <si>
    <t>R_g,[m],[s],_t z42</t>
  </si>
  <si>
    <t>t z42</t>
  </si>
  <si>
    <t>R (1,40):g,[m],[s],:t z42</t>
  </si>
  <si>
    <t>R_m,t_e,n,x</t>
  </si>
  <si>
    <t>R (40):m,t:e,n,x</t>
  </si>
  <si>
    <t>R_m,t_z39</t>
  </si>
  <si>
    <t>R (40):m,t:z39</t>
  </si>
  <si>
    <t>R_m,t_z42</t>
  </si>
  <si>
    <t>R (1,40):m,t:z42</t>
  </si>
  <si>
    <t>R_k_e,n,x,z15</t>
  </si>
  <si>
    <t>R (1,40):k:e,n,x,z15</t>
  </si>
  <si>
    <t>R_k_z6</t>
  </si>
  <si>
    <t>R (40):k:z6</t>
  </si>
  <si>
    <t>R_l,v_e,n,x</t>
  </si>
  <si>
    <t>R (40):l,v:e,n,x</t>
  </si>
  <si>
    <t>R_l,z28_e,n,x</t>
  </si>
  <si>
    <t>R (40):l,z28:e,n,x</t>
  </si>
  <si>
    <t>R_l,z28_z39</t>
  </si>
  <si>
    <t>R (1,40):l,z28:z39</t>
  </si>
  <si>
    <t>R_z_1,5</t>
  </si>
  <si>
    <t>R (1,40):z:1,5</t>
  </si>
  <si>
    <t>R_z_z6</t>
  </si>
  <si>
    <t>R (1,40):z:z6</t>
  </si>
  <si>
    <t>R_z_z39</t>
  </si>
  <si>
    <t>R (1,40):z:z39</t>
  </si>
  <si>
    <t>R_z_z42</t>
  </si>
  <si>
    <t>R (40):z:z42</t>
  </si>
  <si>
    <t>R_z4,z24_z39</t>
  </si>
  <si>
    <t>R (40):z4,z24:z39</t>
  </si>
  <si>
    <t>R_z6_1,5</t>
  </si>
  <si>
    <t>R (1,40):z6:1,5</t>
  </si>
  <si>
    <t>R_z10_e,n,x</t>
  </si>
  <si>
    <t>R (40):z10:e,n,x</t>
  </si>
  <si>
    <t>R_z35_e,n,x,z15</t>
  </si>
  <si>
    <t>R (1,40):z35:e,n,x,z15</t>
  </si>
  <si>
    <t>R_z39_1,5</t>
  </si>
  <si>
    <t>R (1,40):z39:1,5</t>
  </si>
  <si>
    <t>R_z39_1,6</t>
  </si>
  <si>
    <t>R (1,40):z39:1,6</t>
  </si>
  <si>
    <t>R_z39_1,7</t>
  </si>
  <si>
    <t>R (40):z39:1,7</t>
  </si>
  <si>
    <t>R_z42_1,6</t>
  </si>
  <si>
    <t>R (1,40):z42:1,6</t>
  </si>
  <si>
    <t>R_[z42]_1,(5),7</t>
  </si>
  <si>
    <t>R (1,40):[z42]:1,(5),7</t>
  </si>
  <si>
    <t>R_z81_z6</t>
  </si>
  <si>
    <t>z81</t>
  </si>
  <si>
    <t>R (1,40):z81:z6</t>
  </si>
  <si>
    <t>S_b_1,5</t>
  </si>
  <si>
    <t>S (41):b:1,5</t>
  </si>
  <si>
    <t>S_c_z6</t>
  </si>
  <si>
    <t>S (41):c:z6</t>
  </si>
  <si>
    <t>S_d_z6</t>
  </si>
  <si>
    <t>S (41):d:z6</t>
  </si>
  <si>
    <t>S_g,m,s,t_z6</t>
  </si>
  <si>
    <t>S (41):g,m,s,t:z6</t>
  </si>
  <si>
    <t>S_g,t_–</t>
  </si>
  <si>
    <t>S (41):g,t:–</t>
  </si>
  <si>
    <t>S_k_z6</t>
  </si>
  <si>
    <t>S (41):k:z6</t>
  </si>
  <si>
    <t>S_l,z13,z28_e,n,x,z15</t>
  </si>
  <si>
    <t>S (41):l,z13,z28:e,n,x,z15</t>
  </si>
  <si>
    <t>S_z_1,5</t>
  </si>
  <si>
    <t>S (41):z:1,5</t>
  </si>
  <si>
    <t>S_z10_1,2</t>
  </si>
  <si>
    <t>S (41):z10:1,2</t>
  </si>
  <si>
    <t>S_z10_e,n,x,z15</t>
  </si>
  <si>
    <t>S (41):z10:e,n,x,z15</t>
  </si>
  <si>
    <t>S_z10_z6</t>
  </si>
  <si>
    <t>S (41):z10:z6</t>
  </si>
  <si>
    <t>S_–_1,6</t>
  </si>
  <si>
    <t>S (41):–:1,6</t>
  </si>
  <si>
    <t>T_b_1,5</t>
  </si>
  <si>
    <t>T (42):b:1,5</t>
  </si>
  <si>
    <t>T_b_e,n,x,z15</t>
  </si>
  <si>
    <t>T (42):b:e,n,x,z15</t>
  </si>
  <si>
    <t>T (42):b:z6</t>
  </si>
  <si>
    <t>T_d_z6</t>
  </si>
  <si>
    <t>T (42):d:z6</t>
  </si>
  <si>
    <t>T_e,n,x_1,6</t>
  </si>
  <si>
    <t>T (42):e,n,x:1,6</t>
  </si>
  <si>
    <t>T_g,t_–</t>
  </si>
  <si>
    <t>T (42):g,t:–</t>
  </si>
  <si>
    <t>T_m,t_[e,n,x,z15]</t>
  </si>
  <si>
    <t>T (42):m,t:[e,n,x,z15]</t>
  </si>
  <si>
    <t>T_l,v_e,n,x,z15</t>
  </si>
  <si>
    <t>T (42):l,v:e,n,x,z15</t>
  </si>
  <si>
    <t>T_l,w_e,n,x</t>
  </si>
  <si>
    <t>T (1,42):l,w:e,n,x</t>
  </si>
  <si>
    <t>T_l,[z13],z28_[z6]</t>
  </si>
  <si>
    <t>T (1,42):l,[z13],z28:[z6]</t>
  </si>
  <si>
    <t>T_r_–</t>
  </si>
  <si>
    <t>T (42):r:–</t>
  </si>
  <si>
    <t>T_z_1,5</t>
  </si>
  <si>
    <t>T (42):z:1,5</t>
  </si>
  <si>
    <t>T_z_e,n,x,z15</t>
  </si>
  <si>
    <t>T (42):z:e,n,x,z15</t>
  </si>
  <si>
    <t>T_z_z6</t>
  </si>
  <si>
    <t>T (42):z:z6</t>
  </si>
  <si>
    <t>T_z6_1,6</t>
  </si>
  <si>
    <t>T (42):z6:1,6</t>
  </si>
  <si>
    <t>T_z10_1,2</t>
  </si>
  <si>
    <t>T (42):z10:1,2</t>
  </si>
  <si>
    <t>T_z10_e,n,x,z15</t>
  </si>
  <si>
    <t>T (42):z10:e,n,x,z15</t>
  </si>
  <si>
    <t>T_z10_z6</t>
  </si>
  <si>
    <t>T (42):z10:z6</t>
  </si>
  <si>
    <t>T_z29_–</t>
  </si>
  <si>
    <t>T (42):z29:–</t>
  </si>
  <si>
    <t>U_a_z6</t>
  </si>
  <si>
    <t>U (43):a:z6</t>
  </si>
  <si>
    <t>U_b_z42</t>
  </si>
  <si>
    <t>U (43):b:z42</t>
  </si>
  <si>
    <t>U_d_e,n,x,z15</t>
  </si>
  <si>
    <t>U (43):d:e,n,x,z15</t>
  </si>
  <si>
    <t>U_d_z39</t>
  </si>
  <si>
    <t>U (43):d:z39</t>
  </si>
  <si>
    <t>U_d_z42</t>
  </si>
  <si>
    <t>U (43):d:z42</t>
  </si>
  <si>
    <t>U_e,n,x,z15_1,(5),7</t>
  </si>
  <si>
    <t>U (43):e,n,x,z15:1,(5),7</t>
  </si>
  <si>
    <t>U_e,n,x,z15_1,6</t>
  </si>
  <si>
    <t>U (43):e,n,x,z15:1,6</t>
  </si>
  <si>
    <t>U_g,m,[s],t_[z42]</t>
  </si>
  <si>
    <t>U (43):g,m,[s],t:[z42]</t>
  </si>
  <si>
    <t>U_g,t_[1,5]</t>
  </si>
  <si>
    <t>U (43):g,t:[1,5]</t>
  </si>
  <si>
    <t>U_g,z62_e,n,x</t>
  </si>
  <si>
    <t>U (43):g,z62:e,n,x</t>
  </si>
  <si>
    <t>U_l,z13,z28_1,5</t>
  </si>
  <si>
    <t>U (43):l,z13,z28:1,5</t>
  </si>
  <si>
    <t>U_z_1,5</t>
  </si>
  <si>
    <t>U (43):z:1,5</t>
  </si>
  <si>
    <t>U_z4,z23_–</t>
  </si>
  <si>
    <t>U (43):z4,z23:–</t>
  </si>
  <si>
    <t>U_z29_e,n,x</t>
  </si>
  <si>
    <t>U (43):z29:e,n,x</t>
  </si>
  <si>
    <t>U_z29_z42</t>
  </si>
  <si>
    <t>U (43):z29:z42</t>
  </si>
  <si>
    <t>U_z42_[1,5,7]</t>
  </si>
  <si>
    <t>U (43):z42:[1,5,7]</t>
  </si>
  <si>
    <t>V_e,n,x_1,6</t>
  </si>
  <si>
    <t>V (1,44):e,n,x:1,6</t>
  </si>
  <si>
    <t>V_g,t_z42</t>
  </si>
  <si>
    <t>V (44):g,t:z42</t>
  </si>
  <si>
    <t>V_m,t_z42</t>
  </si>
  <si>
    <t>V (1,44):m,t:z42</t>
  </si>
  <si>
    <t>V_z4,z23_–</t>
  </si>
  <si>
    <t>V (44):z4,z23:–</t>
  </si>
  <si>
    <t>V_z29_e,n,x</t>
  </si>
  <si>
    <t>V (44):z29:e,n,x</t>
  </si>
  <si>
    <t>V_z39_e,n,x,z15</t>
  </si>
  <si>
    <t>V (1,44):z39:e,n,x,z15</t>
  </si>
  <si>
    <t>W_a_z10</t>
  </si>
  <si>
    <t>W (45):a:z10</t>
  </si>
  <si>
    <t>W_g,m,s,t_1,5</t>
  </si>
  <si>
    <t>W (45):g,m,s,t:1,5</t>
  </si>
  <si>
    <t>W_g,m,s,t_e,n,x</t>
  </si>
  <si>
    <t>W (45):g,m,s,t:e,n,x</t>
  </si>
  <si>
    <t>W_g,m,t_e,n,x,z15</t>
  </si>
  <si>
    <t>W (45):g,m,t:e,n,x,z15</t>
  </si>
  <si>
    <t>W_m,t_1,5</t>
  </si>
  <si>
    <t>W (45):m,t:1,5</t>
  </si>
  <si>
    <t>W_z_1,5</t>
  </si>
  <si>
    <t>W (45):z:1,5</t>
  </si>
  <si>
    <t>W_z_z39</t>
  </si>
  <si>
    <t>W (45):z:z39</t>
  </si>
  <si>
    <t>W_z29_1,5</t>
  </si>
  <si>
    <t>W (45):z29:1,5</t>
  </si>
  <si>
    <t>W_z29_e,n,x</t>
  </si>
  <si>
    <t>W (45):z29:e,n,x</t>
  </si>
  <si>
    <t>W_z29_z42</t>
  </si>
  <si>
    <t>W (45):z29:z42</t>
  </si>
  <si>
    <t>X_a_1,5</t>
  </si>
  <si>
    <t>X (47):a:1,5</t>
  </si>
  <si>
    <t>X_a_e,n,x,z15</t>
  </si>
  <si>
    <t>X (47):a:e,n,x,z15</t>
  </si>
  <si>
    <t>X_b_1,5</t>
  </si>
  <si>
    <t>X (47):b:1,5</t>
  </si>
  <si>
    <t>X_b_e,n,x,z15</t>
  </si>
  <si>
    <t>X (47):b:e,n,x,z15</t>
  </si>
  <si>
    <t>X_b_z6</t>
  </si>
  <si>
    <t>X (47):b:z6</t>
  </si>
  <si>
    <t>X_d_1,5</t>
  </si>
  <si>
    <t>X (47):d:1,5</t>
  </si>
  <si>
    <t>X_d_e,n,x,z15</t>
  </si>
  <si>
    <t>X (47):d:e,n,x,z15</t>
  </si>
  <si>
    <t>X_d_z39</t>
  </si>
  <si>
    <t>X (47):d:z39</t>
  </si>
  <si>
    <t>X_e,n,x,z15_1,6</t>
  </si>
  <si>
    <t>X (47):e,n,x,z15:1,6</t>
  </si>
  <si>
    <t>X_[g,t]_e,n,x</t>
  </si>
  <si>
    <t>[g,t]</t>
  </si>
  <si>
    <t>X (47):[g,t]:e,n,x</t>
  </si>
  <si>
    <t>X_z_e,n,x,z15</t>
  </si>
  <si>
    <t>X (47):z:e,n,x,z15</t>
  </si>
  <si>
    <t>X_z_z6</t>
  </si>
  <si>
    <t>X (47):z:z6</t>
  </si>
  <si>
    <t>X_z6_1,6</t>
  </si>
  <si>
    <t>X (47):z6:1,6</t>
  </si>
  <si>
    <t>X_z29_e,n,x,z15</t>
  </si>
  <si>
    <t>X (47):z29:e,n,x,z15</t>
  </si>
  <si>
    <t>Y_a_z6</t>
  </si>
  <si>
    <t>Y (48):a:z6</t>
  </si>
  <si>
    <t>Y_a_z39</t>
  </si>
  <si>
    <t>Y (48):a:z39</t>
  </si>
  <si>
    <t>Y_b_z6</t>
  </si>
  <si>
    <t>Y (48):b:z6</t>
  </si>
  <si>
    <t>Y_b_e,n,x,z15</t>
  </si>
  <si>
    <t>Y (48):b:e,n,x,z15</t>
  </si>
  <si>
    <t>Y_d_1,2</t>
  </si>
  <si>
    <t>Y (48):d:1,2</t>
  </si>
  <si>
    <t>Y_d_z6</t>
  </si>
  <si>
    <t>Y (48):d:z6</t>
  </si>
  <si>
    <t>Y_e,n,x,z15_z6</t>
  </si>
  <si>
    <t>Y (48):e,n,x,z15:z6</t>
  </si>
  <si>
    <t>Y_g,m,t_–</t>
  </si>
  <si>
    <t>Y (48):g,m,t:–</t>
  </si>
  <si>
    <t>Y_k_e,n,x,z15</t>
  </si>
  <si>
    <t>Y (48):k:e,n,x,z15</t>
  </si>
  <si>
    <t>Y_k_z39</t>
  </si>
  <si>
    <t>Y (48):k:z39</t>
  </si>
  <si>
    <t>Y_z_1,5</t>
  </si>
  <si>
    <t>Y (48):z:1,5</t>
  </si>
  <si>
    <t>Y_z10_[1,5]</t>
  </si>
  <si>
    <t>Y (48):z10:[1,5]</t>
  </si>
  <si>
    <t>Y_z10_1,6</t>
  </si>
  <si>
    <t>Y (48):z10:1,6</t>
  </si>
  <si>
    <t>Y_z29_–</t>
  </si>
  <si>
    <t>Y (48):z29:–</t>
  </si>
  <si>
    <t>Y_z39_z81</t>
  </si>
  <si>
    <t>Y (48):z39:z81</t>
  </si>
  <si>
    <t>Z_b_z6</t>
  </si>
  <si>
    <t>Z (50):b:z6</t>
  </si>
  <si>
    <t>Z_e,n,x_1,7</t>
  </si>
  <si>
    <t>Z (50):e,n,x:1,7</t>
  </si>
  <si>
    <t>Z_g,[m],s,t_[1,5]</t>
  </si>
  <si>
    <t>Z (50):g,[m],s,t:[1,5]</t>
  </si>
  <si>
    <t>Z_g,z62_e,n,x</t>
  </si>
  <si>
    <t>Z (50):g,z62:e,n,x</t>
  </si>
  <si>
    <t>Z_m,t_z6</t>
  </si>
  <si>
    <t>Z (50):m,t:z6</t>
  </si>
  <si>
    <t>Z_k_e,n,x</t>
  </si>
  <si>
    <t>Z (50):k:e,n,x</t>
  </si>
  <si>
    <t>Z_k_z6</t>
  </si>
  <si>
    <t>Z (50):k:z6</t>
  </si>
  <si>
    <t>Z_l,w_e,n,x,z15</t>
  </si>
  <si>
    <t>Z (50):l,w:e,n,x,z15</t>
  </si>
  <si>
    <t>Z_l,z28_z42</t>
  </si>
  <si>
    <t>Z (50):l,z28:z42</t>
  </si>
  <si>
    <t>Z_z_e,n,x</t>
  </si>
  <si>
    <t>Z (50):z:e,n,x</t>
  </si>
  <si>
    <t>Z_z10_z6</t>
  </si>
  <si>
    <t>Z (50):z10:z6</t>
  </si>
  <si>
    <t>Z_z42_1,7</t>
  </si>
  <si>
    <t>Z (50):z42:1,7</t>
  </si>
  <si>
    <t>51_c_–</t>
  </si>
  <si>
    <t>51 (51):c:–</t>
  </si>
  <si>
    <t>51_g,s,t_e,n,x</t>
  </si>
  <si>
    <t>51 (51):g,s,t:e,n,x</t>
  </si>
  <si>
    <t>51_l,z28_z6</t>
  </si>
  <si>
    <t>51 (51):l,z28:z6</t>
  </si>
  <si>
    <t>51_l,z28_z39</t>
  </si>
  <si>
    <t>51 (51):l,z28:z39</t>
  </si>
  <si>
    <t>51_z29_e,n,x,z15</t>
  </si>
  <si>
    <t>51 (51):z29:e,n,x,z15</t>
  </si>
  <si>
    <t>51_–_1,7</t>
  </si>
  <si>
    <t>51 (51):–:1,7</t>
  </si>
  <si>
    <t>52_c_k</t>
  </si>
  <si>
    <t>52 (52):c:k</t>
  </si>
  <si>
    <t>52_d_e,n,x,z15</t>
  </si>
  <si>
    <t>52 (52):d:e,n,x,z15</t>
  </si>
  <si>
    <t>52_d_z39</t>
  </si>
  <si>
    <t>52 (52):d:z39</t>
  </si>
  <si>
    <t>52_g,t_–</t>
  </si>
  <si>
    <t>52 (52):g,t:–</t>
  </si>
  <si>
    <t>52_z_z39</t>
  </si>
  <si>
    <t>52 (52):z:z39</t>
  </si>
  <si>
    <t>52_z39_1,5,7</t>
  </si>
  <si>
    <t>52 (52):z39:1,5,7</t>
  </si>
  <si>
    <t>52_z44_1,5,7</t>
  </si>
  <si>
    <t>52 (52):z44:1,5,7</t>
  </si>
  <si>
    <t>53_d_1,5</t>
  </si>
  <si>
    <t>53 (53):d:1,5</t>
  </si>
  <si>
    <t>Group O:53</t>
  </si>
  <si>
    <t>53_d_z39</t>
  </si>
  <si>
    <t>1,53</t>
  </si>
  <si>
    <t>53 (1,53):d:z39</t>
  </si>
  <si>
    <t>53_d_z42</t>
  </si>
  <si>
    <t>53 (53):d:z42</t>
  </si>
  <si>
    <t>53_l,z28_e,n,x</t>
  </si>
  <si>
    <t>53 (53):l,z28:e,n,x</t>
  </si>
  <si>
    <t>53_l,z28_z6</t>
  </si>
  <si>
    <t>53 (53):l,z28:z6</t>
  </si>
  <si>
    <t>53_l,z28_z39</t>
  </si>
  <si>
    <t>53 (53):l,z28:z39</t>
  </si>
  <si>
    <t>53_z_1,5</t>
  </si>
  <si>
    <t>53 (53):z:1,5</t>
  </si>
  <si>
    <t>53_z_z6</t>
  </si>
  <si>
    <t>53 (53):z:z6</t>
  </si>
  <si>
    <t>53_z4,z24_–</t>
  </si>
  <si>
    <t>53 (53):z4,z24:–</t>
  </si>
  <si>
    <t>55_k_z39</t>
  </si>
  <si>
    <t>55 (55):k:z39</t>
  </si>
  <si>
    <t>Group O:55</t>
  </si>
  <si>
    <t>56_b_[1,5]</t>
  </si>
  <si>
    <t>56 (56):b:[1,5]</t>
  </si>
  <si>
    <t>Group O:56</t>
  </si>
  <si>
    <t>56_d_–</t>
  </si>
  <si>
    <t>56 (56):d:–</t>
  </si>
  <si>
    <t>56_e,n,x_1,7</t>
  </si>
  <si>
    <t>56 (56):e,n,x:1,7</t>
  </si>
  <si>
    <t>56_l,v_z39</t>
  </si>
  <si>
    <t>56 (56):l,v:z39</t>
  </si>
  <si>
    <t>56_l,z28_–</t>
  </si>
  <si>
    <t>56 (56):l,z28:–</t>
  </si>
  <si>
    <t>56_z_z6</t>
  </si>
  <si>
    <t>56 (56):z:z6</t>
  </si>
  <si>
    <t>56_z10_e,n,x</t>
  </si>
  <si>
    <t>56 (56):z10:e,n,x</t>
  </si>
  <si>
    <t>57_a_z42</t>
  </si>
  <si>
    <t>57 (57):a:z42</t>
  </si>
  <si>
    <t>57_d_1,5</t>
  </si>
  <si>
    <t>57 (57):d:1,5</t>
  </si>
  <si>
    <t>57_g,[m],s,t_z42</t>
  </si>
  <si>
    <t>57 (57):g,[m],s,t:z42</t>
  </si>
  <si>
    <t>57_g,t_–</t>
  </si>
  <si>
    <t>57 (57):g,t:–</t>
  </si>
  <si>
    <t>57_z29_z42</t>
  </si>
  <si>
    <t>57 (57):z29:z42</t>
  </si>
  <si>
    <t>57_z39_e,n,x,z15</t>
  </si>
  <si>
    <t>57 (57):z39:e,n,x,z15</t>
  </si>
  <si>
    <t>57_z42_1,6</t>
  </si>
  <si>
    <t>57 (57):z42:1,6</t>
  </si>
  <si>
    <t>58_a_z6</t>
  </si>
  <si>
    <t>58 (58):a:z6</t>
  </si>
  <si>
    <t>Group O:58</t>
  </si>
  <si>
    <t>58_b_1,5</t>
  </si>
  <si>
    <t>58 (58):b:1,5</t>
  </si>
  <si>
    <t>58_c_z6</t>
  </si>
  <si>
    <t>58 (58):c:z6</t>
  </si>
  <si>
    <t>58_d_z6</t>
  </si>
  <si>
    <t>58 (58):d:z6</t>
  </si>
  <si>
    <t>58_l,z13,z28_1,5</t>
  </si>
  <si>
    <t>58 (58):l,z13,z28:1,5</t>
  </si>
  <si>
    <t>58_l,z13,z28_z6</t>
  </si>
  <si>
    <t>58 (58):l,z13,z28:z6</t>
  </si>
  <si>
    <t>58_z6_1,6</t>
  </si>
  <si>
    <t>58 (58):z6:1,6</t>
  </si>
  <si>
    <t>58_z10_1,6</t>
  </si>
  <si>
    <t>58 (58):z10:1,6</t>
  </si>
  <si>
    <t>58_z10_z6</t>
  </si>
  <si>
    <t>58 (58):z10:z6</t>
  </si>
  <si>
    <t>58_z39_e,n,x,z15</t>
  </si>
  <si>
    <t>58 (58):z39:e,n,x,z15</t>
  </si>
  <si>
    <t>59_k_z65</t>
  </si>
  <si>
    <t>z65</t>
  </si>
  <si>
    <t>59 (59):k:z65</t>
  </si>
  <si>
    <t>Group O:59</t>
  </si>
  <si>
    <t>59_z_z6</t>
  </si>
  <si>
    <t>1,59</t>
  </si>
  <si>
    <t>59 (1,59):z:z6</t>
  </si>
  <si>
    <t>60_g,m,t_z6</t>
  </si>
  <si>
    <t>60 (60):g,m,t:z6</t>
  </si>
  <si>
    <t>Group O:60</t>
  </si>
  <si>
    <t>60_z_e,n,x</t>
  </si>
  <si>
    <t>60 (60):z:e,n,x</t>
  </si>
  <si>
    <t>60_z29_e,n,x</t>
  </si>
  <si>
    <t>60 (60):z29:e,n,x</t>
  </si>
  <si>
    <t>65_g,t_–</t>
  </si>
  <si>
    <t>65 (65):g,t:–</t>
  </si>
  <si>
    <t>Group O:65</t>
  </si>
  <si>
    <t>65_–_1,6</t>
  </si>
  <si>
    <t>65 (65):–:1,6</t>
  </si>
  <si>
    <t>53_c_1,5</t>
  </si>
  <si>
    <t>II1</t>
  </si>
  <si>
    <t>53 (53):c:1,5</t>
  </si>
  <si>
    <t>60_b_–</t>
  </si>
  <si>
    <t>60 (60):b:–</t>
  </si>
  <si>
    <t>F_z4,z23_–</t>
  </si>
  <si>
    <t>IIIa</t>
  </si>
  <si>
    <t>F (11):z4,z23:–</t>
  </si>
  <si>
    <t>G_g,z51_–</t>
  </si>
  <si>
    <t>G (1,13,23):g,z51:–</t>
  </si>
  <si>
    <t>G (13,22):z4,z23:–</t>
  </si>
  <si>
    <t>G_z4,z23,[z32_] –</t>
  </si>
  <si>
    <t>z4,z23,[z32</t>
  </si>
  <si>
    <t>G (13,23):z4,z23,[z32:] –</t>
  </si>
  <si>
    <t>G_z4,z24_–</t>
  </si>
  <si>
    <t>G (13,23):z4,z24:–</t>
  </si>
  <si>
    <t>J_z4,z23_–</t>
  </si>
  <si>
    <t>J (17):z4,z23:–</t>
  </si>
  <si>
    <t>J_z4,z23,z32_–</t>
  </si>
  <si>
    <t>z4,z23,z32</t>
  </si>
  <si>
    <t>J (17):z4,z23,z32:–</t>
  </si>
  <si>
    <t>J_z4,z24_–</t>
  </si>
  <si>
    <t>J (17):z4,z24:–</t>
  </si>
  <si>
    <t>J_z4,z32_–</t>
  </si>
  <si>
    <t>z4,z32</t>
  </si>
  <si>
    <t>J (17):z4,z32:–</t>
  </si>
  <si>
    <t>J_z29_–</t>
  </si>
  <si>
    <t>J (17):z29:–</t>
  </si>
  <si>
    <t>J_z36_–</t>
  </si>
  <si>
    <t>J (17):z36:–</t>
  </si>
  <si>
    <t>K_g,z51_–</t>
  </si>
  <si>
    <t>K (18):g,z51:–</t>
  </si>
  <si>
    <t>K_z4,z32_–</t>
  </si>
  <si>
    <t>K (18):z4,z32:–</t>
  </si>
  <si>
    <t>L_g,z51_–</t>
  </si>
  <si>
    <t>L (21):g,z51:–</t>
  </si>
  <si>
    <t>L_z29_–</t>
  </si>
  <si>
    <t>L (21):z29:–</t>
  </si>
  <si>
    <t>L_z36_–</t>
  </si>
  <si>
    <t>L (21):z36:–</t>
  </si>
  <si>
    <t>O_g,z51_–</t>
  </si>
  <si>
    <t>O (35):g,z51:–</t>
  </si>
  <si>
    <t>O_z4,z24_–</t>
  </si>
  <si>
    <t>O (35):z4,z24:–</t>
  </si>
  <si>
    <t>O_z4,z32_–</t>
  </si>
  <si>
    <t>O (35):z4,z32:–</t>
  </si>
  <si>
    <t>O_z29_–</t>
  </si>
  <si>
    <t>O (35):z29:–</t>
  </si>
  <si>
    <t>O_z36_–</t>
  </si>
  <si>
    <t>O (35):z36:–</t>
  </si>
  <si>
    <t>P_g,z51_–</t>
  </si>
  <si>
    <t>P (38):g,z51:–</t>
  </si>
  <si>
    <t>P_z4,z23_–</t>
  </si>
  <si>
    <t>P (38):z4,z23:–</t>
  </si>
  <si>
    <t>R_g,z51_–</t>
  </si>
  <si>
    <t>R (40):g,z51:–</t>
  </si>
  <si>
    <t>R_z4,z23_–</t>
  </si>
  <si>
    <t>R (40):z4,z23:–</t>
  </si>
  <si>
    <t>R_z4,z24_–</t>
  </si>
  <si>
    <t>R (40):z4,z24:–</t>
  </si>
  <si>
    <t>R_z4,z32_–</t>
  </si>
  <si>
    <t>R (40):z4,z32:–</t>
  </si>
  <si>
    <t>R_z29_–</t>
  </si>
  <si>
    <t>R (40):z29:–</t>
  </si>
  <si>
    <t>R_z36_–</t>
  </si>
  <si>
    <t>R (40):z36:–</t>
  </si>
  <si>
    <t>S_g,z51_–</t>
  </si>
  <si>
    <t>S (41):g,z51:–</t>
  </si>
  <si>
    <t>S_z4,z23_–</t>
  </si>
  <si>
    <t>S (41):z4,z23:–</t>
  </si>
  <si>
    <t>S_z4,z23,z32_–</t>
  </si>
  <si>
    <t>S (41):z4,z23,z32:–</t>
  </si>
  <si>
    <t>S_z4,z24_–</t>
  </si>
  <si>
    <t>S (41):z4,z24:–</t>
  </si>
  <si>
    <t>S_z4,z32_–</t>
  </si>
  <si>
    <t>S (41):z4,z32:–</t>
  </si>
  <si>
    <t>S_z29_–</t>
  </si>
  <si>
    <t>S (41):z29:–</t>
  </si>
  <si>
    <t>S_z36_–</t>
  </si>
  <si>
    <t>S (41):z36:–</t>
  </si>
  <si>
    <t>T_g,z51_–</t>
  </si>
  <si>
    <t>T (42):g,z51:–</t>
  </si>
  <si>
    <t>T_z4,z23_–</t>
  </si>
  <si>
    <t>T (42):z4,z23:–</t>
  </si>
  <si>
    <t>T_z4,z24_–</t>
  </si>
  <si>
    <t>T (42):z4,z24:–</t>
  </si>
  <si>
    <t>U_g,z51_–</t>
  </si>
  <si>
    <t>U (43):g,z51:–</t>
  </si>
  <si>
    <t>U_z4,z24_–</t>
  </si>
  <si>
    <t>U (43):z4,z24:–</t>
  </si>
  <si>
    <t>U_z29_–</t>
  </si>
  <si>
    <t>U (43):z29:–</t>
  </si>
  <si>
    <t>U_z36_–</t>
  </si>
  <si>
    <t>U (43):z36:–</t>
  </si>
  <si>
    <t>V_z4,z23,z32_–</t>
  </si>
  <si>
    <t>V (44):z4,z23,z32:–</t>
  </si>
  <si>
    <t>V_z4,z32_–</t>
  </si>
  <si>
    <t>V (44):z4,z32:–</t>
  </si>
  <si>
    <t>W_g,z51_–</t>
  </si>
  <si>
    <t>W (45):g,z51:–</t>
  </si>
  <si>
    <t>W_z4,z23_–</t>
  </si>
  <si>
    <t>W (45):z4,z23:–</t>
  </si>
  <si>
    <t>W_z4,z24_–</t>
  </si>
  <si>
    <t>W (45):z4,z24:–</t>
  </si>
  <si>
    <t>W_z4,z32_–</t>
  </si>
  <si>
    <t>W (45):z4,z32:–</t>
  </si>
  <si>
    <t>W_z29__</t>
  </si>
  <si>
    <t>W (45):z29:_</t>
  </si>
  <si>
    <t>X_g,z51_–</t>
  </si>
  <si>
    <t>X (47):g,z51:–</t>
  </si>
  <si>
    <t>X_z4,z23_–</t>
  </si>
  <si>
    <t>X (47):z4,z23:–</t>
  </si>
  <si>
    <t>Y_g,z51_–</t>
  </si>
  <si>
    <t>Y (48):g,z51:–</t>
  </si>
  <si>
    <t>Y_z4,z23_–</t>
  </si>
  <si>
    <t>Y (48):z4,z23:–</t>
  </si>
  <si>
    <t>Y_z4,z23,z32_–</t>
  </si>
  <si>
    <t>Y (48):z4,z23,z32:–</t>
  </si>
  <si>
    <t>Y_z4,z32_–</t>
  </si>
  <si>
    <t>Y (48):z4,z32:–</t>
  </si>
  <si>
    <t>Y_z36_–</t>
  </si>
  <si>
    <t>Y (48):z36:–</t>
  </si>
  <si>
    <t>Z_g,z51_–</t>
  </si>
  <si>
    <t>Z (50):g,z51:–</t>
  </si>
  <si>
    <t>Z_z4,z23_–</t>
  </si>
  <si>
    <t>Z (50):z4,z23:–</t>
  </si>
  <si>
    <t>Z_z4,z23,z32_–</t>
  </si>
  <si>
    <t>Z (50):z4,z23,z32:–</t>
  </si>
  <si>
    <t>Z_z4,z24_–</t>
  </si>
  <si>
    <t>Z (50):z4,z24:–</t>
  </si>
  <si>
    <t>Z_z4,z32_–</t>
  </si>
  <si>
    <t>Z (50):z4,z32:–</t>
  </si>
  <si>
    <t>Z_z29_–</t>
  </si>
  <si>
    <t>Z (50):z29:–</t>
  </si>
  <si>
    <t>Z_z36_–</t>
  </si>
  <si>
    <t>Z (50):z36:–</t>
  </si>
  <si>
    <t>51_g,z51_–</t>
  </si>
  <si>
    <t>51 (51):g,z51:–</t>
  </si>
  <si>
    <t>51_z4,z23_–</t>
  </si>
  <si>
    <t>51 (51):z4,z23:–</t>
  </si>
  <si>
    <t>51_z4,z24_–</t>
  </si>
  <si>
    <t>51 (51):z4,z24:–</t>
  </si>
  <si>
    <t>51_z4,z32_–</t>
  </si>
  <si>
    <t>51 (51):z4,z32:–</t>
  </si>
  <si>
    <t>53_g,z51_–</t>
  </si>
  <si>
    <t>53 (53):g,z51:–</t>
  </si>
  <si>
    <t>53_z4,z23_–</t>
  </si>
  <si>
    <t>53 (53):z4,z23:–</t>
  </si>
  <si>
    <t>53_z4,z23,z32_–</t>
  </si>
  <si>
    <t>53 (53):z4,z23,z32:–</t>
  </si>
  <si>
    <t>53_z29_–</t>
  </si>
  <si>
    <t>53 (53):z29:–</t>
  </si>
  <si>
    <t>56_z4,z23_–</t>
  </si>
  <si>
    <t>56 (56):z4,z23:–</t>
  </si>
  <si>
    <t>56_z4,z23,z32_–</t>
  </si>
  <si>
    <t>56 (56):z4,z23,z32:–</t>
  </si>
  <si>
    <t>56_z29_–</t>
  </si>
  <si>
    <t>56 (56):z29:–</t>
  </si>
  <si>
    <t>59_z4,z23_–</t>
  </si>
  <si>
    <t>59 (59):z4,z23:–</t>
  </si>
  <si>
    <t>59_z29_–</t>
  </si>
  <si>
    <t>59 (59):z29:–</t>
  </si>
  <si>
    <t>59_z36_–</t>
  </si>
  <si>
    <t>59 (59):z36:–</t>
  </si>
  <si>
    <t>62_g,z51_–</t>
  </si>
  <si>
    <t>62 (62):g,z51:–</t>
  </si>
  <si>
    <t>Group O:62</t>
  </si>
  <si>
    <t>62_z4,z23_–</t>
  </si>
  <si>
    <t>62 (62):z4,z23:–</t>
  </si>
  <si>
    <t>62_z4,z32_–</t>
  </si>
  <si>
    <t>62 (62):z4,z32:–</t>
  </si>
  <si>
    <t>62_z29_–</t>
  </si>
  <si>
    <t>62 (62):z29:–</t>
  </si>
  <si>
    <t>62_z36_–</t>
  </si>
  <si>
    <t>62 (62):z36:–</t>
  </si>
  <si>
    <t>63_g,z51_–</t>
  </si>
  <si>
    <t>63 (63):g,z51:–</t>
  </si>
  <si>
    <t>Group O:63</t>
  </si>
  <si>
    <t>63_z4,z23_–</t>
  </si>
  <si>
    <t>63 (63):z4,z23:–</t>
  </si>
  <si>
    <t>63_z4,z32_–</t>
  </si>
  <si>
    <t>63 (63):z4,z32:–</t>
  </si>
  <si>
    <t>63_z36_–</t>
  </si>
  <si>
    <t>63 (63):z36:–</t>
  </si>
  <si>
    <t>C1_(k)_z</t>
  </si>
  <si>
    <t>IIIb</t>
  </si>
  <si>
    <t>(k)</t>
  </si>
  <si>
    <t>C1 (6,7):(k):z</t>
  </si>
  <si>
    <t>C1_l,v_1,5,7</t>
  </si>
  <si>
    <t>C1 (6,7):l,v:1,5,7</t>
  </si>
  <si>
    <t>C1_l,v_z53</t>
  </si>
  <si>
    <t>z53</t>
  </si>
  <si>
    <t>C1 (6,7):l,v:z53</t>
  </si>
  <si>
    <t>C1_z39_1,2</t>
  </si>
  <si>
    <t>C1 (6,7,14):z39:1,2</t>
  </si>
  <si>
    <t>C2-C3_(k)_z35</t>
  </si>
  <si>
    <t>C2-C3 (8):(k):z35</t>
  </si>
  <si>
    <t>C2-C3_r_z</t>
  </si>
  <si>
    <t>C2-C3 (8):r:z</t>
  </si>
  <si>
    <t>F_k_z53</t>
  </si>
  <si>
    <t>F (11):k:z53</t>
  </si>
  <si>
    <t>F_l,v_z</t>
  </si>
  <si>
    <t>F (11):l,v:z</t>
  </si>
  <si>
    <t>F_l,v_z53</t>
  </si>
  <si>
    <t>F (11):l,v:z53</t>
  </si>
  <si>
    <t>G_g,m,s_z</t>
  </si>
  <si>
    <t>G (13,22):g,m,s:z</t>
  </si>
  <si>
    <t>G_l,v_1,5,7</t>
  </si>
  <si>
    <t>G (13,22):l,v:1,5,7</t>
  </si>
  <si>
    <t>G (13,23):z:1,5</t>
  </si>
  <si>
    <t>H_b_e,n,x</t>
  </si>
  <si>
    <t>(6),14</t>
  </si>
  <si>
    <t>H ((6),14):b:e,n,x</t>
  </si>
  <si>
    <t>H_k_z</t>
  </si>
  <si>
    <t>H ((6),14):k:z</t>
  </si>
  <si>
    <t>H_k_z53</t>
  </si>
  <si>
    <t>H ((6),14):k:z53</t>
  </si>
  <si>
    <t>H_l,v_z</t>
  </si>
  <si>
    <t>H ((6),14):l,v:z</t>
  </si>
  <si>
    <t>H_l,v_z35</t>
  </si>
  <si>
    <t>H ((6),14):l,v:z35</t>
  </si>
  <si>
    <t>H_l,v_z53</t>
  </si>
  <si>
    <t>H ((6),14):l,v:z53</t>
  </si>
  <si>
    <t>H_r_z</t>
  </si>
  <si>
    <t>H ((6),14):r:z</t>
  </si>
  <si>
    <t>H_z10_e,n,x,z15</t>
  </si>
  <si>
    <t>H ((6),14):z10:e,n,x,z15</t>
  </si>
  <si>
    <t>H_z10_z</t>
  </si>
  <si>
    <t>H ((6),14):z10:z</t>
  </si>
  <si>
    <t>H_z10_z53</t>
  </si>
  <si>
    <t>H (6,14):z10:z53</t>
  </si>
  <si>
    <t>H_z52_e,n,x,z15</t>
  </si>
  <si>
    <t>H (6,14):z52:e,n,x,z15</t>
  </si>
  <si>
    <t>H_z52_z35</t>
  </si>
  <si>
    <t>H ([1],6,14,[25]):z52:z35</t>
  </si>
  <si>
    <t>I_i_z35</t>
  </si>
  <si>
    <t>I (16):i:z35</t>
  </si>
  <si>
    <t>I_(k)_e,n,x,z15</t>
  </si>
  <si>
    <t>I (16):(k):e,n,x,z15</t>
  </si>
  <si>
    <t>I_k_z</t>
  </si>
  <si>
    <t>I (16):k:z</t>
  </si>
  <si>
    <t>I_(k)_z35</t>
  </si>
  <si>
    <t>I (16):(k):z35</t>
  </si>
  <si>
    <t>I_k_z53</t>
  </si>
  <si>
    <t>I (16):k:z53</t>
  </si>
  <si>
    <t>I_l,v_1,5,7</t>
  </si>
  <si>
    <t>I (16):l,v:1,5,7</t>
  </si>
  <si>
    <t>I_l,v_z</t>
  </si>
  <si>
    <t>I (16):l,v:z</t>
  </si>
  <si>
    <t>I_l,v_z35</t>
  </si>
  <si>
    <t>I (16):l,v:z35</t>
  </si>
  <si>
    <t>I_l,v_z53</t>
  </si>
  <si>
    <t>I (16):l,v:z53</t>
  </si>
  <si>
    <t>I_z10_1,7</t>
  </si>
  <si>
    <t>I (16):z10:1,7</t>
  </si>
  <si>
    <t>I_z10_e,n,x,z15</t>
  </si>
  <si>
    <t>I (16):z10:e,n,x,z15</t>
  </si>
  <si>
    <t>I_z52_z35</t>
  </si>
  <si>
    <t>I (16):z52:z35</t>
  </si>
  <si>
    <t>J_i_z35</t>
  </si>
  <si>
    <t>J (17):i:z35</t>
  </si>
  <si>
    <t>J_k_z</t>
  </si>
  <si>
    <t>J (17):k:z</t>
  </si>
  <si>
    <t>J_l,v_e,n,x,z15</t>
  </si>
  <si>
    <t>J (17):l,v:e,n,x,z15</t>
  </si>
  <si>
    <t>J_l,v_z35</t>
  </si>
  <si>
    <t>J (17):l,v:z35</t>
  </si>
  <si>
    <t>J_r_z</t>
  </si>
  <si>
    <t>J (17):r:z</t>
  </si>
  <si>
    <t>J_z10_e,n,x,z15</t>
  </si>
  <si>
    <t>J (17):z10:e,n,x,z15</t>
  </si>
  <si>
    <t>J_z10_z</t>
  </si>
  <si>
    <t>J (17):z10:z</t>
  </si>
  <si>
    <t>K_(k)_z53</t>
  </si>
  <si>
    <t>K (18):(k):z53</t>
  </si>
  <si>
    <t>K_(k)_z54</t>
  </si>
  <si>
    <t>z54</t>
  </si>
  <si>
    <t>K (18):(k):z54</t>
  </si>
  <si>
    <t>K_l,v_e,n,x,z15</t>
  </si>
  <si>
    <t>K (18):l,v:e,n,x,z15</t>
  </si>
  <si>
    <t>K_l,v_z</t>
  </si>
  <si>
    <t>K (18):l,v:z</t>
  </si>
  <si>
    <t>K_l,v_z53</t>
  </si>
  <si>
    <t>K (18):l,v:z53</t>
  </si>
  <si>
    <t>K_r_z</t>
  </si>
  <si>
    <t>K (18):r:z</t>
  </si>
  <si>
    <t>K_z10_e,n,x,z15</t>
  </si>
  <si>
    <t>K (18):z10:e,n,x,z15</t>
  </si>
  <si>
    <t>L_c_e,n,x,z15</t>
  </si>
  <si>
    <t>L (21):c:e,n,x,z15</t>
  </si>
  <si>
    <t>L_i_1,5,7</t>
  </si>
  <si>
    <t>L (21):i:1,5,7</t>
  </si>
  <si>
    <t>L_i_e,n,x,z15</t>
  </si>
  <si>
    <t>L (21):i:e,n,x,z15</t>
  </si>
  <si>
    <t>L_k_e,n,x,z15</t>
  </si>
  <si>
    <t>L (21):k:e,n,x,z15</t>
  </si>
  <si>
    <t>L_k_z</t>
  </si>
  <si>
    <t>L (21):k:z</t>
  </si>
  <si>
    <t>L_l,v_z</t>
  </si>
  <si>
    <t>L (21):l,v:z</t>
  </si>
  <si>
    <t>L_l,v_z57</t>
  </si>
  <si>
    <t>z57</t>
  </si>
  <si>
    <t>L (21):l,v:z57</t>
  </si>
  <si>
    <t>L_r_z</t>
  </si>
  <si>
    <t>L (21):r:z</t>
  </si>
  <si>
    <t>L_z10_e,n,x,z15</t>
  </si>
  <si>
    <t>L (21):z10:e,n,x,z15</t>
  </si>
  <si>
    <t>L_z10_z</t>
  </si>
  <si>
    <t>L (21):z10:z</t>
  </si>
  <si>
    <t>L_z10_z53</t>
  </si>
  <si>
    <t>L (21):z10:z53</t>
  </si>
  <si>
    <t>L_z65_e,n,x,z15</t>
  </si>
  <si>
    <t>L (21):z65:e,n,x,z15</t>
  </si>
  <si>
    <t>M_k_1,7</t>
  </si>
  <si>
    <t>M (28):k:1,7</t>
  </si>
  <si>
    <t>M_z10_z</t>
  </si>
  <si>
    <t>M (28):z10:z</t>
  </si>
  <si>
    <t>O_i_e,n,x,z15</t>
  </si>
  <si>
    <t>O (35):i:e,n,x,z15</t>
  </si>
  <si>
    <t>O_i_z</t>
  </si>
  <si>
    <t>O (35):i:z</t>
  </si>
  <si>
    <t>O_i_z35</t>
  </si>
  <si>
    <t>O (35):i:z35</t>
  </si>
  <si>
    <t>O_i_z53</t>
  </si>
  <si>
    <t>O (35):i:z53</t>
  </si>
  <si>
    <t>O_k_e,n,x,z15</t>
  </si>
  <si>
    <t>O (35):k:e,n,x,z15</t>
  </si>
  <si>
    <t>O_k_z</t>
  </si>
  <si>
    <t>O (35):k:z</t>
  </si>
  <si>
    <t>O_(k)_z35</t>
  </si>
  <si>
    <t>O (35):(k):z35</t>
  </si>
  <si>
    <t>O_k_z53</t>
  </si>
  <si>
    <t>O (35):k:z53</t>
  </si>
  <si>
    <t>O_l,v_1,5,7</t>
  </si>
  <si>
    <t>O (35):l,v:1,5,7</t>
  </si>
  <si>
    <t>O_l,v_e,n,x,z15</t>
  </si>
  <si>
    <t>O (35):l,v:e,n,x,z15</t>
  </si>
  <si>
    <t>O_l,v_z35</t>
  </si>
  <si>
    <t>O (35):l,v:z35</t>
  </si>
  <si>
    <t>O_r_e,n,x,z15</t>
  </si>
  <si>
    <t>O (35):r:e,n,x,z15</t>
  </si>
  <si>
    <t>O_r_z</t>
  </si>
  <si>
    <t>O (35):r:z</t>
  </si>
  <si>
    <t>O_r_z35</t>
  </si>
  <si>
    <t>O (35):r:z35</t>
  </si>
  <si>
    <t>O_r_z61</t>
  </si>
  <si>
    <t>z61</t>
  </si>
  <si>
    <t>O (35):r:z61</t>
  </si>
  <si>
    <t>O_z10_z35</t>
  </si>
  <si>
    <t>O (35):z10:z35</t>
  </si>
  <si>
    <t>O_z52_1,5,7</t>
  </si>
  <si>
    <t>O (35):z52:1,5,7</t>
  </si>
  <si>
    <t>O_z52_e,n,x,z15</t>
  </si>
  <si>
    <t>O (35):z52:e,n,x,z15</t>
  </si>
  <si>
    <t>O_z52_z</t>
  </si>
  <si>
    <t>O (35):z52:z</t>
  </si>
  <si>
    <t>O_z52_z35</t>
  </si>
  <si>
    <t>O (35):z52:z35</t>
  </si>
  <si>
    <t>P_i_z</t>
  </si>
  <si>
    <t>P (38):i:z</t>
  </si>
  <si>
    <t>P_i_z53</t>
  </si>
  <si>
    <t>P (38):i:z53</t>
  </si>
  <si>
    <t>P_k_e,n,x,z15</t>
  </si>
  <si>
    <t>P (38):k:e,n,x,z15</t>
  </si>
  <si>
    <t>P_k_z</t>
  </si>
  <si>
    <t>P (38):k:z</t>
  </si>
  <si>
    <t>P_k_z53</t>
  </si>
  <si>
    <t>P (38):k:z53</t>
  </si>
  <si>
    <t>P_(k)_1,5,7</t>
  </si>
  <si>
    <t>P (38):(k):1,5,7</t>
  </si>
  <si>
    <t>P_(k)_z35</t>
  </si>
  <si>
    <t>P (38):(k):z35</t>
  </si>
  <si>
    <t>P_(k)_–</t>
  </si>
  <si>
    <t>P (38):(k):–</t>
  </si>
  <si>
    <t>P_(k)_z55</t>
  </si>
  <si>
    <t>z55</t>
  </si>
  <si>
    <t>P (38):(k):z55</t>
  </si>
  <si>
    <t>P_l,v_z</t>
  </si>
  <si>
    <t>P (38):l,v:z</t>
  </si>
  <si>
    <t>P_l,v_z35</t>
  </si>
  <si>
    <t>P (38):l,v:z35</t>
  </si>
  <si>
    <t>P_l,v_[z53]</t>
  </si>
  <si>
    <t>[z53]</t>
  </si>
  <si>
    <t>P (38):l,v:[z53]</t>
  </si>
  <si>
    <t>P_r_1,5,7</t>
  </si>
  <si>
    <t>P (38):r:1,5,7</t>
  </si>
  <si>
    <t>P_r_e,n,x,z15</t>
  </si>
  <si>
    <t>P (38):r:e,n,x,z15</t>
  </si>
  <si>
    <t>P_r_z</t>
  </si>
  <si>
    <t>P (38):r:z</t>
  </si>
  <si>
    <t>P_r_z35</t>
  </si>
  <si>
    <t>P (38):r:z35</t>
  </si>
  <si>
    <t>P_z10_z</t>
  </si>
  <si>
    <t>P (38):z10:z</t>
  </si>
  <si>
    <t>P_z10_z53</t>
  </si>
  <si>
    <t>P (38):z10:z53</t>
  </si>
  <si>
    <t>P_z52_z35</t>
  </si>
  <si>
    <t>P (38):z52:z35</t>
  </si>
  <si>
    <t>P_z52_z53</t>
  </si>
  <si>
    <t>P (38):z52:z53</t>
  </si>
  <si>
    <t>P_z53_–</t>
  </si>
  <si>
    <t>P (38):z53:–</t>
  </si>
  <si>
    <t>P_z61_[z53]</t>
  </si>
  <si>
    <t>P (38):z61:[z53]</t>
  </si>
  <si>
    <t>R_g,z51_e,n,x,z15</t>
  </si>
  <si>
    <t>R (40):g,z51:e,n,x,z15</t>
  </si>
  <si>
    <t>R_i_1,5,7</t>
  </si>
  <si>
    <t>R (40):i:1,5,7</t>
  </si>
  <si>
    <t>R_k_z</t>
  </si>
  <si>
    <t>R (40):k:z</t>
  </si>
  <si>
    <t>R_k_z53</t>
  </si>
  <si>
    <t>R (40):k:z53</t>
  </si>
  <si>
    <t>R_l,v_z</t>
  </si>
  <si>
    <t>R (40):l,v:z</t>
  </si>
  <si>
    <t>R_l,v_z53</t>
  </si>
  <si>
    <t>R (1,40):l,v:z53</t>
  </si>
  <si>
    <t>R_r_z53</t>
  </si>
  <si>
    <t>R (40):r:z53</t>
  </si>
  <si>
    <t>R_z10_z35</t>
  </si>
  <si>
    <t>R (40):z10:z35</t>
  </si>
  <si>
    <t>R (40):z39:1,6</t>
  </si>
  <si>
    <t>S_c_e,n,x,z15</t>
  </si>
  <si>
    <t>S (41):c:e,n,x,z15</t>
  </si>
  <si>
    <t>S_(k)_z35</t>
  </si>
  <si>
    <t>S (41):(k):z35</t>
  </si>
  <si>
    <t>T_k_e,n,x,z15</t>
  </si>
  <si>
    <t>T (42):k:e,n,x,z15</t>
  </si>
  <si>
    <t>T_k_z</t>
  </si>
  <si>
    <t>T (42):k:z</t>
  </si>
  <si>
    <t>T_(k)_z35</t>
  </si>
  <si>
    <t>T (42):(k):z35</t>
  </si>
  <si>
    <t>T_l,v_1,5,7</t>
  </si>
  <si>
    <t>T (42):l,v:1,5,7</t>
  </si>
  <si>
    <t>T_l,v_z</t>
  </si>
  <si>
    <t>T (42):l,v:z</t>
  </si>
  <si>
    <t>T_l,v_z53</t>
  </si>
  <si>
    <t>T (42):l,v:z53</t>
  </si>
  <si>
    <t>T_r_z</t>
  </si>
  <si>
    <t>T (42):r:z</t>
  </si>
  <si>
    <t>T_r_z53</t>
  </si>
  <si>
    <t>T (42):r:z53</t>
  </si>
  <si>
    <t>T_z10_z</t>
  </si>
  <si>
    <t>T (42):z10:z</t>
  </si>
  <si>
    <t>T_z10_z35</t>
  </si>
  <si>
    <t>T (42):z10:z35</t>
  </si>
  <si>
    <t>T_z10_z67</t>
  </si>
  <si>
    <t>T (42):z10:z67</t>
  </si>
  <si>
    <t>T_z52_z</t>
  </si>
  <si>
    <t>T (42):z52:z</t>
  </si>
  <si>
    <t>T_z57_1,5</t>
  </si>
  <si>
    <t>T (42):z57:1,5</t>
  </si>
  <si>
    <t>U_g,t__</t>
  </si>
  <si>
    <t>U (43):g,t:_</t>
  </si>
  <si>
    <t>U_k_z</t>
  </si>
  <si>
    <t>U (43):k:z</t>
  </si>
  <si>
    <t>U_l,v_z53</t>
  </si>
  <si>
    <t>U (43):l,v:z53</t>
  </si>
  <si>
    <t>U_r_e,n,x,z15</t>
  </si>
  <si>
    <t>U (43):r:e,n,x,z15</t>
  </si>
  <si>
    <t>U_r_z</t>
  </si>
  <si>
    <t>U (43):r:z</t>
  </si>
  <si>
    <t>U_r_z53</t>
  </si>
  <si>
    <t>U (43):r:z53</t>
  </si>
  <si>
    <t>U_z52_z53</t>
  </si>
  <si>
    <t>U (43):z52:z53</t>
  </si>
  <si>
    <t>V_g,t_1,5</t>
  </si>
  <si>
    <t>V (1,44):g,t:1,5</t>
  </si>
  <si>
    <t>X_c_1,5,7</t>
  </si>
  <si>
    <t>X (47):c:1,5,7</t>
  </si>
  <si>
    <t>X_c_e,n,x,z15</t>
  </si>
  <si>
    <t>X (47):c:e,n,x,z15</t>
  </si>
  <si>
    <t>X_c_z</t>
  </si>
  <si>
    <t>X (47):c:z</t>
  </si>
  <si>
    <t>X_c_z35</t>
  </si>
  <si>
    <t>X (47):c:z35</t>
  </si>
  <si>
    <t>X_i_e,n,x,z15</t>
  </si>
  <si>
    <t>X (47):i:e,n,x,z15</t>
  </si>
  <si>
    <t>X_i_z</t>
  </si>
  <si>
    <t>X (47):i:z</t>
  </si>
  <si>
    <t>X_i_z35</t>
  </si>
  <si>
    <t>X (47):i:z35</t>
  </si>
  <si>
    <t>X_i_z53</t>
  </si>
  <si>
    <t>X (47):i:z53</t>
  </si>
  <si>
    <t>X_k_1,5,7</t>
  </si>
  <si>
    <t>X (47):k:1,5,7</t>
  </si>
  <si>
    <t>X_k_e,n,x,z15</t>
  </si>
  <si>
    <t>X (47):k:e,n,x,z15</t>
  </si>
  <si>
    <t>X_k_z</t>
  </si>
  <si>
    <t>X (47):k:z</t>
  </si>
  <si>
    <t>X_k_z35</t>
  </si>
  <si>
    <t>X (47):k:z35</t>
  </si>
  <si>
    <t>X_k_z53</t>
  </si>
  <si>
    <t>X (47):k:z53</t>
  </si>
  <si>
    <t>X_l,v_1,[5],7</t>
  </si>
  <si>
    <t>X (47):l,v:1,[5],7</t>
  </si>
  <si>
    <t>X_l,v_e,n,x,z15</t>
  </si>
  <si>
    <t>X (47):l,v:e,n,x,z15</t>
  </si>
  <si>
    <t>X_l,v_z</t>
  </si>
  <si>
    <t>X (47):l,v:z</t>
  </si>
  <si>
    <t>X_l,v_z35</t>
  </si>
  <si>
    <t>X (47):l,v:z35</t>
  </si>
  <si>
    <t>X_l,v_z53</t>
  </si>
  <si>
    <t>X (47):l,v:z53</t>
  </si>
  <si>
    <t>X_l,v_z57</t>
  </si>
  <si>
    <t>X (47):l,v:z57</t>
  </si>
  <si>
    <t>X_r_e,n,x,z15</t>
  </si>
  <si>
    <t>X (47):r:e,n,x,z15</t>
  </si>
  <si>
    <t>X_r_1,5,7</t>
  </si>
  <si>
    <t>X (47):r:1,5,7</t>
  </si>
  <si>
    <t>X_r_z</t>
  </si>
  <si>
    <t>X (47):r:z</t>
  </si>
  <si>
    <t>X_r,[i]_z35</t>
  </si>
  <si>
    <t>X (47):r,[i]:z35</t>
  </si>
  <si>
    <t>X_r_z53</t>
  </si>
  <si>
    <t>X (47):r:z53</t>
  </si>
  <si>
    <t>X_z10_1,5,7</t>
  </si>
  <si>
    <t>X (47):z10:1,5,7</t>
  </si>
  <si>
    <t>X_z10_z</t>
  </si>
  <si>
    <t>X (47):z10:z</t>
  </si>
  <si>
    <t>X_z10_z35</t>
  </si>
  <si>
    <t>X (47):z10:z35</t>
  </si>
  <si>
    <t>X_z52_1,5</t>
  </si>
  <si>
    <t>X (47):z52:1,5</t>
  </si>
  <si>
    <t>X_z52_1,5,7</t>
  </si>
  <si>
    <t>X (47):z52:1,5,7</t>
  </si>
  <si>
    <t>X_z52_e,n,x,z15</t>
  </si>
  <si>
    <t>X (47):z52:e,n,x,z15</t>
  </si>
  <si>
    <t>X_z52_z</t>
  </si>
  <si>
    <t>X (47):z52:z</t>
  </si>
  <si>
    <t>X_z52_z35</t>
  </si>
  <si>
    <t>X (47):z52:z35</t>
  </si>
  <si>
    <t>X_z53_–</t>
  </si>
  <si>
    <t>X (47):z53:–</t>
  </si>
  <si>
    <t>Y_c_z</t>
  </si>
  <si>
    <t>Y (48):c:z</t>
  </si>
  <si>
    <t>Y_i_z</t>
  </si>
  <si>
    <t>Y (48):i:z</t>
  </si>
  <si>
    <t>Y_i_z35</t>
  </si>
  <si>
    <t>Y (48):i:z35</t>
  </si>
  <si>
    <t>Y_i_z53</t>
  </si>
  <si>
    <t>Y (48):i:z53</t>
  </si>
  <si>
    <t>Y_i_z61</t>
  </si>
  <si>
    <t>Y (48):i:z61</t>
  </si>
  <si>
    <t>Y_k_1,5,(7)</t>
  </si>
  <si>
    <t>1,5,(7)</t>
  </si>
  <si>
    <t>Y (48):k:1,5,(7)</t>
  </si>
  <si>
    <t>Y_k_z</t>
  </si>
  <si>
    <t>Y (48):k:z</t>
  </si>
  <si>
    <t>Y_k_z35</t>
  </si>
  <si>
    <t>Y (48):k:z35</t>
  </si>
  <si>
    <t>Y_k_z53</t>
  </si>
  <si>
    <t>Y (48):k:z53</t>
  </si>
  <si>
    <t>Y_l,v_1,5,(7)</t>
  </si>
  <si>
    <t>Y (48):l,v:1,5,(7)</t>
  </si>
  <si>
    <t>Y_l,v_z</t>
  </si>
  <si>
    <t>Y (48):l,v:z</t>
  </si>
  <si>
    <t>Y_l,w_1,5,7</t>
  </si>
  <si>
    <t>Y (48):l,w:1,5,7</t>
  </si>
  <si>
    <t>Y_r_e,n,x,z15</t>
  </si>
  <si>
    <t>Y (48):r:e,n,x,z15</t>
  </si>
  <si>
    <t>Y_r_z</t>
  </si>
  <si>
    <t>Y (48):r:z</t>
  </si>
  <si>
    <t>Y_z_1,5,7</t>
  </si>
  <si>
    <t>Y (48):z:1,5,7</t>
  </si>
  <si>
    <t>Y_z4,z24__</t>
  </si>
  <si>
    <t>Y (48):z4,z24:_</t>
  </si>
  <si>
    <t>Y_z10_e,n,x,z15</t>
  </si>
  <si>
    <t>Y (48):z10:e,n,x,z15</t>
  </si>
  <si>
    <t>Y_z10_z</t>
  </si>
  <si>
    <t>Y (48):z10:z</t>
  </si>
  <si>
    <t>Y_z35_z52</t>
  </si>
  <si>
    <t>Y (48):z35:z52</t>
  </si>
  <si>
    <t>Y_z52_e,n,x,z15</t>
  </si>
  <si>
    <t>Y (48):z52:e,n,x,z15</t>
  </si>
  <si>
    <t>Y_z52_z</t>
  </si>
  <si>
    <t>Y (48):z52:z</t>
  </si>
  <si>
    <t>Z_i_1,5,7</t>
  </si>
  <si>
    <t>Z (50):i:1,5,7</t>
  </si>
  <si>
    <t>Z_i_e,n,x,z15</t>
  </si>
  <si>
    <t>Z (50):i:e,n,x,z15</t>
  </si>
  <si>
    <t>Z_i_z</t>
  </si>
  <si>
    <t>Z (50):i:z</t>
  </si>
  <si>
    <t>Z_i_z53</t>
  </si>
  <si>
    <t>Z (50):i:z53</t>
  </si>
  <si>
    <t>Z_k_1,5,7</t>
  </si>
  <si>
    <t>Z (50):k:1,5,7</t>
  </si>
  <si>
    <t>Z_k_e,n,x,z15</t>
  </si>
  <si>
    <t>Z (50):k:e,n,x,z15</t>
  </si>
  <si>
    <t>Z_k_z</t>
  </si>
  <si>
    <t>Z (50):k:z</t>
  </si>
  <si>
    <t>Z_k_z35</t>
  </si>
  <si>
    <t>Z (50):k:z35</t>
  </si>
  <si>
    <t>Z_k_z53</t>
  </si>
  <si>
    <t>Z (50):k:z53</t>
  </si>
  <si>
    <t>Z_l,v_e,n,x,z15</t>
  </si>
  <si>
    <t>Z (50):l,v:e,n,x,z15</t>
  </si>
  <si>
    <t>Z_l,v_z</t>
  </si>
  <si>
    <t>Z (50):l,v:z</t>
  </si>
  <si>
    <t>Z_l,v_z35</t>
  </si>
  <si>
    <t>Z (50):l,v:z35</t>
  </si>
  <si>
    <t>Z_l,v_z57</t>
  </si>
  <si>
    <t>Z (50):l,v:z57</t>
  </si>
  <si>
    <t>Z_r_1,5,(7)</t>
  </si>
  <si>
    <t>Z (50):r:1,5,(7)</t>
  </si>
  <si>
    <t>Z_r_e,n,x,z15</t>
  </si>
  <si>
    <t>Z (50):r:e,n,x,z15</t>
  </si>
  <si>
    <t>Z_r_z</t>
  </si>
  <si>
    <t>Z (50):r:z</t>
  </si>
  <si>
    <t>Z_r_z35</t>
  </si>
  <si>
    <t>Z (50):r:z35</t>
  </si>
  <si>
    <t>Z_r_z53</t>
  </si>
  <si>
    <t>Z (50):r:z53</t>
  </si>
  <si>
    <t>Z_z_z52</t>
  </si>
  <si>
    <t>Z (50):z:z52</t>
  </si>
  <si>
    <t>Z_z10_z</t>
  </si>
  <si>
    <t>Z (50):z10:z</t>
  </si>
  <si>
    <t>Z_z10_z53</t>
  </si>
  <si>
    <t>Z (50):z10:z53</t>
  </si>
  <si>
    <t>Z_z52_1,5,7</t>
  </si>
  <si>
    <t>Z (50):z52:1,5,7</t>
  </si>
  <si>
    <t>Z_z52_z35</t>
  </si>
  <si>
    <t>Z (50):z52:z35</t>
  </si>
  <si>
    <t>Z_z52_z53</t>
  </si>
  <si>
    <t>Z (50):z52:z53</t>
  </si>
  <si>
    <t>51_k_z35</t>
  </si>
  <si>
    <t>51 (51):k:z35</t>
  </si>
  <si>
    <t>51_l,v_z</t>
  </si>
  <si>
    <t>51 (51):l,v:z</t>
  </si>
  <si>
    <t>52_k_e,n,x,z15</t>
  </si>
  <si>
    <t>52 (52):k:e,n,x,z15</t>
  </si>
  <si>
    <t>52_k_z35</t>
  </si>
  <si>
    <t>52 (52):k:z35</t>
  </si>
  <si>
    <t>52_k_z53</t>
  </si>
  <si>
    <t>52 (52):k:z53</t>
  </si>
  <si>
    <t>52_l,v_z53</t>
  </si>
  <si>
    <t>52 (52):l,v:z53</t>
  </si>
  <si>
    <t>52_z_z52</t>
  </si>
  <si>
    <t>52 (52):z:z52</t>
  </si>
  <si>
    <t>53_i_z</t>
  </si>
  <si>
    <t>53 (53):i:z</t>
  </si>
  <si>
    <t>53_k_e,n,x,z15</t>
  </si>
  <si>
    <t>53 (53):k:e,n,x,z15</t>
  </si>
  <si>
    <t>53_k_z</t>
  </si>
  <si>
    <t>53 (53):k:z</t>
  </si>
  <si>
    <t>53_(k)_z35</t>
  </si>
  <si>
    <t>53 (53):(k):z35</t>
  </si>
  <si>
    <t>53_k_z53</t>
  </si>
  <si>
    <t>53 (53):k:z53</t>
  </si>
  <si>
    <t>53_l,v_e,n,x,z15</t>
  </si>
  <si>
    <t>53 (53):l,v:e,n,x,z15</t>
  </si>
  <si>
    <t>53_l,v_z</t>
  </si>
  <si>
    <t>53 (53):l,v:z</t>
  </si>
  <si>
    <t>53_l,v_z35</t>
  </si>
  <si>
    <t>53 (53):l,v:z35</t>
  </si>
  <si>
    <t>53_r_z</t>
  </si>
  <si>
    <t>53 (53):r:z</t>
  </si>
  <si>
    <t>53_r_z35</t>
  </si>
  <si>
    <t>53 (53):r:z35</t>
  </si>
  <si>
    <t>53_r_z68</t>
  </si>
  <si>
    <t>z68</t>
  </si>
  <si>
    <t>53 (53):r:z68</t>
  </si>
  <si>
    <t>53_z_1,5,(7)</t>
  </si>
  <si>
    <t>53 (53):z:1,5,(7)</t>
  </si>
  <si>
    <t>53_z10_z</t>
  </si>
  <si>
    <t>53 (53):z10:z</t>
  </si>
  <si>
    <t>53_z10_z35</t>
  </si>
  <si>
    <t>53 (53):z10:z35</t>
  </si>
  <si>
    <t>53_z52_z35</t>
  </si>
  <si>
    <t>53 (53):z52:z35</t>
  </si>
  <si>
    <t>53_z52_z53</t>
  </si>
  <si>
    <t>53 (53):z52:z53</t>
  </si>
  <si>
    <t>57_c_e,n,x,z15</t>
  </si>
  <si>
    <t>57 (57):c:e,n,x,z15</t>
  </si>
  <si>
    <t>57_c_z</t>
  </si>
  <si>
    <t>57 (57):c:z</t>
  </si>
  <si>
    <t>57_i_e,n,x,z15</t>
  </si>
  <si>
    <t>57 (57):i:e,n,x,z15</t>
  </si>
  <si>
    <t>57_i_z</t>
  </si>
  <si>
    <t>57 (57):i:z</t>
  </si>
  <si>
    <t>57_k_e,n,x,z15</t>
  </si>
  <si>
    <t>57 (57):k:e,n,x,z15</t>
  </si>
  <si>
    <t>57_z10_z</t>
  </si>
  <si>
    <t>57 (57):z10:z</t>
  </si>
  <si>
    <t>58_i_e,n,x,z15</t>
  </si>
  <si>
    <t>58 (58):i:e,n,x,z15</t>
  </si>
  <si>
    <t>58_i_z53</t>
  </si>
  <si>
    <t>58 (58):i:z53</t>
  </si>
  <si>
    <t>58_k_z</t>
  </si>
  <si>
    <t>58 (58):k:z</t>
  </si>
  <si>
    <t>58_l,v_e,n,x,z15</t>
  </si>
  <si>
    <t>58 (58):l,v:e,n,x,z15</t>
  </si>
  <si>
    <t>58_l,v_z35</t>
  </si>
  <si>
    <t>58 (58):l,v:z35</t>
  </si>
  <si>
    <t>58_r_e,n,x,z15</t>
  </si>
  <si>
    <t>58 (58):r:e,n,x,z15</t>
  </si>
  <si>
    <t>58_r_z</t>
  </si>
  <si>
    <t>58 (58):r:z</t>
  </si>
  <si>
    <t>58_r_z53</t>
  </si>
  <si>
    <t>58 (58):r:z53</t>
  </si>
  <si>
    <t>58_z10_e,n,x,z15</t>
  </si>
  <si>
    <t>58 (58):z10:e,n,x,z15</t>
  </si>
  <si>
    <t>58_z10_z53</t>
  </si>
  <si>
    <t>58 (58):z10:z53</t>
  </si>
  <si>
    <t>58_z52_z</t>
  </si>
  <si>
    <t>58 (58):z52:z</t>
  </si>
  <si>
    <t>58_z52_z35</t>
  </si>
  <si>
    <t>58 (58):z52:z35</t>
  </si>
  <si>
    <t>59_c_e,n,x,z15</t>
  </si>
  <si>
    <t>59 (59):c:e,n,x,z15</t>
  </si>
  <si>
    <t>59_i_e,n,x,z15</t>
  </si>
  <si>
    <t>59 (59):i:e,n,x,z15</t>
  </si>
  <si>
    <t>59_i_z</t>
  </si>
  <si>
    <t>59 (59):i:z</t>
  </si>
  <si>
    <t>59_i_z35</t>
  </si>
  <si>
    <t>59 (59):i:z35</t>
  </si>
  <si>
    <t>59_(k)_e,n,x,z15</t>
  </si>
  <si>
    <t>59 (59):(k):e,n,x,z15</t>
  </si>
  <si>
    <t>59_(k)_z</t>
  </si>
  <si>
    <t>59 (59):(k):z</t>
  </si>
  <si>
    <t>59_(k)_z35</t>
  </si>
  <si>
    <t>59 (59):(k):z35</t>
  </si>
  <si>
    <t>59_k_z53</t>
  </si>
  <si>
    <t>59 (59):k:z53</t>
  </si>
  <si>
    <t>59_l,v_z</t>
  </si>
  <si>
    <t>59 (59):l,v:z</t>
  </si>
  <si>
    <t>59_l,v_z53</t>
  </si>
  <si>
    <t>59 (59):l,v:z53</t>
  </si>
  <si>
    <t>59_r_z35</t>
  </si>
  <si>
    <t>59 (59):r:z35</t>
  </si>
  <si>
    <t>59_z10_z53</t>
  </si>
  <si>
    <t>59 (59):z10:z53</t>
  </si>
  <si>
    <t>59_z10_z57</t>
  </si>
  <si>
    <t>59 (59):z10:z57</t>
  </si>
  <si>
    <t>59_z52_z53</t>
  </si>
  <si>
    <t>59 (59):z52:z53</t>
  </si>
  <si>
    <t>60_i_[e,n,x,z15]</t>
  </si>
  <si>
    <t>60 (60):i:[e,n,x,z15]</t>
  </si>
  <si>
    <t>60_i_[z]</t>
  </si>
  <si>
    <t>[z]</t>
  </si>
  <si>
    <t>60 (60):i:[z]</t>
  </si>
  <si>
    <t>60_i_[z35]</t>
  </si>
  <si>
    <t>[z35]</t>
  </si>
  <si>
    <t>60 (60):i:[z35]</t>
  </si>
  <si>
    <t>60_k_z</t>
  </si>
  <si>
    <t>60 (60):k:z</t>
  </si>
  <si>
    <t>60_k_z35</t>
  </si>
  <si>
    <t>60 (60):k:z35</t>
  </si>
  <si>
    <t>60_(k)_z53</t>
  </si>
  <si>
    <t>60 (60):(k):z53</t>
  </si>
  <si>
    <t>60_l,v_z</t>
  </si>
  <si>
    <t>60 (60):l,v:z</t>
  </si>
  <si>
    <t>60_r_e,n,x,z15</t>
  </si>
  <si>
    <t>60 (60):r:e,n,x,z15</t>
  </si>
  <si>
    <t>60_r_z</t>
  </si>
  <si>
    <t>60 (60):r:z</t>
  </si>
  <si>
    <t>60_r_z35</t>
  </si>
  <si>
    <t>60 (60):r:z35</t>
  </si>
  <si>
    <t>60_r_z53</t>
  </si>
  <si>
    <t>60 (60):r:z53</t>
  </si>
  <si>
    <t>60_z10_z</t>
  </si>
  <si>
    <t>60 (60):z10:z</t>
  </si>
  <si>
    <t>60_z10_z35</t>
  </si>
  <si>
    <t>60 (60):z10:z35</t>
  </si>
  <si>
    <t>60_z10_z53</t>
  </si>
  <si>
    <t>60 (60):z10:z53</t>
  </si>
  <si>
    <t>60_z52_1,5,[7]</t>
  </si>
  <si>
    <t>1,5,[7]</t>
  </si>
  <si>
    <t>60 (60):z52:1,5,[7]</t>
  </si>
  <si>
    <t>60_z52_z</t>
  </si>
  <si>
    <t>60 (60):z52:z</t>
  </si>
  <si>
    <t>60_z52_z35</t>
  </si>
  <si>
    <t>60 (60):z52:z35</t>
  </si>
  <si>
    <t>60_z52_z53</t>
  </si>
  <si>
    <t>60 (60):z52:z53</t>
  </si>
  <si>
    <t>61_c_1,5,(7)</t>
  </si>
  <si>
    <t>61 (61):c:1,5,(7)</t>
  </si>
  <si>
    <t>Group O:61</t>
  </si>
  <si>
    <t>61_c_z35</t>
  </si>
  <si>
    <t>61 (61):c:z35</t>
  </si>
  <si>
    <t>61_i_e,n,x,z15</t>
  </si>
  <si>
    <t>61 (61):i:e,n,x,z15</t>
  </si>
  <si>
    <t>61_i_z</t>
  </si>
  <si>
    <t>61 (61):i:z</t>
  </si>
  <si>
    <t>61_i_z35</t>
  </si>
  <si>
    <t>61 (61):i:z35</t>
  </si>
  <si>
    <t>61_i_z53</t>
  </si>
  <si>
    <t>61 (61):i:z53</t>
  </si>
  <si>
    <t>61_k_1,5,(7)</t>
  </si>
  <si>
    <t>61 (61):k:1,5,(7)</t>
  </si>
  <si>
    <t>61_k_z35</t>
  </si>
  <si>
    <t>61 (61):k:z35</t>
  </si>
  <si>
    <t>61_(k)_z53</t>
  </si>
  <si>
    <t>61 (61):(k):z53</t>
  </si>
  <si>
    <t>61_l,v_1,5,7</t>
  </si>
  <si>
    <t>61 (61):l,v:1,5,7</t>
  </si>
  <si>
    <t>61_l,v_z</t>
  </si>
  <si>
    <t>61 (61):l,v:z</t>
  </si>
  <si>
    <t>61_l,v_z35</t>
  </si>
  <si>
    <t>61 (61):l,v:z35</t>
  </si>
  <si>
    <t>61_r_1,5,7</t>
  </si>
  <si>
    <t>61 (61):r:1,5,7</t>
  </si>
  <si>
    <t>61_r_z</t>
  </si>
  <si>
    <t>61 (61):r:z</t>
  </si>
  <si>
    <t>61_r_z35</t>
  </si>
  <si>
    <t>61 (61):r:z35</t>
  </si>
  <si>
    <t>61_r_z53</t>
  </si>
  <si>
    <t>61 (61):r:z53</t>
  </si>
  <si>
    <t>61_z10_z35</t>
  </si>
  <si>
    <t>61 (61):z10:z35</t>
  </si>
  <si>
    <t>61_z52_1,5,7</t>
  </si>
  <si>
    <t>61 (61):z52:1,5,7</t>
  </si>
  <si>
    <t>61_z52_z</t>
  </si>
  <si>
    <t>61 (61):z52:z</t>
  </si>
  <si>
    <t>61_z52_z35</t>
  </si>
  <si>
    <t>61 (61):z52:z35</t>
  </si>
  <si>
    <t>61_z52_z53</t>
  </si>
  <si>
    <t>61 (61):z52:z53</t>
  </si>
  <si>
    <t>63_(k)_z</t>
  </si>
  <si>
    <t>63 (63):(k):z</t>
  </si>
  <si>
    <t>65_c_1,5,7</t>
  </si>
  <si>
    <t>65 (65):c:1,5,7</t>
  </si>
  <si>
    <t>65_c_z</t>
  </si>
  <si>
    <t>65 (65):c:z</t>
  </si>
  <si>
    <t>65_c_z53</t>
  </si>
  <si>
    <t>65 (65):c:z53</t>
  </si>
  <si>
    <t>65_i_e,n,x,z15</t>
  </si>
  <si>
    <t>65 (65):i:e,n,x,z15</t>
  </si>
  <si>
    <t>65_i_z</t>
  </si>
  <si>
    <t>65 (65):i:z</t>
  </si>
  <si>
    <t>65_(k)_z</t>
  </si>
  <si>
    <t>65 (65):(k):z</t>
  </si>
  <si>
    <t>65_(k)_z35</t>
  </si>
  <si>
    <t>65 (65):(k):z35</t>
  </si>
  <si>
    <t>65_(k)_z53</t>
  </si>
  <si>
    <t>65 (65):(k):z53</t>
  </si>
  <si>
    <t>65_l,v_e,n,x,z15</t>
  </si>
  <si>
    <t>65 (65):l,v:e,n,x,z15</t>
  </si>
  <si>
    <t>65_l,v_z</t>
  </si>
  <si>
    <t>65 (65):l,v:z</t>
  </si>
  <si>
    <t>65_l,v_z35</t>
  </si>
  <si>
    <t>65 (65):l,v:z35</t>
  </si>
  <si>
    <t>65_l,v_z53</t>
  </si>
  <si>
    <t>65 (65):l,v:z53</t>
  </si>
  <si>
    <t>65_r_z35</t>
  </si>
  <si>
    <t>65 (65):r:z35</t>
  </si>
  <si>
    <t>65_z10_e,n,x,z15</t>
  </si>
  <si>
    <t>65 (65):z10:e,n,x,z15</t>
  </si>
  <si>
    <t>65_z10_z</t>
  </si>
  <si>
    <t>65 (65):z10:z</t>
  </si>
  <si>
    <t>65_z52_e,n,x,z15</t>
  </si>
  <si>
    <t>65 (65):z52:e,n,x,z15</t>
  </si>
  <si>
    <t>65_z52_z</t>
  </si>
  <si>
    <t>65 (65):z52:z</t>
  </si>
  <si>
    <t>65_z52_z35</t>
  </si>
  <si>
    <t>65 (65):z52:z35</t>
  </si>
  <si>
    <t>65_z52_z53</t>
  </si>
  <si>
    <t>65 (65):z52:z53</t>
  </si>
  <si>
    <t>E1_c_1,6</t>
  </si>
  <si>
    <t>Ikayi</t>
  </si>
  <si>
    <t>E1 (3,{10}{15}):c:1,6</t>
  </si>
  <si>
    <t>Ikeja</t>
  </si>
  <si>
    <t>M_k_1,5</t>
  </si>
  <si>
    <t>Ilala</t>
  </si>
  <si>
    <t>M (28):k:1,5</t>
  </si>
  <si>
    <t>E4_z4,z23_z6</t>
  </si>
  <si>
    <t>Ilugun</t>
  </si>
  <si>
    <t>E4 (1,3,10,19):z4,z23:z6</t>
  </si>
  <si>
    <t>W_l,v_[e,n,z15]</t>
  </si>
  <si>
    <t>Imo</t>
  </si>
  <si>
    <t>W (45):l,v:[e,n,z15]</t>
  </si>
  <si>
    <t>Inchpark</t>
  </si>
  <si>
    <t>C2-C3 (6,8):y:1,7</t>
  </si>
  <si>
    <t>D2_l,v_1,5</t>
  </si>
  <si>
    <t>India</t>
  </si>
  <si>
    <t>D2 (9,46):l,v:1,5</t>
  </si>
  <si>
    <t>B (1,4,12):z:1,7</t>
  </si>
  <si>
    <t>C1_r_1,5</t>
  </si>
  <si>
    <t>Infantis3</t>
  </si>
  <si>
    <t>C1 (6,7,14):r:1,5</t>
  </si>
  <si>
    <t>C1_z10_1,5</t>
  </si>
  <si>
    <t>Inganda</t>
  </si>
  <si>
    <t>C1 (6,7):z10:1,5</t>
  </si>
  <si>
    <t>D2_z10_e,n,x</t>
  </si>
  <si>
    <t>Inglis</t>
  </si>
  <si>
    <t>D2 (9,46):z10:e,n,x</t>
  </si>
  <si>
    <t>S_z10_e,n,x</t>
  </si>
  <si>
    <t>Inpraw</t>
  </si>
  <si>
    <t>S (41):z10:e,n,x</t>
  </si>
  <si>
    <t>P_k_1,6</t>
  </si>
  <si>
    <t>Inverness</t>
  </si>
  <si>
    <t>P (38):k:1,6</t>
  </si>
  <si>
    <t>D1_c_1,6</t>
  </si>
  <si>
    <t>Ipeko</t>
  </si>
  <si>
    <t>D1 (9,12):c:1,6</t>
  </si>
  <si>
    <t>S_z4,z24_1,5</t>
  </si>
  <si>
    <t>Ipswich</t>
  </si>
  <si>
    <t>S (41):z4,z24:1,5</t>
  </si>
  <si>
    <t>D2_y_e,n,x</t>
  </si>
  <si>
    <t>Irchel</t>
  </si>
  <si>
    <t>D2 (9,46):y:e,n,x</t>
  </si>
  <si>
    <t>J_k_1,5</t>
  </si>
  <si>
    <t>Irenea</t>
  </si>
  <si>
    <t>J (17):k:1,5</t>
  </si>
  <si>
    <t>U_z38_–</t>
  </si>
  <si>
    <t>Irigny</t>
  </si>
  <si>
    <t>U (43):z38:–</t>
  </si>
  <si>
    <t>C1_l,v_1,5</t>
  </si>
  <si>
    <t>Irumu</t>
  </si>
  <si>
    <t>C1 (6,7):l,v:1,5</t>
  </si>
  <si>
    <t>C1_d_1,5</t>
  </si>
  <si>
    <t>Isangi</t>
  </si>
  <si>
    <t>C1 (6,7,14):d:1,5</t>
  </si>
  <si>
    <t>Y_z10_e,n,x</t>
  </si>
  <si>
    <t>Isaszeg</t>
  </si>
  <si>
    <t>Y (48):z10:e,n,x</t>
  </si>
  <si>
    <t>D1_e,h_e,n,z15</t>
  </si>
  <si>
    <t>Israel</t>
  </si>
  <si>
    <t>D1 (9,12):e,h:e,n,z15</t>
  </si>
  <si>
    <t>Istanbul</t>
  </si>
  <si>
    <t>C2-C3 (8):z10:e,n,x</t>
  </si>
  <si>
    <t>H_r,i_1,5</t>
  </si>
  <si>
    <t>Istoria</t>
  </si>
  <si>
    <t>H (1,6,14,25):r,i:1,5</t>
  </si>
  <si>
    <t>G_d_z6</t>
  </si>
  <si>
    <t>Isuge</t>
  </si>
  <si>
    <t>G (13,23):d:z6</t>
  </si>
  <si>
    <t>D1_l,z13_1,5</t>
  </si>
  <si>
    <t>Itami</t>
  </si>
  <si>
    <t>D1 (9,12):l,z13:1,5</t>
  </si>
  <si>
    <t>B_z10_1,5</t>
  </si>
  <si>
    <t>Ituri</t>
  </si>
  <si>
    <t>B (1,4,12):z10:1,5</t>
  </si>
  <si>
    <t>D2_c_z6</t>
  </si>
  <si>
    <t>Itutaba</t>
  </si>
  <si>
    <t>D2 (9,46):c:z6</t>
  </si>
  <si>
    <t>C1_g,z51_–</t>
  </si>
  <si>
    <t>IV</t>
  </si>
  <si>
    <t>C1 (6,7):g,z51:–</t>
  </si>
  <si>
    <t>C1_z4,z23_–</t>
  </si>
  <si>
    <t>C1 (6,7):z4,z23:–</t>
  </si>
  <si>
    <t>C1_z4,z24_–</t>
  </si>
  <si>
    <t>C1 (6,7):z4,z24:–</t>
  </si>
  <si>
    <t>C1_z36_–</t>
  </si>
  <si>
    <t>C1 (6,7):z36:–</t>
  </si>
  <si>
    <t>F_g,z51_–</t>
  </si>
  <si>
    <t>F (11):g,z51:–</t>
  </si>
  <si>
    <t>F_z4,z32_–</t>
  </si>
  <si>
    <t>F (11):z4,z32:–</t>
  </si>
  <si>
    <t>H_z4,z23_–</t>
  </si>
  <si>
    <t>H (6,14):z4,z23:–</t>
  </si>
  <si>
    <t>I_z4,z32_–</t>
  </si>
  <si>
    <t>I (16):z4,z32:–</t>
  </si>
  <si>
    <t>I_z36_–</t>
  </si>
  <si>
    <t>I (16):z36:–</t>
  </si>
  <si>
    <t>K_z36,z38_–</t>
  </si>
  <si>
    <t>z36,z38</t>
  </si>
  <si>
    <t>K (18):z36,z38:–</t>
  </si>
  <si>
    <t>L_z4,z32_–</t>
  </si>
  <si>
    <t>L (21):z4,z32:–</t>
  </si>
  <si>
    <t>R_g,t_–</t>
  </si>
  <si>
    <t>R (1,40):g,t:–</t>
  </si>
  <si>
    <t>R (1,40):g,z51:–</t>
  </si>
  <si>
    <t>R_m,t_–</t>
  </si>
  <si>
    <t>R (40):m,t:–</t>
  </si>
  <si>
    <t>R (1,40):z4,z23:–</t>
  </si>
  <si>
    <t>R (1,40):z4,z24:–</t>
  </si>
  <si>
    <t>R (1,40):z4,z32:–</t>
  </si>
  <si>
    <t>S_z52_–</t>
  </si>
  <si>
    <t>S (41):z52:–</t>
  </si>
  <si>
    <t>T (1,42):g,z51:–</t>
  </si>
  <si>
    <t>T (1,42):z4,z24:–</t>
  </si>
  <si>
    <t>T_z36_–</t>
  </si>
  <si>
    <t>T (42):z36:–</t>
  </si>
  <si>
    <t>U_z4,z32_–</t>
  </si>
  <si>
    <t>U (43):z4,z32:–</t>
  </si>
  <si>
    <t>U_z36,z38_–</t>
  </si>
  <si>
    <t>U (43):z36,z38:–</t>
  </si>
  <si>
    <t>V_a_–</t>
  </si>
  <si>
    <t>V (44):a:–</t>
  </si>
  <si>
    <t>V (1,44):z4,z32:–</t>
  </si>
  <si>
    <t>V_z29_–</t>
  </si>
  <si>
    <t>V (44):z29:–</t>
  </si>
  <si>
    <t>V_z36,[z38]_–</t>
  </si>
  <si>
    <t>z36,[z38]</t>
  </si>
  <si>
    <t>V (44):z36,[z38]:–</t>
  </si>
  <si>
    <t>W_z36,z38_–</t>
  </si>
  <si>
    <t>W (45):z36,z38:–</t>
  </si>
  <si>
    <t>X_l,v_–</t>
  </si>
  <si>
    <t>X (47):l,v:–</t>
  </si>
  <si>
    <t>X_z36_–</t>
  </si>
  <si>
    <t>X (47):z36:–</t>
  </si>
  <si>
    <t>Y_z36,[z38]_–</t>
  </si>
  <si>
    <t>Y (48):z36,[z38]:–</t>
  </si>
  <si>
    <t>Z_a_–</t>
  </si>
  <si>
    <t>Z (50):a:–</t>
  </si>
  <si>
    <t>Z_b_–</t>
  </si>
  <si>
    <t>Z (50):b:–</t>
  </si>
  <si>
    <t>Z_d_–</t>
  </si>
  <si>
    <t>Z (50):d:–</t>
  </si>
  <si>
    <t>51_a_–</t>
  </si>
  <si>
    <t>51 (51):a:–</t>
  </si>
  <si>
    <t>51_b_–</t>
  </si>
  <si>
    <t>51 (51):b:–</t>
  </si>
  <si>
    <t>53 (1,53):g,z51:–</t>
  </si>
  <si>
    <t>53_z36,z38_–</t>
  </si>
  <si>
    <t>53 (1,53):z36,z38:–</t>
  </si>
  <si>
    <t>57_z4,z23_–</t>
  </si>
  <si>
    <t>57 (57):z4,z23:–</t>
  </si>
  <si>
    <t>I_r_1,6</t>
  </si>
  <si>
    <t>Ivory</t>
  </si>
  <si>
    <t>I (16):r:1,6</t>
  </si>
  <si>
    <t>Ivorycoast</t>
  </si>
  <si>
    <t>G_z_z6</t>
  </si>
  <si>
    <t>Ivrysurseine</t>
  </si>
  <si>
    <t>G (1,13,23):z:z6</t>
  </si>
  <si>
    <t>D1_d_z35</t>
  </si>
  <si>
    <t>Jaffna</t>
  </si>
  <si>
    <t>D1 (1,9,12):d:z35</t>
  </si>
  <si>
    <t>F_y_1,7</t>
  </si>
  <si>
    <t>Jalisco</t>
  </si>
  <si>
    <t>F (11):y:1,7</t>
  </si>
  <si>
    <t>D1_r_1,5</t>
  </si>
  <si>
    <t>Jamaica</t>
  </si>
  <si>
    <t>D1 (9,12):r:1,5</t>
  </si>
  <si>
    <t>L_l,z28_e,n,z15</t>
  </si>
  <si>
    <t>Jambur</t>
  </si>
  <si>
    <t>L (21):l,z28:e,n,z15</t>
  </si>
  <si>
    <t>J_a_1,5</t>
  </si>
  <si>
    <t>Jangwani</t>
  </si>
  <si>
    <t>J (17):a:1,5</t>
  </si>
  <si>
    <t>Javiana4</t>
  </si>
  <si>
    <t>D1 (1,9,12):l,z28:1,5</t>
  </si>
  <si>
    <t>E1_z29_–</t>
  </si>
  <si>
    <t>Jedburgh</t>
  </si>
  <si>
    <t>E1 (3,{10}{15}):z29:–</t>
  </si>
  <si>
    <t>B_c_e,n,z15</t>
  </si>
  <si>
    <t>Jericho</t>
  </si>
  <si>
    <t>B (1,4,12,27):c:e,n,z15</t>
  </si>
  <si>
    <t>C1_z10_l,w</t>
  </si>
  <si>
    <t>Jerusalem</t>
  </si>
  <si>
    <t>C1 (6,7,14):z10:l,w</t>
  </si>
  <si>
    <t>E1_l,z28_1,7</t>
  </si>
  <si>
    <t>Joal</t>
  </si>
  <si>
    <t>E1 (3,10):l,z28:1,7</t>
  </si>
  <si>
    <t>W_z29_–</t>
  </si>
  <si>
    <t>Jodhpur</t>
  </si>
  <si>
    <t>W (45):z29:–</t>
  </si>
  <si>
    <t>R_b_e,n,x</t>
  </si>
  <si>
    <t>Johannesburg</t>
  </si>
  <si>
    <t>R (1,40):b:e,n,x</t>
  </si>
  <si>
    <t>B_y_e,n,z15</t>
  </si>
  <si>
    <t>Jos</t>
  </si>
  <si>
    <t>B (1,4,12,27):y:e,n,z15</t>
  </si>
  <si>
    <t>E4_a_1,7</t>
  </si>
  <si>
    <t>Juba</t>
  </si>
  <si>
    <t>E4 (1,3,19):a:1,7</t>
  </si>
  <si>
    <t>J_e,h_1,2</t>
  </si>
  <si>
    <t>Jubilee</t>
  </si>
  <si>
    <t>J (17):e,h:1,2</t>
  </si>
  <si>
    <t>G_i_e,n,z15</t>
  </si>
  <si>
    <t>Jukestown</t>
  </si>
  <si>
    <t>G (13,23):i:e,n,z15</t>
  </si>
  <si>
    <t>B_e,h_1,7</t>
  </si>
  <si>
    <t>Kaapstad</t>
  </si>
  <si>
    <t>B (4,12):e,h:1,7</t>
  </si>
  <si>
    <t>51_i_1,5</t>
  </si>
  <si>
    <t>Kabete</t>
  </si>
  <si>
    <t>51 (51):i:1,5</t>
  </si>
  <si>
    <t>C1_c_e,n,z15</t>
  </si>
  <si>
    <t>Kaduna</t>
  </si>
  <si>
    <t>C1 (6,7,14):c:e,n,z15</t>
  </si>
  <si>
    <t>I_z4,z24__</t>
  </si>
  <si>
    <t>Kaevlinge</t>
  </si>
  <si>
    <t>I (16):z4,z24:_</t>
  </si>
  <si>
    <t>T_z35_1,6</t>
  </si>
  <si>
    <t>Kahla</t>
  </si>
  <si>
    <t>T (1,42):z35:1,6</t>
  </si>
  <si>
    <t>E4_z_1,6</t>
  </si>
  <si>
    <t>Kainji</t>
  </si>
  <si>
    <t>E4 (1,3,19):z:1,6</t>
  </si>
  <si>
    <t>H_m,t_–</t>
  </si>
  <si>
    <t>Kaitaan</t>
  </si>
  <si>
    <t>H (1,6,14,25):m,t:–</t>
  </si>
  <si>
    <t>B_z4,z24_[1,5]</t>
  </si>
  <si>
    <t>Kalamu</t>
  </si>
  <si>
    <t>B (1,4,[5],12):z4,z24:[1,5]</t>
  </si>
  <si>
    <t>E1_b_1,2</t>
  </si>
  <si>
    <t>Kalina</t>
  </si>
  <si>
    <t>E1 (3,10):b:1,2</t>
  </si>
  <si>
    <t>C2-C3_k_1,2</t>
  </si>
  <si>
    <t>Kallo</t>
  </si>
  <si>
    <t>C2-C3 (6,8):k:1,2</t>
  </si>
  <si>
    <t>C2-C3_z_e,n,z15</t>
  </si>
  <si>
    <t>Kalumburu</t>
  </si>
  <si>
    <t>C2-C3 (6,8):z:e,n,z15</t>
  </si>
  <si>
    <t>C1_d_1,[2],7</t>
  </si>
  <si>
    <t>Kambole</t>
  </si>
  <si>
    <t>1,[2],7</t>
  </si>
  <si>
    <t>C1 (6,7):d:1,[2],7</t>
  </si>
  <si>
    <t>B_y_z6</t>
  </si>
  <si>
    <t>Kamoru</t>
  </si>
  <si>
    <t>B (1,4,12,27):y:z6</t>
  </si>
  <si>
    <t>T_c_z6</t>
  </si>
  <si>
    <t>Kampala</t>
  </si>
  <si>
    <t>T (1,42):c:z6</t>
  </si>
  <si>
    <t>E4_b_e,n,z15</t>
  </si>
  <si>
    <t>Kande</t>
  </si>
  <si>
    <t>E4 (1,3,19):b:e,n,z15</t>
  </si>
  <si>
    <t>Kandla</t>
  </si>
  <si>
    <t>T_i_l,w</t>
  </si>
  <si>
    <t>Kaneshie</t>
  </si>
  <si>
    <t>T (1,42):i:l,w</t>
  </si>
  <si>
    <t>H_z_1,6</t>
  </si>
  <si>
    <t>Kanifing</t>
  </si>
  <si>
    <t>H (1,6,14,25):z:1,6</t>
  </si>
  <si>
    <t>B_l,z13,z28_e,n,x</t>
  </si>
  <si>
    <t>Kano</t>
  </si>
  <si>
    <t>B (1,4,12,27):l,z13,z28:e,n,x</t>
  </si>
  <si>
    <t>X_z_1,6</t>
  </si>
  <si>
    <t>Kaolack</t>
  </si>
  <si>
    <t>X (47):z:1,6</t>
  </si>
  <si>
    <t>D1_l,v_1,7</t>
  </si>
  <si>
    <t>Kapemba</t>
  </si>
  <si>
    <t>D1 (9,12):l,v:1,7</t>
  </si>
  <si>
    <t>W_d_e,n,x</t>
  </si>
  <si>
    <t>Karachi</t>
  </si>
  <si>
    <t>W (45):d:e,n,x</t>
  </si>
  <si>
    <t>R_z41_1,2</t>
  </si>
  <si>
    <t>Karamoja</t>
  </si>
  <si>
    <t>R (1,40):z41:1,2</t>
  </si>
  <si>
    <t>51_b_1,5</t>
  </si>
  <si>
    <t>Karaya</t>
  </si>
  <si>
    <t>51 (51):b:1,5</t>
  </si>
  <si>
    <t>J_d_e,n,z15</t>
  </si>
  <si>
    <t>Karlshamn</t>
  </si>
  <si>
    <t>J (17):d:e,n,z15</t>
  </si>
  <si>
    <t>P_e,h_1,5</t>
  </si>
  <si>
    <t>Kasenyi</t>
  </si>
  <si>
    <t>P (38):e,h:1,5</t>
  </si>
  <si>
    <t>H_c_1,6</t>
  </si>
  <si>
    <t>Kassberg</t>
  </si>
  <si>
    <t>H (1,6,14,25):c:1,6</t>
  </si>
  <si>
    <t>Kassel</t>
  </si>
  <si>
    <t>C1_e,n,z15_1,6</t>
  </si>
  <si>
    <t>Kastrup</t>
  </si>
  <si>
    <t>C1 (6,7):e,n,z15:1,6</t>
  </si>
  <si>
    <t>G_i_l,w</t>
  </si>
  <si>
    <t>Kedougou</t>
  </si>
  <si>
    <t>G (1,13,23):i:l,w</t>
  </si>
  <si>
    <t>C2-C3_i_z6</t>
  </si>
  <si>
    <t>C2-C3 (8,20):i:z6</t>
  </si>
  <si>
    <t>C1_l,z13_e,n,x</t>
  </si>
  <si>
    <t>Kenya</t>
  </si>
  <si>
    <t>C1 (6,7):l,z13:e,n,x</t>
  </si>
  <si>
    <t>V_d_e,n,x</t>
  </si>
  <si>
    <t>Kermel</t>
  </si>
  <si>
    <t>V (44):d:e,n,x</t>
  </si>
  <si>
    <t>M_z4,z24_–</t>
  </si>
  <si>
    <t>Kethiabarny</t>
  </si>
  <si>
    <t>M (28):z4,z24:–</t>
  </si>
  <si>
    <t>O_c_1,2</t>
  </si>
  <si>
    <t>Keurmassar</t>
  </si>
  <si>
    <t>O (35):c:1,2</t>
  </si>
  <si>
    <t>L_l,w_–</t>
  </si>
  <si>
    <t>Keve</t>
  </si>
  <si>
    <t>L (21):l,w:–</t>
  </si>
  <si>
    <t>Kiambu</t>
  </si>
  <si>
    <t>B (1,4,12):z:1,5</t>
  </si>
  <si>
    <t>I_z4,z23_[1,6]</t>
  </si>
  <si>
    <t>Kibi</t>
  </si>
  <si>
    <t>I (16):z4,z23:[1,6]</t>
  </si>
  <si>
    <t>M_r_e,n,x</t>
  </si>
  <si>
    <t>Kibusi</t>
  </si>
  <si>
    <t>M (28):r:e,n,x</t>
  </si>
  <si>
    <t>P_c_1,6</t>
  </si>
  <si>
    <t>Kidderminster</t>
  </si>
  <si>
    <t>P (38):c:1,6</t>
  </si>
  <si>
    <t>A_g,p_–</t>
  </si>
  <si>
    <t>Kiel</t>
  </si>
  <si>
    <t>A</t>
  </si>
  <si>
    <t>1,2,12</t>
  </si>
  <si>
    <t>A (1,2,12):g,p:–</t>
  </si>
  <si>
    <t>Group O:2 (A)</t>
  </si>
  <si>
    <t>I_y_e,n,x</t>
  </si>
  <si>
    <t>Kikoma</t>
  </si>
  <si>
    <t>I (16):y:e,n,x</t>
  </si>
  <si>
    <t>P_l,v_1,5</t>
  </si>
  <si>
    <t>Kimberley</t>
  </si>
  <si>
    <t>P (38):l,v:1,5</t>
  </si>
  <si>
    <t>D1_z_1,6</t>
  </si>
  <si>
    <t>Kimpese</t>
  </si>
  <si>
    <t>D1 (9,12):z:1,6</t>
  </si>
  <si>
    <t>Kimuenza</t>
  </si>
  <si>
    <t>E4_l,z28_e,n,x</t>
  </si>
  <si>
    <t>Kindia</t>
  </si>
  <si>
    <t>E4 (1,3,19):l,z28:e,n,x</t>
  </si>
  <si>
    <t>U_y_1,5</t>
  </si>
  <si>
    <t>Kingabwa</t>
  </si>
  <si>
    <t>U (43):y:1,5</t>
  </si>
  <si>
    <t>B_g,s,t_[1,2]</t>
  </si>
  <si>
    <t>Kingston</t>
  </si>
  <si>
    <t>B (1,4,[5],12,[27]):g,s,t:[1,2]</t>
  </si>
  <si>
    <t>J_a_e,n,x</t>
  </si>
  <si>
    <t>Kinondoni</t>
  </si>
  <si>
    <t>J (17):a:e,n,x</t>
  </si>
  <si>
    <t>E4_y_e,n,x</t>
  </si>
  <si>
    <t>Kinson</t>
  </si>
  <si>
    <t>E4 (1,3,19):y:e,n,x</t>
  </si>
  <si>
    <t>G_m,t_–</t>
  </si>
  <si>
    <t>Kintambo</t>
  </si>
  <si>
    <t>G (1,13,23):m,t:–</t>
  </si>
  <si>
    <t>J_b_1,2</t>
  </si>
  <si>
    <t>Kirkee</t>
  </si>
  <si>
    <t>J (17):b:1,2</t>
  </si>
  <si>
    <t>B_a_1,2</t>
  </si>
  <si>
    <t>Kisangani</t>
  </si>
  <si>
    <t>B (1,4,[5],12):a:1,2</t>
  </si>
  <si>
    <t>F_k_e,n,x,[z15]</t>
  </si>
  <si>
    <t>Kisarawe</t>
  </si>
  <si>
    <t>e,n,x,[z15]</t>
  </si>
  <si>
    <t>F (11):k:e,n,x,[z15]</t>
  </si>
  <si>
    <t>C1_d_1,2</t>
  </si>
  <si>
    <t>Kisii</t>
  </si>
  <si>
    <t>C1 (6,7):d:1,2</t>
  </si>
  <si>
    <t>M_y_e,n,x</t>
  </si>
  <si>
    <t>Kitenge</t>
  </si>
  <si>
    <t>M (28):y:e,n,x</t>
  </si>
  <si>
    <t>C1_d_1,6</t>
  </si>
  <si>
    <t>Kivu</t>
  </si>
  <si>
    <t>C1 (6,7):d:1,6</t>
  </si>
  <si>
    <t>P_z38_–</t>
  </si>
  <si>
    <t>Klouto</t>
  </si>
  <si>
    <t>P (38):z38:–</t>
  </si>
  <si>
    <t>I_l,z13,z28_e,n,x</t>
  </si>
  <si>
    <t>Koblenz</t>
  </si>
  <si>
    <t>I (16):l,z13,z28:e,n,x</t>
  </si>
  <si>
    <t>X_c_1,6</t>
  </si>
  <si>
    <t>Kodjovi</t>
  </si>
  <si>
    <t>X (47):c:1,6</t>
  </si>
  <si>
    <t>B_z_e,n,z15</t>
  </si>
  <si>
    <t>Koenigstuhl</t>
  </si>
  <si>
    <t>B (1,4,[5],12):z:e,n,z15</t>
  </si>
  <si>
    <t>A_l,v_1,5</t>
  </si>
  <si>
    <t>Koessen</t>
  </si>
  <si>
    <t>2,12</t>
  </si>
  <si>
    <t>A (2,12):l,v:1,5</t>
  </si>
  <si>
    <t>W_r_e,n,z15</t>
  </si>
  <si>
    <t>Kofandoka</t>
  </si>
  <si>
    <t>W (45):r:e,n,z15</t>
  </si>
  <si>
    <t>V_z38_–</t>
  </si>
  <si>
    <t>Koketime</t>
  </si>
  <si>
    <t>V (44):z38:–</t>
  </si>
  <si>
    <t>N_z35_1,6</t>
  </si>
  <si>
    <t>Kokoli</t>
  </si>
  <si>
    <t>N (30):z35:1,6</t>
  </si>
  <si>
    <t>Q_l,v_e,n,x</t>
  </si>
  <si>
    <t>Kokomlemle</t>
  </si>
  <si>
    <t>Q (39):l,v:e,n,x</t>
  </si>
  <si>
    <t>D2_b_z35</t>
  </si>
  <si>
    <t>Kolar</t>
  </si>
  <si>
    <t>D2 (9,46):b:z35</t>
  </si>
  <si>
    <t>C2-C3_z35_1,2</t>
  </si>
  <si>
    <t>Kolda</t>
  </si>
  <si>
    <t>C2-C3 (8,20):z35:1,2</t>
  </si>
  <si>
    <t>M_z35_1,6</t>
  </si>
  <si>
    <t>Konolfingen</t>
  </si>
  <si>
    <t>M (28):z35:1,6</t>
  </si>
  <si>
    <t>S_r_1,7</t>
  </si>
  <si>
    <t>Konongo</t>
  </si>
  <si>
    <t>S (41):r:1,7</t>
  </si>
  <si>
    <t>Konstanz</t>
  </si>
  <si>
    <t>C2-C3 (8):b:e,n,x</t>
  </si>
  <si>
    <t>Korbol</t>
  </si>
  <si>
    <t>C2-C3 (8,20):b:1,5</t>
  </si>
  <si>
    <t>M_e,h_1,5</t>
  </si>
  <si>
    <t>Korkeasaari</t>
  </si>
  <si>
    <t>M (28):e,h:1,5</t>
  </si>
  <si>
    <t>E4_z_1,5</t>
  </si>
  <si>
    <t>Korlebu</t>
  </si>
  <si>
    <t>E4 (1,3,19):z:1,5</t>
  </si>
  <si>
    <t>P_g,m,[s]_–</t>
  </si>
  <si>
    <t>Korovi</t>
  </si>
  <si>
    <t>P (38):g,m,[s]:–</t>
  </si>
  <si>
    <t>C1_l,v_1,7</t>
  </si>
  <si>
    <t>Kortrijk</t>
  </si>
  <si>
    <t>C1 (6,7):l,v:1,7</t>
  </si>
  <si>
    <t>Kottbus</t>
  </si>
  <si>
    <t>C2-C3 (6,8):e,h:1,5</t>
  </si>
  <si>
    <t>C1_b_z35</t>
  </si>
  <si>
    <t>Kotte</t>
  </si>
  <si>
    <t>C1 (6,7):b:z35</t>
  </si>
  <si>
    <t>D1_l,z28_1,6</t>
  </si>
  <si>
    <t>Kotu</t>
  </si>
  <si>
    <t>D1 (9,12):l,z28:1,6</t>
  </si>
  <si>
    <t>E4_g,m,[t]_–</t>
  </si>
  <si>
    <t>Kouka</t>
  </si>
  <si>
    <t>E4 (1,3,19):g,m,[t]:–</t>
  </si>
  <si>
    <t>C1_b_1,7</t>
  </si>
  <si>
    <t>Koumra</t>
  </si>
  <si>
    <t>C1 (6,7):b:1,7</t>
  </si>
  <si>
    <t>M_e,h_1,7</t>
  </si>
  <si>
    <t>Kpeme</t>
  </si>
  <si>
    <t>M (28):e,h:1,7</t>
  </si>
  <si>
    <t>C2-C3_y_z6</t>
  </si>
  <si>
    <t>Kralingen</t>
  </si>
  <si>
    <t>C2-C3 (8,20):y:z6</t>
  </si>
  <si>
    <t>E4_y_l,w</t>
  </si>
  <si>
    <t>Krefeld</t>
  </si>
  <si>
    <t>E4 (1,3,19):y:l,w</t>
  </si>
  <si>
    <t>E1_z10_e,n,z15</t>
  </si>
  <si>
    <t>Kristianstad</t>
  </si>
  <si>
    <t>E1 (3,10):z10:e,n,z15</t>
  </si>
  <si>
    <t>Kua</t>
  </si>
  <si>
    <t>B_l,z13,z28_1,7</t>
  </si>
  <si>
    <t>Kubacha</t>
  </si>
  <si>
    <t>B (1,4,12,27):l,z13,z28:1,7</t>
  </si>
  <si>
    <t>M_i_e,n,z15</t>
  </si>
  <si>
    <t>Kuessel</t>
  </si>
  <si>
    <t>M (28):i:e,n,z15</t>
  </si>
  <si>
    <t>N_z10_e,n,z15</t>
  </si>
  <si>
    <t>Kumasi</t>
  </si>
  <si>
    <t>N (30):z10:e,n,z15</t>
  </si>
  <si>
    <t>B_l,[z13],[z2_8] 1,2</t>
  </si>
  <si>
    <t>Kunduchi</t>
  </si>
  <si>
    <t>l,[z13],[z2</t>
  </si>
  <si>
    <t>8] 1,2</t>
  </si>
  <si>
    <t>B (1,4,[5],12,[27]):l,[z13],[z2:8] 1,2</t>
  </si>
  <si>
    <t>H_b_1,5</t>
  </si>
  <si>
    <t>Kuntair</t>
  </si>
  <si>
    <t>H (1,6,14,25):b:1,5</t>
  </si>
  <si>
    <t>C2-C3_z_l,w</t>
  </si>
  <si>
    <t>Kuru</t>
  </si>
  <si>
    <t>C2-C3 (6,8):z:l,w</t>
  </si>
  <si>
    <t>Labadi</t>
  </si>
  <si>
    <t>C2-C3 (8,20):d:z6</t>
  </si>
  <si>
    <t>B_i_1,5</t>
  </si>
  <si>
    <t>Lagos</t>
  </si>
  <si>
    <t>B (1,4,[5],12):i:1,5</t>
  </si>
  <si>
    <t>E1_e,h_e,n,z15</t>
  </si>
  <si>
    <t>Lamberhurst</t>
  </si>
  <si>
    <t>E1 (3,10):e,h:e,n,z15</t>
  </si>
  <si>
    <t>Lamin</t>
  </si>
  <si>
    <t>Lamphun</t>
  </si>
  <si>
    <t>C2-C3 (6,8):y:1,2</t>
  </si>
  <si>
    <t>J_l,v_1,7</t>
  </si>
  <si>
    <t>Lancaster</t>
  </si>
  <si>
    <t>J (17):l,v:1,7</t>
  </si>
  <si>
    <t>S_z10_1,6</t>
  </si>
  <si>
    <t>Landala</t>
  </si>
  <si>
    <t>S (41):z10:1,6</t>
  </si>
  <si>
    <t>N_i_1,2</t>
  </si>
  <si>
    <t>Landau</t>
  </si>
  <si>
    <t>N (30):i:1,2</t>
  </si>
  <si>
    <t>E1_z_z6</t>
  </si>
  <si>
    <t>Landwasser</t>
  </si>
  <si>
    <t>E1 (3,10):z:z6</t>
  </si>
  <si>
    <t>K_m,t_–</t>
  </si>
  <si>
    <t>Langenhorn</t>
  </si>
  <si>
    <t>K (18):m,t:–</t>
  </si>
  <si>
    <t>E1_y_l,w</t>
  </si>
  <si>
    <t>Langensalza</t>
  </si>
  <si>
    <t>E1 (3,10):y:l,w</t>
  </si>
  <si>
    <t>C1_l,w_e,n,z15</t>
  </si>
  <si>
    <t>Langeveld</t>
  </si>
  <si>
    <t>C1 (6,7):l,w:e,n,z15</t>
  </si>
  <si>
    <t>M_b_e,n,z15</t>
  </si>
  <si>
    <t>Langford</t>
  </si>
  <si>
    <t>M (28):b:e,n,z15</t>
  </si>
  <si>
    <t>P_i_1,5</t>
  </si>
  <si>
    <t>Lansing</t>
  </si>
  <si>
    <t>P (38):i:1,5</t>
  </si>
  <si>
    <t>H_z10_1,6</t>
  </si>
  <si>
    <t>Laredo</t>
  </si>
  <si>
    <t>H (1,6,14,25):z10:1,6</t>
  </si>
  <si>
    <t>C1_e,h_1,2</t>
  </si>
  <si>
    <t>Larochelle</t>
  </si>
  <si>
    <t>C1 (6,7):e,h:1,2</t>
  </si>
  <si>
    <t>C1_g,z51_e,n,z15</t>
  </si>
  <si>
    <t>Larose</t>
  </si>
  <si>
    <t>C1 (6,7):g,z51:e,n,z15</t>
  </si>
  <si>
    <t>W_z35_1,5</t>
  </si>
  <si>
    <t>Lattenkamp</t>
  </si>
  <si>
    <t>W (45):z35:1,5</t>
  </si>
  <si>
    <t>D1_z_1,5</t>
  </si>
  <si>
    <t>Lawndale</t>
  </si>
  <si>
    <t>D1 (1,9,12):z:1,5</t>
  </si>
  <si>
    <t>V_k_e,n,z15</t>
  </si>
  <si>
    <t>Lawra</t>
  </si>
  <si>
    <t>V (44):k:e,n,z15</t>
  </si>
  <si>
    <t>S_m,t_1,6</t>
  </si>
  <si>
    <t>Leatherhead</t>
  </si>
  <si>
    <t>S (41):m,t:1,6</t>
  </si>
  <si>
    <t>51_z_e,n,z15</t>
  </si>
  <si>
    <t>Lechler</t>
  </si>
  <si>
    <t>51 (51):z:e,n,z15</t>
  </si>
  <si>
    <t>53_–_1,6</t>
  </si>
  <si>
    <t>Leda</t>
  </si>
  <si>
    <t>53 (53):–:1,6</t>
  </si>
  <si>
    <t>K_z10_1,5</t>
  </si>
  <si>
    <t>Leer</t>
  </si>
  <si>
    <t>K (18):z10:1,5</t>
  </si>
  <si>
    <t>F_b_1,5</t>
  </si>
  <si>
    <t>Leeuwarden</t>
  </si>
  <si>
    <t>F (11):b:1,5</t>
  </si>
  <si>
    <t>B_c_1,5</t>
  </si>
  <si>
    <t>Legon</t>
  </si>
  <si>
    <t>B (1,4,12,[27]):c:1,5</t>
  </si>
  <si>
    <t>I_r_z6</t>
  </si>
  <si>
    <t>Lehrte</t>
  </si>
  <si>
    <t>I (16):r:z6</t>
  </si>
  <si>
    <t>Leiden</t>
  </si>
  <si>
    <t>G (13,22):z38:–</t>
  </si>
  <si>
    <t>S_z10_1,5</t>
  </si>
  <si>
    <t>Leipzig</t>
  </si>
  <si>
    <t>S (41):z10:1,5</t>
  </si>
  <si>
    <t>C2-C3_a_e,n,z15</t>
  </si>
  <si>
    <t>Leith</t>
  </si>
  <si>
    <t>C2-C3 (6,8):a:e,n,z15</t>
  </si>
  <si>
    <t>E1_d_1,6</t>
  </si>
  <si>
    <t>Lekke</t>
  </si>
  <si>
    <t>E1 (3,10):d:1,6</t>
  </si>
  <si>
    <t>F_z38_–</t>
  </si>
  <si>
    <t>Lene</t>
  </si>
  <si>
    <t>F (11):z38:–</t>
  </si>
  <si>
    <t>M_l,v_1,5</t>
  </si>
  <si>
    <t>Leoben</t>
  </si>
  <si>
    <t>M (28):l,v:1,5</t>
  </si>
  <si>
    <t>C1_b_z6</t>
  </si>
  <si>
    <t>Leopoldville</t>
  </si>
  <si>
    <t>C1 (6,7,14):b:z6</t>
  </si>
  <si>
    <t>E4_z_1,7</t>
  </si>
  <si>
    <t>Lerum</t>
  </si>
  <si>
    <t>E4 (1,3,19):z:1,7</t>
  </si>
  <si>
    <t>E1_,34} z10_1,5</t>
  </si>
  <si>
    <t>Lexington</t>
  </si>
  <si>
    <t>E1 (3,{10}{15}{15):,34} z10:1,5</t>
  </si>
  <si>
    <t>Lezennes</t>
  </si>
  <si>
    <t>C2-C3 (6,8):z4,z23:1,7</t>
  </si>
  <si>
    <t>M_z10_1,6</t>
  </si>
  <si>
    <t>Libreville</t>
  </si>
  <si>
    <t>M (28):z10:1,6</t>
  </si>
  <si>
    <t>N_l,v_1,2</t>
  </si>
  <si>
    <t>Ligeo</t>
  </si>
  <si>
    <t>N (30):l,v:1,2</t>
  </si>
  <si>
    <t>O_z10_z6</t>
  </si>
  <si>
    <t>Ligna</t>
  </si>
  <si>
    <t>O (35):z10:z6</t>
  </si>
  <si>
    <t>C1_i_1,7</t>
  </si>
  <si>
    <t>Lika</t>
  </si>
  <si>
    <t>C1 (6,7):i:1,7</t>
  </si>
  <si>
    <t>C1_z38_–</t>
  </si>
  <si>
    <t>Lille</t>
  </si>
  <si>
    <t>C1 (6,7,14):z38:–</t>
  </si>
  <si>
    <t>Limete</t>
  </si>
  <si>
    <t>B (1,4,12,[27]):b:1,5</t>
  </si>
  <si>
    <t>C2-C3_i_1,2</t>
  </si>
  <si>
    <t>Lindenburg</t>
  </si>
  <si>
    <t>C2-C3 (6,8):i:1,2</t>
  </si>
  <si>
    <t>Lindern</t>
  </si>
  <si>
    <t>H (6,14,[24]):d:e,n,x</t>
  </si>
  <si>
    <t>P_r_1,5</t>
  </si>
  <si>
    <t>Lindi</t>
  </si>
  <si>
    <t>P (38):r:1,5</t>
  </si>
  <si>
    <t>D2_b_z6</t>
  </si>
  <si>
    <t>Linguere</t>
  </si>
  <si>
    <t>D2 (9,46):b:z6</t>
  </si>
  <si>
    <t>I_z_1,7</t>
  </si>
  <si>
    <t>Lingwala</t>
  </si>
  <si>
    <t>I (16):z:1,7</t>
  </si>
  <si>
    <t>G_r_e,n,z15</t>
  </si>
  <si>
    <t>Linton</t>
  </si>
  <si>
    <t>G (13,23):r:e,n,z15</t>
  </si>
  <si>
    <t>I_z10_1,6</t>
  </si>
  <si>
    <t>Lisboa</t>
  </si>
  <si>
    <t>I (16):z10:1,6</t>
  </si>
  <si>
    <t>D2_z10_1,7</t>
  </si>
  <si>
    <t>Lishabi</t>
  </si>
  <si>
    <t>D2 (9,46):z10:1,7</t>
  </si>
  <si>
    <t>C2-C3_l,v_1,2</t>
  </si>
  <si>
    <t>Litchfield</t>
  </si>
  <si>
    <t>C2-C3 (6,8):l,v:1,2</t>
  </si>
  <si>
    <t>E4_d_e,n,z15</t>
  </si>
  <si>
    <t>Liverpool</t>
  </si>
  <si>
    <t>E4 (1,3,19):d:e,n,z15</t>
  </si>
  <si>
    <t>C1_d_l,w</t>
  </si>
  <si>
    <t>Livingstone</t>
  </si>
  <si>
    <t>C1 (6,7,14):d:l,w</t>
  </si>
  <si>
    <t>N_e,h_1,2</t>
  </si>
  <si>
    <t>Livulu</t>
  </si>
  <si>
    <t>N (30):e,h:1,2</t>
  </si>
  <si>
    <t>B_k_e,n,x</t>
  </si>
  <si>
    <t>Ljubljana</t>
  </si>
  <si>
    <t>B (4,12,27):k:e,n,x</t>
  </si>
  <si>
    <t>E4_z29_[z6]</t>
  </si>
  <si>
    <t>Llandoff</t>
  </si>
  <si>
    <t>E4 (1,3,19):z29:[z6]</t>
  </si>
  <si>
    <t>V_z10_e,n,x</t>
  </si>
  <si>
    <t>Llobregat</t>
  </si>
  <si>
    <t>V (1,44):z10:e,n,x</t>
  </si>
  <si>
    <t>C2-C3_l,v_1,5</t>
  </si>
  <si>
    <t>Loanda</t>
  </si>
  <si>
    <t>C2-C3 (6,8):l,v:1,5</t>
  </si>
  <si>
    <t>C1_b_e,n,x</t>
  </si>
  <si>
    <t>Lockleaze</t>
  </si>
  <si>
    <t>C1 (6,7,14):b:e,n,x</t>
  </si>
  <si>
    <t>J_r_1,2</t>
  </si>
  <si>
    <t>Lode</t>
  </si>
  <si>
    <t>J (17):r:1,2</t>
  </si>
  <si>
    <t>Lodz</t>
  </si>
  <si>
    <t>Loenga</t>
  </si>
  <si>
    <t>T (1,42):z10:z6</t>
  </si>
  <si>
    <t>Q_d_1,5</t>
  </si>
  <si>
    <t>Logone</t>
  </si>
  <si>
    <t>Q (39):d:1,5</t>
  </si>
  <si>
    <t>J_y_l,w</t>
  </si>
  <si>
    <t>Lokomo</t>
  </si>
  <si>
    <t>J (17):y:l,w</t>
  </si>
  <si>
    <t>E4_l,z13,z28_1,2</t>
  </si>
  <si>
    <t>Lokstedt</t>
  </si>
  <si>
    <t>E4 (1,3,19):l,z13,z28:1,2</t>
  </si>
  <si>
    <t>Lomalinda</t>
  </si>
  <si>
    <t>D1_r_z6</t>
  </si>
  <si>
    <t>Lome</t>
  </si>
  <si>
    <t>D1 (9,12):r:z6</t>
  </si>
  <si>
    <t>C1_e,h_1,5</t>
  </si>
  <si>
    <t>Lomita</t>
  </si>
  <si>
    <t>C1 (6,7):e,h:1,5</t>
  </si>
  <si>
    <t>I_l,w_e,n,z15</t>
  </si>
  <si>
    <t>Lomnava</t>
  </si>
  <si>
    <t>I (16):l,w:e,n,z15</t>
  </si>
  <si>
    <t>E1_l,v_1,6</t>
  </si>
  <si>
    <t>London</t>
  </si>
  <si>
    <t>E1 (3,{10}{15}):l,v:1,6</t>
  </si>
  <si>
    <t>S_c_–</t>
  </si>
  <si>
    <t>Lonestar</t>
  </si>
  <si>
    <t>S (41):c:–</t>
  </si>
  <si>
    <t>I_l,v_z6</t>
  </si>
  <si>
    <t>Losangeles</t>
  </si>
  <si>
    <t>I (16):l,v:z6</t>
  </si>
  <si>
    <t>B_z_1,6</t>
  </si>
  <si>
    <t>Loubomo</t>
  </si>
  <si>
    <t>B (4,12):z:1,6</t>
  </si>
  <si>
    <t>N_b_1,2</t>
  </si>
  <si>
    <t>Louga</t>
  </si>
  <si>
    <t>N (30):b:1,2</t>
  </si>
  <si>
    <t>G_l,v_1,5</t>
  </si>
  <si>
    <t>Lovelace</t>
  </si>
  <si>
    <t>G (13,22):l,v:1,5</t>
  </si>
  <si>
    <t>J_g,s,t_–</t>
  </si>
  <si>
    <t>Lowestoft</t>
  </si>
  <si>
    <t>J (17):g,s,t:–</t>
  </si>
  <si>
    <t>S_r_1,5</t>
  </si>
  <si>
    <t>Lubumbashi</t>
  </si>
  <si>
    <t>S (41):r:1,5</t>
  </si>
  <si>
    <t>Luciana</t>
  </si>
  <si>
    <t>M_z10_e,n,z15</t>
  </si>
  <si>
    <t>Luckenwalde</t>
  </si>
  <si>
    <t>M (28):z10:e,n,z15</t>
  </si>
  <si>
    <t>J_c_1,5</t>
  </si>
  <si>
    <t>Luedinghausen</t>
  </si>
  <si>
    <t>J (17):c:1,5</t>
  </si>
  <si>
    <t>X_g,m_–</t>
  </si>
  <si>
    <t>Luke</t>
  </si>
  <si>
    <t>1,47</t>
  </si>
  <si>
    <t>X (1,47):g,m:–</t>
  </si>
  <si>
    <t>C2-C3_l,v_z6</t>
  </si>
  <si>
    <t>Lund</t>
  </si>
  <si>
    <t>C2-C3 (6,8):l,v:z6</t>
  </si>
  <si>
    <t>51_r,i_l,z13,z28</t>
  </si>
  <si>
    <t>Lutetia</t>
  </si>
  <si>
    <t>51 (51):r,i:l,z13,z28</t>
  </si>
  <si>
    <t>X_k_e,n,z15</t>
  </si>
  <si>
    <t>Lyon</t>
  </si>
  <si>
    <t>X (47):k:e,n,z15</t>
  </si>
  <si>
    <t>F_z41_1,2</t>
  </si>
  <si>
    <t>Maastricht</t>
  </si>
  <si>
    <t>F (11):z41:1,2</t>
  </si>
  <si>
    <t>E1_z36_–</t>
  </si>
  <si>
    <t>Macallen</t>
  </si>
  <si>
    <t>E1 (3,10):z36:–</t>
  </si>
  <si>
    <t>D2_g,m,s_1,2,7</t>
  </si>
  <si>
    <t>Macclesfield</t>
  </si>
  <si>
    <t>D2 (9,46):g,m,s:1,2,7</t>
  </si>
  <si>
    <t>E4_i_e,n,x</t>
  </si>
  <si>
    <t>Machaga</t>
  </si>
  <si>
    <t>E4 (1,3,19):i:e,n,x</t>
  </si>
  <si>
    <t>Madelia</t>
  </si>
  <si>
    <t>H (1,6,14,25):y:1,7</t>
  </si>
  <si>
    <t>E4_c_1,7</t>
  </si>
  <si>
    <t>Madiago</t>
  </si>
  <si>
    <t>E4 (1,3,19):c:1,7</t>
  </si>
  <si>
    <t>V_c_1,5</t>
  </si>
  <si>
    <t>Madigan</t>
  </si>
  <si>
    <t>V (44):c:1,5</t>
  </si>
  <si>
    <t>L_d_z6</t>
  </si>
  <si>
    <t>Madison</t>
  </si>
  <si>
    <t>L (21):d:z6</t>
  </si>
  <si>
    <t>E1_d_e,n,z15</t>
  </si>
  <si>
    <t>Madjorio</t>
  </si>
  <si>
    <t>E1 (3,10):d:e,n,z15</t>
  </si>
  <si>
    <t>B_m,t_e,n,z15</t>
  </si>
  <si>
    <t>Madras</t>
  </si>
  <si>
    <t>B (4,[5],12):m,t:e,n,z15</t>
  </si>
  <si>
    <t>Magherafelt</t>
  </si>
  <si>
    <t>C2-C3 (8,20):i:l,w</t>
  </si>
  <si>
    <t>H_e,h_1,6</t>
  </si>
  <si>
    <t>Magumeri</t>
  </si>
  <si>
    <t>H (1,6,14,25):e,h:1,6</t>
  </si>
  <si>
    <t>L_d_e,n,x</t>
  </si>
  <si>
    <t>Magwa</t>
  </si>
  <si>
    <t>L (21):d:e,n,x</t>
  </si>
  <si>
    <t>D2_z10_e,n,z15</t>
  </si>
  <si>
    <t>Mahina</t>
  </si>
  <si>
    <t>D2 (9,46):z10:e,n,z15</t>
  </si>
  <si>
    <t>E4_f,g,t_e,n,z15</t>
  </si>
  <si>
    <t>Maiduguri</t>
  </si>
  <si>
    <t>E4 (1,3,19):f,g,t:e,n,z15</t>
  </si>
  <si>
    <t>Makiling</t>
  </si>
  <si>
    <t>C1_l,z13,z28_z6</t>
  </si>
  <si>
    <t>Makiso</t>
  </si>
  <si>
    <t>C1 (6,7):l,z13,z28:z6</t>
  </si>
  <si>
    <t>I_e,h_1,2</t>
  </si>
  <si>
    <t>Malakal</t>
  </si>
  <si>
    <t>I (16):e,h:1,2</t>
  </si>
  <si>
    <t>M_z10_1,7</t>
  </si>
  <si>
    <t>Malaysia</t>
  </si>
  <si>
    <t>M (28):z10:1,7</t>
  </si>
  <si>
    <t>V_l,z28_1,5</t>
  </si>
  <si>
    <t>Malika</t>
  </si>
  <si>
    <t>V (44):l,z28:1,5</t>
  </si>
  <si>
    <t>C2-C3_i_1,7</t>
  </si>
  <si>
    <t>Malmoe</t>
  </si>
  <si>
    <t>C2-C3 (6,8):i:1,7</t>
  </si>
  <si>
    <t>I_b_z6</t>
  </si>
  <si>
    <t>Malstatt</t>
  </si>
  <si>
    <t>I (16):b:z6</t>
  </si>
  <si>
    <t>H_i_1,5</t>
  </si>
  <si>
    <t>Mampeza</t>
  </si>
  <si>
    <t>H (1,6,14,25):i:1,5</t>
  </si>
  <si>
    <t>G_z35_1,6</t>
  </si>
  <si>
    <t>Mampong</t>
  </si>
  <si>
    <t>G (13,22):z35:1,6</t>
  </si>
  <si>
    <t>D1_b_e,n,z15</t>
  </si>
  <si>
    <t>Mana</t>
  </si>
  <si>
    <t>D1 (9,12):b:e,n,z15</t>
  </si>
  <si>
    <t>C2-C3_l,v_1,7</t>
  </si>
  <si>
    <t>Manchester</t>
  </si>
  <si>
    <t>C2-C3 (6,8):l,v:1,7</t>
  </si>
  <si>
    <t>I_l,z13_e,n,z15</t>
  </si>
  <si>
    <t>Mandera</t>
  </si>
  <si>
    <t>I (16):l,z13:e,n,z15</t>
  </si>
  <si>
    <t>P_k_1,5</t>
  </si>
  <si>
    <t>Mango</t>
  </si>
  <si>
    <t>P (38):k:1,5</t>
  </si>
  <si>
    <t>C2-C3_d_1,5</t>
  </si>
  <si>
    <t>Manhattan</t>
  </si>
  <si>
    <t>C2-C3 (6,8):d:1,5</t>
  </si>
  <si>
    <t>F_k_l,w</t>
  </si>
  <si>
    <t>Mannheim</t>
  </si>
  <si>
    <t>F (11):k:l,w</t>
  </si>
  <si>
    <t>C2-C3_z10_1,5</t>
  </si>
  <si>
    <t>Mapo</t>
  </si>
  <si>
    <t>C2-C3 (6,8):z10:1,5</t>
  </si>
  <si>
    <t>Q_e,h_1,5</t>
  </si>
  <si>
    <t>Mara</t>
  </si>
  <si>
    <t>Q (39):e,h:1,5</t>
  </si>
  <si>
    <t>F_l,v_1,5</t>
  </si>
  <si>
    <t>Maracaibo</t>
  </si>
  <si>
    <t>F (11):l,v:1,5</t>
  </si>
  <si>
    <t>G_k_–</t>
  </si>
  <si>
    <t>Marburg</t>
  </si>
  <si>
    <t>G (13,23):k:–</t>
  </si>
  <si>
    <t>T_g,z51_1,5</t>
  </si>
  <si>
    <t>Maricopa</t>
  </si>
  <si>
    <t>T (1,42):g,z51:1,5</t>
  </si>
  <si>
    <t>E1_k_e,n,z15</t>
  </si>
  <si>
    <t>Marienthal</t>
  </si>
  <si>
    <t>E1 (3,10):k:e,n,z15</t>
  </si>
  <si>
    <t>V_i_e,n,z15</t>
  </si>
  <si>
    <t>Maritzburg</t>
  </si>
  <si>
    <t>V (1,44):i:e,n,z15</t>
  </si>
  <si>
    <t>C2-C3_z_1,7</t>
  </si>
  <si>
    <t>Marmande</t>
  </si>
  <si>
    <t>C2-C3 (6,8):z:1,7</t>
  </si>
  <si>
    <t>E1_d_z35</t>
  </si>
  <si>
    <t>Maron</t>
  </si>
  <si>
    <t>E1 (3,10):d:z35</t>
  </si>
  <si>
    <t>F_z_1,7</t>
  </si>
  <si>
    <t>Maroua</t>
  </si>
  <si>
    <t>F (11):z:1,7</t>
  </si>
  <si>
    <t>52_l,w_1,5</t>
  </si>
  <si>
    <t>Marsabit</t>
  </si>
  <si>
    <t>52 (52):l,w:1,5</t>
  </si>
  <si>
    <t>F_a_1,5</t>
  </si>
  <si>
    <t>Marseille</t>
  </si>
  <si>
    <t>F (11):a:1,5</t>
  </si>
  <si>
    <t>G_a_l,z13,z28</t>
  </si>
  <si>
    <t>Marshall</t>
  </si>
  <si>
    <t>G (13,22):a:l,z13,z28</t>
  </si>
  <si>
    <t>Martonos</t>
  </si>
  <si>
    <t>H (6,14,24):d:1,5</t>
  </si>
  <si>
    <t>57_b_1,7</t>
  </si>
  <si>
    <t>57 (57):b:1,7</t>
  </si>
  <si>
    <t>D2_k_1,2</t>
  </si>
  <si>
    <t>Marylebone</t>
  </si>
  <si>
    <t>D2 (9,46):k:1,2</t>
  </si>
  <si>
    <t>Masembe</t>
  </si>
  <si>
    <t>B_z41_e,n,z15</t>
  </si>
  <si>
    <t>Maska</t>
  </si>
  <si>
    <t>B (1,4,12,27):z41:e,n,z15</t>
  </si>
  <si>
    <t>O_r_l,w</t>
  </si>
  <si>
    <t>Massakory</t>
  </si>
  <si>
    <t>O (35):r:l,w</t>
  </si>
  <si>
    <t>B_k_1,5</t>
  </si>
  <si>
    <t>Massenya</t>
  </si>
  <si>
    <t>B (1,4,12,27):k:1,5</t>
  </si>
  <si>
    <t>F_a_1,6</t>
  </si>
  <si>
    <t>Massilia</t>
  </si>
  <si>
    <t>F (11):a:1,6</t>
  </si>
  <si>
    <t>J_k_e,n,x</t>
  </si>
  <si>
    <t>Matadi</t>
  </si>
  <si>
    <t>J (17):k:e,n,x</t>
  </si>
  <si>
    <t>D2_i_e,n,z15</t>
  </si>
  <si>
    <t>Mathura</t>
  </si>
  <si>
    <t>D2 (9,46):i:e,n,z15</t>
  </si>
  <si>
    <t>N_y_1,2</t>
  </si>
  <si>
    <t>Matopeni</t>
  </si>
  <si>
    <t>N (30):y:1,2</t>
  </si>
  <si>
    <t>J_b_e,n,x</t>
  </si>
  <si>
    <t>Mattenhof</t>
  </si>
  <si>
    <t>J (17):b:e,n,x</t>
  </si>
  <si>
    <t>I_k_1,6</t>
  </si>
  <si>
    <t>Maumee</t>
  </si>
  <si>
    <t>I (16):k:1,6</t>
  </si>
  <si>
    <t>D2_y_z6</t>
  </si>
  <si>
    <t>Mayday</t>
  </si>
  <si>
    <t>D2 (9,46):y:z6</t>
  </si>
  <si>
    <t>C1_z10_e,n,z15</t>
  </si>
  <si>
    <t>Mbandaka</t>
  </si>
  <si>
    <t>C1 (6,7,14):z10:e,n,z15</t>
  </si>
  <si>
    <t>U_i_1,2</t>
  </si>
  <si>
    <t>Mbao</t>
  </si>
  <si>
    <t>U (43):i:1,2</t>
  </si>
  <si>
    <t>W_a_e,n,z15</t>
  </si>
  <si>
    <t>Meekatharra</t>
  </si>
  <si>
    <t>W (45):a:e,n,z15</t>
  </si>
  <si>
    <t>I_b_1,2,5</t>
  </si>
  <si>
    <t>Melaka</t>
  </si>
  <si>
    <t>1,2,5</t>
  </si>
  <si>
    <t>I (16):b:1,2,5</t>
  </si>
  <si>
    <t>T_z_e,n,z15</t>
  </si>
  <si>
    <t>Melbourne</t>
  </si>
  <si>
    <t>T (42):z:e,n,z15</t>
  </si>
  <si>
    <t>E1_,34} e,h_l,w</t>
  </si>
  <si>
    <t>Meleagridis</t>
  </si>
  <si>
    <t>E1 (3,{10}{15}{15):,34} e,h:l,w</t>
  </si>
  <si>
    <t>K_k_1,5</t>
  </si>
  <si>
    <t>Memphis</t>
  </si>
  <si>
    <t>K (18):k:1,5</t>
  </si>
  <si>
    <t>C1_z10_1,2</t>
  </si>
  <si>
    <t>Menden</t>
  </si>
  <si>
    <t>C1 (6,7):z10:1,2</t>
  </si>
  <si>
    <t>D1_l,v_1,2</t>
  </si>
  <si>
    <t>Mendoza</t>
  </si>
  <si>
    <t>D1 (9,12):l,v:1,2</t>
  </si>
  <si>
    <t>C1_g,s,[t]_[1,6]</t>
  </si>
  <si>
    <t>Menston</t>
  </si>
  <si>
    <t>g,s,[t]</t>
  </si>
  <si>
    <t>C1 (6,7):g,s,[t]:[1,6]</t>
  </si>
  <si>
    <t>X_m,t_e,n,z15</t>
  </si>
  <si>
    <t>Mesbit</t>
  </si>
  <si>
    <t>X (47):m,t:e,n,z15</t>
  </si>
  <si>
    <t>51_e,h_1,2</t>
  </si>
  <si>
    <t>Meskin</t>
  </si>
  <si>
    <t>51 (51):e,h:1,2</t>
  </si>
  <si>
    <t>N_d_1,5</t>
  </si>
  <si>
    <t>Messina</t>
  </si>
  <si>
    <t>N (30):d:1,5</t>
  </si>
  <si>
    <t>P_i_1,2</t>
  </si>
  <si>
    <t>Mgulani</t>
  </si>
  <si>
    <t>P (38):i:1,2</t>
  </si>
  <si>
    <t>Miami1</t>
  </si>
  <si>
    <t>D1 (1,9,12):a:1,5</t>
  </si>
  <si>
    <t>J_l,v_1,5</t>
  </si>
  <si>
    <t>J (17):l,v:1,5</t>
  </si>
  <si>
    <t>T_i_z6</t>
  </si>
  <si>
    <t>Middlesbrough</t>
  </si>
  <si>
    <t>T (1,42):i:z6</t>
  </si>
  <si>
    <t>Midway</t>
  </si>
  <si>
    <t>H (6,14,24):d:1,7</t>
  </si>
  <si>
    <t>C1_y_e,n,z15</t>
  </si>
  <si>
    <t>Mikawasima</t>
  </si>
  <si>
    <t>C1 (6,7,14):y:e,n,z15</t>
  </si>
  <si>
    <t>R_l,v_1,2</t>
  </si>
  <si>
    <t>Millesi</t>
  </si>
  <si>
    <t>R (1,40):l,v:1,2</t>
  </si>
  <si>
    <t>U_f,g,[t]_–</t>
  </si>
  <si>
    <t>Milwaukee</t>
  </si>
  <si>
    <t>f,g,[t]</t>
  </si>
  <si>
    <t>U (43):f,g,[t]:–</t>
  </si>
  <si>
    <t>G_a_1,6</t>
  </si>
  <si>
    <t>Mim</t>
  </si>
  <si>
    <t>G (13,22):a:1,6</t>
  </si>
  <si>
    <t>H_c_l,w</t>
  </si>
  <si>
    <t>Minna</t>
  </si>
  <si>
    <t>H (1,6,14,25):c:l,w</t>
  </si>
  <si>
    <t>L_b_e,n,x</t>
  </si>
  <si>
    <t>L (21):b:e,n,x</t>
  </si>
  <si>
    <t>Mishmarhaeme</t>
  </si>
  <si>
    <t>k 1,13,23</t>
  </si>
  <si>
    <t>G (k 1,13,23):d:1,5</t>
  </si>
  <si>
    <t>G (1,13,23):b:1,5</t>
  </si>
  <si>
    <t>F_g,s,t_–</t>
  </si>
  <si>
    <t>F (11):g,s,t:–</t>
  </si>
  <si>
    <t>D1_l,z13_1,7</t>
  </si>
  <si>
    <t>Miyazaki</t>
  </si>
  <si>
    <t>D1 (9,12):l,z13:1,7</t>
  </si>
  <si>
    <t>N_i_e,n,z15</t>
  </si>
  <si>
    <t>Mjordan</t>
  </si>
  <si>
    <t>N (30):i:e,n,z15</t>
  </si>
  <si>
    <t>C1_l,v_1,6</t>
  </si>
  <si>
    <t>Mkamba</t>
  </si>
  <si>
    <t>C1 (6,7):l,v:1,6</t>
  </si>
  <si>
    <t>I_e,h_l,w</t>
  </si>
  <si>
    <t>Moabit</t>
  </si>
  <si>
    <t>I (16):e,h:l,w</t>
  </si>
  <si>
    <t>M_d_e,n,x</t>
  </si>
  <si>
    <t>Mocamedes</t>
  </si>
  <si>
    <t>M (28):d:e,n,x</t>
  </si>
  <si>
    <t>M_b_1,5</t>
  </si>
  <si>
    <t>Moero</t>
  </si>
  <si>
    <t>M (28):b:1,5</t>
  </si>
  <si>
    <t>F_m,t_–</t>
  </si>
  <si>
    <t>Moers</t>
  </si>
  <si>
    <t>F (11):m,t:–</t>
  </si>
  <si>
    <t>E1_y_1,7</t>
  </si>
  <si>
    <t>Mokola</t>
  </si>
  <si>
    <t>E1 (3,10):y:1,7</t>
  </si>
  <si>
    <t>C2-C3_z10_z6</t>
  </si>
  <si>
    <t>Molade</t>
  </si>
  <si>
    <t>C2-C3 (8,20):z10:z6</t>
  </si>
  <si>
    <t>52_b_1,5</t>
  </si>
  <si>
    <t>Molesey</t>
  </si>
  <si>
    <t>52 (52):b:1,5</t>
  </si>
  <si>
    <t>B_l,w_1,5</t>
  </si>
  <si>
    <t>Mono</t>
  </si>
  <si>
    <t>B (4,12):l,w:1,5</t>
  </si>
  <si>
    <t>B_d_l,w</t>
  </si>
  <si>
    <t>Mons</t>
  </si>
  <si>
    <t>B (1,4,12,27):d:l,w</t>
  </si>
  <si>
    <t>Monschaui</t>
  </si>
  <si>
    <t>D2_b_1,2</t>
  </si>
  <si>
    <t>Montaigu</t>
  </si>
  <si>
    <t>D2 (9,46):b:1,2</t>
  </si>
  <si>
    <t>54_4} g,m,s_–</t>
  </si>
  <si>
    <t>Montevideo1</t>
  </si>
  <si>
    <t>{6,7,14}{5</t>
  </si>
  <si>
    <t>4} g,m,s</t>
  </si>
  <si>
    <t>54 ({6,7,14}{5):4} g,m,s:–</t>
  </si>
  <si>
    <t>C1_g,m,[p],s_[1,2,7]</t>
  </si>
  <si>
    <t>Montevideo2</t>
  </si>
  <si>
    <t>g,m,[p],s</t>
  </si>
  <si>
    <t>[1,2,7]</t>
  </si>
  <si>
    <t>C1 (6,7,14):g,m,[p],s:[1,2,7]</t>
  </si>
  <si>
    <t>U_c_1,5</t>
  </si>
  <si>
    <t>Montreal</t>
  </si>
  <si>
    <t>U (43):c:1,5</t>
  </si>
  <si>
    <t>I_m,t_e,n,z15</t>
  </si>
  <si>
    <t>Morbihan</t>
  </si>
  <si>
    <t>I (16):m,t:e,n,z15</t>
  </si>
  <si>
    <t>N_i_1,5</t>
  </si>
  <si>
    <t>Morehead</t>
  </si>
  <si>
    <t>N (30):i:1,5</t>
  </si>
  <si>
    <t>M_m,t_1,6</t>
  </si>
  <si>
    <t>Morillons</t>
  </si>
  <si>
    <t>M (28):m,t:1,6</t>
  </si>
  <si>
    <t>N_c_e,n,z15</t>
  </si>
  <si>
    <t>Morningside</t>
  </si>
  <si>
    <t>N (30):c:e,n,z15</t>
  </si>
  <si>
    <t>H_y_e,n,z15</t>
  </si>
  <si>
    <t>Mornington</t>
  </si>
  <si>
    <t>H (1,6,14,25):y:e,n,z15</t>
  </si>
  <si>
    <t>N_l,z13,z28_e,n,z15</t>
  </si>
  <si>
    <t>Morocco</t>
  </si>
  <si>
    <t>N (30):l,z13,z28:e,n,z15</t>
  </si>
  <si>
    <t>J_l,v_1,2</t>
  </si>
  <si>
    <t>Morotai</t>
  </si>
  <si>
    <t>J (17):l,v:1,2</t>
  </si>
  <si>
    <t>M_z10_l,w</t>
  </si>
  <si>
    <t>Moroto</t>
  </si>
  <si>
    <t>M (28):z10:l,w</t>
  </si>
  <si>
    <t>D1_g,q_–</t>
  </si>
  <si>
    <t>Moscow</t>
  </si>
  <si>
    <t>g,q</t>
  </si>
  <si>
    <t>D1 (1,9,12):g,q:–</t>
  </si>
  <si>
    <t>X_y_1,6</t>
  </si>
  <si>
    <t>Moualine</t>
  </si>
  <si>
    <t>X (47):y:1,6</t>
  </si>
  <si>
    <t>51_l,z28_1,5</t>
  </si>
  <si>
    <t>Moundou</t>
  </si>
  <si>
    <t>51 (51):l,z28:1,5</t>
  </si>
  <si>
    <t>L_r_–</t>
  </si>
  <si>
    <t>Mountmagnet</t>
  </si>
  <si>
    <t>L (21):r:–</t>
  </si>
  <si>
    <t>X_z_1,5</t>
  </si>
  <si>
    <t>Mountpleasant</t>
  </si>
  <si>
    <t>X (47):z:1,5</t>
  </si>
  <si>
    <t>H_i_e,n,z15</t>
  </si>
  <si>
    <t>Moussoro</t>
  </si>
  <si>
    <t>H (1,6,14,25):i:e,n,z15</t>
  </si>
  <si>
    <t>Mowanjum</t>
  </si>
  <si>
    <t>I_m,t_–</t>
  </si>
  <si>
    <t>Mpouto</t>
  </si>
  <si>
    <t>I (16):m,t:–</t>
  </si>
  <si>
    <t>C2-C3_d_1,2</t>
  </si>
  <si>
    <t>Muenchen</t>
  </si>
  <si>
    <t>C2-C3 (6,8):d:1,2</t>
  </si>
  <si>
    <t>E1_,34} e,h_1,5</t>
  </si>
  <si>
    <t>Muenster</t>
  </si>
  <si>
    <t>E1 (3,{10}{15}{15):,34} e,h:1,5</t>
  </si>
  <si>
    <t>V_m,t_–</t>
  </si>
  <si>
    <t>Muguga</t>
  </si>
  <si>
    <t>V (44):m,t:–</t>
  </si>
  <si>
    <t>D1_z_1,2</t>
  </si>
  <si>
    <t>Mulhouse</t>
  </si>
  <si>
    <t>D1 (1,9,12):z:1,2</t>
  </si>
  <si>
    <t>M_d_1,7</t>
  </si>
  <si>
    <t>Mundonobo</t>
  </si>
  <si>
    <t>M (28):d:1,7</t>
  </si>
  <si>
    <t>54_z29_–</t>
  </si>
  <si>
    <t>Mundubbera</t>
  </si>
  <si>
    <t>54 (54):z29:–</t>
  </si>
  <si>
    <t>B_z10_l,w</t>
  </si>
  <si>
    <t>Mura</t>
  </si>
  <si>
    <t>B (1,4,12):z10:l,w</t>
  </si>
  <si>
    <t>B_z91_–</t>
  </si>
  <si>
    <t>Mygdal</t>
  </si>
  <si>
    <t>z91</t>
  </si>
  <si>
    <t>B (4,12):z91:–</t>
  </si>
  <si>
    <t>G_i_1,7</t>
  </si>
  <si>
    <t>Myrria</t>
  </si>
  <si>
    <t>G (13,23):i:1,7</t>
  </si>
  <si>
    <t>D1_g,p,s_–</t>
  </si>
  <si>
    <t>Naestved</t>
  </si>
  <si>
    <t>g,p,s</t>
  </si>
  <si>
    <t>D1 (1,9,12):g,p,s:–</t>
  </si>
  <si>
    <t>Nagoya</t>
  </si>
  <si>
    <t>B_a_z6</t>
  </si>
  <si>
    <t>Nakuru</t>
  </si>
  <si>
    <t>B (1,4,12,27):a:z6</t>
  </si>
  <si>
    <t>C1_c_e,n,x</t>
  </si>
  <si>
    <t>Namibia</t>
  </si>
  <si>
    <t>C1 (6,7):c:e,n,x</t>
  </si>
  <si>
    <t>X_z10_e,n,z15</t>
  </si>
  <si>
    <t>Namoda</t>
  </si>
  <si>
    <t>X (47):z10:e,n,z15</t>
  </si>
  <si>
    <t>Q_z4,z23_–</t>
  </si>
  <si>
    <t>Namur</t>
  </si>
  <si>
    <t>Q (39):z4,z23:–</t>
  </si>
  <si>
    <t>Nanergou</t>
  </si>
  <si>
    <t>C2-C3 (6,8):g,s,t:–</t>
  </si>
  <si>
    <t>G_l,v_e,n,z15</t>
  </si>
  <si>
    <t>Nanga</t>
  </si>
  <si>
    <t>G (1,13,23):l,v:e,n,z15</t>
  </si>
  <si>
    <t>D2_y_l,w</t>
  </si>
  <si>
    <t>Nantes</t>
  </si>
  <si>
    <t>D2 (9,46):y:l,w</t>
  </si>
  <si>
    <t>D1_l,z13_e,n,x</t>
  </si>
  <si>
    <t>Napoli</t>
  </si>
  <si>
    <t>D1 (1,9,12):l,z13:e,n,x</t>
  </si>
  <si>
    <t>Narashino</t>
  </si>
  <si>
    <t>M_l,v_e,n,z15</t>
  </si>
  <si>
    <t>Nashua</t>
  </si>
  <si>
    <t>M (28):l,v:e,n,z15</t>
  </si>
  <si>
    <t>D1_z4,z24_–</t>
  </si>
  <si>
    <t>Natal</t>
  </si>
  <si>
    <t>D1 (9,12):z4,z24:–</t>
  </si>
  <si>
    <t>I_z38_–</t>
  </si>
  <si>
    <t>Naware</t>
  </si>
  <si>
    <t>I (16):z38:–</t>
  </si>
  <si>
    <t>E1_l,v_1,2</t>
  </si>
  <si>
    <t>Nchanga</t>
  </si>
  <si>
    <t>E1 (3,{10}{15}):l,v:1,2</t>
  </si>
  <si>
    <t>H_b_1,2</t>
  </si>
  <si>
    <t>Ndjamena</t>
  </si>
  <si>
    <t>H (1,6,14,25):b:1,2</t>
  </si>
  <si>
    <t>D1_d_1,5</t>
  </si>
  <si>
    <t>Ndolo</t>
  </si>
  <si>
    <t>D1 (1,9,12):d:1,5</t>
  </si>
  <si>
    <t>Neftenbach</t>
  </si>
  <si>
    <t>B (4,12):z:e,n,x</t>
  </si>
  <si>
    <t>H_z10_1,2</t>
  </si>
  <si>
    <t>Nessa</t>
  </si>
  <si>
    <t>H (1,6,14,25):z10:1,2</t>
  </si>
  <si>
    <t>C1_l,z13_1,5</t>
  </si>
  <si>
    <t>Nessziona</t>
  </si>
  <si>
    <t>C1 (6,7):l,z13:1,5</t>
  </si>
  <si>
    <t>N_b_e,n,z15</t>
  </si>
  <si>
    <t>Neudorf</t>
  </si>
  <si>
    <t>N (30):b:e,n,z15</t>
  </si>
  <si>
    <t>C1_l,z13,[z28]_e,n,z15</t>
  </si>
  <si>
    <t>Neukoelln</t>
  </si>
  <si>
    <t>C1 (6,7):l,z13,[z28]:e,n,z15</t>
  </si>
  <si>
    <t>Neumuenster</t>
  </si>
  <si>
    <t>P_z10_[1,5]</t>
  </si>
  <si>
    <t>Neunkirchen</t>
  </si>
  <si>
    <t>P (38):z10:[1,5]</t>
  </si>
  <si>
    <t>54_m,t_–</t>
  </si>
  <si>
    <t>Newholland</t>
  </si>
  <si>
    <t>4,12,54</t>
  </si>
  <si>
    <t>54 (4,12,54):m,t:–</t>
  </si>
  <si>
    <t>Q_k_e,n,x</t>
  </si>
  <si>
    <t>Newjersey</t>
  </si>
  <si>
    <t>Q (39):k:e,n,x</t>
  </si>
  <si>
    <t>E1_e,h_e,n,x</t>
  </si>
  <si>
    <t>Newlands</t>
  </si>
  <si>
    <t>E1 (3,{10}{15,34}):e,h:e,n,x</t>
  </si>
  <si>
    <t>D1_g,z51_1,5</t>
  </si>
  <si>
    <t>Newmexico</t>
  </si>
  <si>
    <t>D1 (9,12):g,z51:1,5</t>
  </si>
  <si>
    <t>Newport</t>
  </si>
  <si>
    <t>6,8,20</t>
  </si>
  <si>
    <t>C2-C3 (6,8,20):e,h:1,2</t>
  </si>
  <si>
    <t>E1_k_l,w</t>
  </si>
  <si>
    <t>Newrochelle</t>
  </si>
  <si>
    <t>E1 (3,10):k:l,w</t>
  </si>
  <si>
    <t>G_g,s,t_–</t>
  </si>
  <si>
    <t>Newyork</t>
  </si>
  <si>
    <t>G (13,22):g,s,t:–</t>
  </si>
  <si>
    <t>D2_z4,z24_–</t>
  </si>
  <si>
    <t>Ngaparou</t>
  </si>
  <si>
    <t>D2 (9,46):z4,z24:–</t>
  </si>
  <si>
    <t>C1_z10_1,7</t>
  </si>
  <si>
    <t>Ngili</t>
  </si>
  <si>
    <t>C1 (6,7):z10:1,7</t>
  </si>
  <si>
    <t>E4_l,v_1,5</t>
  </si>
  <si>
    <t>Ngor</t>
  </si>
  <si>
    <t>E4 (1,3,19):l,v:1,5</t>
  </si>
  <si>
    <t>V_a_1,5</t>
  </si>
  <si>
    <t>Niakhar</t>
  </si>
  <si>
    <t>V (44):a:1,5</t>
  </si>
  <si>
    <t>J_d_l,w</t>
  </si>
  <si>
    <t>Niamey</t>
  </si>
  <si>
    <t>J (17):d:l,w</t>
  </si>
  <si>
    <t>V_a_l,w</t>
  </si>
  <si>
    <t>Niarembe</t>
  </si>
  <si>
    <t>V (44):a:l,w</t>
  </si>
  <si>
    <t>U_b_–</t>
  </si>
  <si>
    <t>Niederoderwitz</t>
  </si>
  <si>
    <t>U (43):b:–</t>
  </si>
  <si>
    <t>C1_d_z6</t>
  </si>
  <si>
    <t>Nieukerk</t>
  </si>
  <si>
    <t>C1 (6,7,14):d:z6</t>
  </si>
  <si>
    <t>C1_r_1,6</t>
  </si>
  <si>
    <t>Nigeria</t>
  </si>
  <si>
    <t>C1 (6,7):r:1,6</t>
  </si>
  <si>
    <t>N_y_e,n,z15</t>
  </si>
  <si>
    <t>Nijmegen</t>
  </si>
  <si>
    <t>N (30):y:e,n,z15</t>
  </si>
  <si>
    <t>I_g,m,s_–</t>
  </si>
  <si>
    <t>Nikolaifleet</t>
  </si>
  <si>
    <t>I (16):g,m,s:–</t>
  </si>
  <si>
    <t>E4_d_z6</t>
  </si>
  <si>
    <t>Niloese</t>
  </si>
  <si>
    <t>E4 (1,3,19):d:z6</t>
  </si>
  <si>
    <t>M_y_1,5</t>
  </si>
  <si>
    <t>Nima</t>
  </si>
  <si>
    <t>M (28):y:1,5</t>
  </si>
  <si>
    <t>Nimes</t>
  </si>
  <si>
    <t>G (13,22):z35:e,n,z15</t>
  </si>
  <si>
    <t>A_g,m_–</t>
  </si>
  <si>
    <t>Nitra</t>
  </si>
  <si>
    <t>A (2,12):g,m:–</t>
  </si>
  <si>
    <t>E4_a_1,5</t>
  </si>
  <si>
    <t>Niumi</t>
  </si>
  <si>
    <t>E4 (1,3,19):a:1,5</t>
  </si>
  <si>
    <t>P_k_e,n,x</t>
  </si>
  <si>
    <t>Njala</t>
  </si>
  <si>
    <t>P (38):k:e,n,x</t>
  </si>
  <si>
    <t>C1_e,h_1,7</t>
  </si>
  <si>
    <t>Nola</t>
  </si>
  <si>
    <t>C1 (6,7):e,h:1,7</t>
  </si>
  <si>
    <t>D2_l,z13,z28_e,n,z15</t>
  </si>
  <si>
    <t>Nordrhein</t>
  </si>
  <si>
    <t>D2 (9,46):l,z13,z28:e,n,z15</t>
  </si>
  <si>
    <t>C2-C3_a_1,7</t>
  </si>
  <si>
    <t>Nordufer</t>
  </si>
  <si>
    <t>C2-C3 (6,8):a:1,7</t>
  </si>
  <si>
    <t>C1_i_l,w</t>
  </si>
  <si>
    <t>Norton</t>
  </si>
  <si>
    <t>C1 (6,7):i:l,w</t>
  </si>
  <si>
    <t>C1_e,h_1,6</t>
  </si>
  <si>
    <t>Norwich</t>
  </si>
  <si>
    <t>C1 (6,7):e,h:1,6</t>
  </si>
  <si>
    <t>I_d_e,n,z15</t>
  </si>
  <si>
    <t>Nottingham</t>
  </si>
  <si>
    <t>I (16):d:e,n,z15</t>
  </si>
  <si>
    <t>Nowawes</t>
  </si>
  <si>
    <t>R (40):z:z6</t>
  </si>
  <si>
    <t>Noya</t>
  </si>
  <si>
    <t>C2-C3 (8):r:1,7</t>
  </si>
  <si>
    <t>I_k_e,n,x</t>
  </si>
  <si>
    <t>Nuatja</t>
  </si>
  <si>
    <t>I (16):k:e,n,x</t>
  </si>
  <si>
    <t>F_z_z6</t>
  </si>
  <si>
    <t>Nyanza</t>
  </si>
  <si>
    <t>F (11):z:z6</t>
  </si>
  <si>
    <t>E1_e,h_1,7</t>
  </si>
  <si>
    <t>Nyborg</t>
  </si>
  <si>
    <t>E1 (3,{10}{15}):e,h:1,7</t>
  </si>
  <si>
    <t>I_a_1,7</t>
  </si>
  <si>
    <t>Nyeko</t>
  </si>
  <si>
    <t>I (16):a:1,7</t>
  </si>
  <si>
    <t>C1_m,t_z64</t>
  </si>
  <si>
    <t>Oakey</t>
  </si>
  <si>
    <t>C1 (6,7):m,t:z64</t>
  </si>
  <si>
    <t>C1_z_1,6,[7]</t>
  </si>
  <si>
    <t>Oakland</t>
  </si>
  <si>
    <t>1,6,[7]</t>
  </si>
  <si>
    <t>C1 (6,7):z:1,6,[7]</t>
  </si>
  <si>
    <t>C1_z4,z23_1,5</t>
  </si>
  <si>
    <t>Obogu</t>
  </si>
  <si>
    <t>C1 (6,7):z4,z23:1,5</t>
  </si>
  <si>
    <t>E4_z38_[e,n,z15]</t>
  </si>
  <si>
    <t>Ochiogu</t>
  </si>
  <si>
    <t>E4 (1,3,19):z38:[e,n,z15]</t>
  </si>
  <si>
    <t>54_k_1,5</t>
  </si>
  <si>
    <t>Ochsenwerder</t>
  </si>
  <si>
    <t>6,7,54</t>
  </si>
  <si>
    <t>54 (6,7,54):k:1,5</t>
  </si>
  <si>
    <t>N_l,z13,z28_1,6</t>
  </si>
  <si>
    <t>Ockenheim</t>
  </si>
  <si>
    <t>N (30):l,z13,z28:1,6</t>
  </si>
  <si>
    <t>R_y_1,5</t>
  </si>
  <si>
    <t>Odienne</t>
  </si>
  <si>
    <t>R (40):y:1,5</t>
  </si>
  <si>
    <t>N_k_e,n,[x],z15</t>
  </si>
  <si>
    <t>Odozi</t>
  </si>
  <si>
    <t>N (30):k:e,n,[x],z15</t>
  </si>
  <si>
    <t>Q_l,v_e,n,z15</t>
  </si>
  <si>
    <t>Oerlikon</t>
  </si>
  <si>
    <t>Q (39):l,v:e,n,z15</t>
  </si>
  <si>
    <t>E4_k_1,5</t>
  </si>
  <si>
    <t>Oesterbro</t>
  </si>
  <si>
    <t>E4 (1,3,19):k:1,5</t>
  </si>
  <si>
    <t>S_z38_–</t>
  </si>
  <si>
    <t>Offa</t>
  </si>
  <si>
    <t>S (41):z38:–</t>
  </si>
  <si>
    <t>Ogbete</t>
  </si>
  <si>
    <t>C1_b_l,w</t>
  </si>
  <si>
    <t>C1 (6,7,14):b:l,w</t>
  </si>
  <si>
    <t>E1_y_e,n,x</t>
  </si>
  <si>
    <t>Ohlstedt</t>
  </si>
  <si>
    <t>E1 (3,{10}{15}):y:e,n,x</t>
  </si>
  <si>
    <t>G_g,[s],t_–</t>
  </si>
  <si>
    <t>Okatie</t>
  </si>
  <si>
    <t>G (13,23):g,[s],t:–</t>
  </si>
  <si>
    <t>E1_c_z6</t>
  </si>
  <si>
    <t>Okefoko</t>
  </si>
  <si>
    <t>E1 (3,10):c:z6</t>
  </si>
  <si>
    <t>E1_z10_1,2</t>
  </si>
  <si>
    <t>Okerara</t>
  </si>
  <si>
    <t>E1 (3,10):z10:1,2</t>
  </si>
  <si>
    <t>I_d_1,2</t>
  </si>
  <si>
    <t>Oldenburg</t>
  </si>
  <si>
    <t>I (16):d:1,2</t>
  </si>
  <si>
    <t>D2_d_e,n,z15</t>
  </si>
  <si>
    <t>Olten</t>
  </si>
  <si>
    <t>D2 (9,46):d:e,n,z15</t>
  </si>
  <si>
    <t>Omifisan</t>
  </si>
  <si>
    <t>R (1,40):z29:–</t>
  </si>
  <si>
    <t>C1_z10_z35</t>
  </si>
  <si>
    <t>Omuna</t>
  </si>
  <si>
    <t>C1 (6,7):z10:z35</t>
  </si>
  <si>
    <t>M_g,s,t_–</t>
  </si>
  <si>
    <t>Ona</t>
  </si>
  <si>
    <t>M (28):g,s,t:–</t>
  </si>
  <si>
    <t>D1_b_1,2</t>
  </si>
  <si>
    <t>Onarimon</t>
  </si>
  <si>
    <t>D1 (1,9,12):b:1,2</t>
  </si>
  <si>
    <t>Onderstepoort</t>
  </si>
  <si>
    <t>H (1,6,14,[25]):e,h:1,5</t>
  </si>
  <si>
    <t>E1_d_1,7</t>
  </si>
  <si>
    <t>Onireke</t>
  </si>
  <si>
    <t>E1 (3,10):d:1,7</t>
  </si>
  <si>
    <t>D2_d_1,5</t>
  </si>
  <si>
    <t>D2 (9,46):d:1,5</t>
  </si>
  <si>
    <t>P_a_e,n,z15</t>
  </si>
  <si>
    <t>Oran</t>
  </si>
  <si>
    <t>P (38):a:e,n,z15</t>
  </si>
  <si>
    <t>C1_m,t_[z57]</t>
  </si>
  <si>
    <t>Oranienburg</t>
  </si>
  <si>
    <t>[z57]</t>
  </si>
  <si>
    <t>C1 (6,7,14):m,t:[z57]</t>
  </si>
  <si>
    <t>T_b_1,6</t>
  </si>
  <si>
    <t>Orbe</t>
  </si>
  <si>
    <t>T (42):b:1,6</t>
  </si>
  <si>
    <t>52_a_e,n,z15</t>
  </si>
  <si>
    <t>Ord</t>
  </si>
  <si>
    <t>52 (52):a:e,n,z15</t>
  </si>
  <si>
    <t>G_y_l,w</t>
  </si>
  <si>
    <t>Ordonez</t>
  </si>
  <si>
    <t>G (1,13,23):y:l,w</t>
  </si>
  <si>
    <t>I_k_e,n,z15</t>
  </si>
  <si>
    <t>Orientalis</t>
  </si>
  <si>
    <t>I (16):k:e,n,z15</t>
  </si>
  <si>
    <t>E1_,34} y_1,5</t>
  </si>
  <si>
    <t>Orion</t>
  </si>
  <si>
    <t>,34} y</t>
  </si>
  <si>
    <t>E1 (3,{10}{15}{15):,34} y:1,5</t>
  </si>
  <si>
    <t>C1_i_1,5</t>
  </si>
  <si>
    <t>Oritamerin</t>
  </si>
  <si>
    <t>C1 (6,7):i:1,5</t>
  </si>
  <si>
    <t>K_l,v_e,n,z15</t>
  </si>
  <si>
    <t>Orlando</t>
  </si>
  <si>
    <t>K (18):l,v:e,n,z15</t>
  </si>
  <si>
    <t>U_d_1,5</t>
  </si>
  <si>
    <t>Orleans</t>
  </si>
  <si>
    <t>U (43):d:1,5</t>
  </si>
  <si>
    <t>D1_a_1,6</t>
  </si>
  <si>
    <t>Os</t>
  </si>
  <si>
    <t>D1 (9,12):a:1,6</t>
  </si>
  <si>
    <t>M_y_1,2</t>
  </si>
  <si>
    <t>Oskarshamn</t>
  </si>
  <si>
    <t>M (28):y:1,2</t>
  </si>
  <si>
    <t>C1_a_e,n,x</t>
  </si>
  <si>
    <t>Oslo</t>
  </si>
  <si>
    <t>C1 (6,7,14):a:e,n,x</t>
  </si>
  <si>
    <t>F_l,z13,z28_e,n,x</t>
  </si>
  <si>
    <t>Osnabrueck</t>
  </si>
  <si>
    <t>F (11):l,z13,z28:e,n,x</t>
  </si>
  <si>
    <t>C1_g,m,[t]_–</t>
  </si>
  <si>
    <t>Othmarschen</t>
  </si>
  <si>
    <t>C1 (6,7,14):g,m,[t]:–</t>
  </si>
  <si>
    <t>D1_z41_1,5</t>
  </si>
  <si>
    <t>Ottawa</t>
  </si>
  <si>
    <t>D1 (1,9,12):z41:1,5</t>
  </si>
  <si>
    <t>E4_i_1,5</t>
  </si>
  <si>
    <t>Ouagadougou</t>
  </si>
  <si>
    <t>E4 (1,3,19):i:1,5</t>
  </si>
  <si>
    <t>D2_z29_–</t>
  </si>
  <si>
    <t>Ouakam</t>
  </si>
  <si>
    <t>D2 (9,46):z29:–</t>
  </si>
  <si>
    <t>Oudwijk</t>
  </si>
  <si>
    <t>G (13,22):b:1,6</t>
  </si>
  <si>
    <t>R_l,w_[1,2]</t>
  </si>
  <si>
    <t>Overchurch</t>
  </si>
  <si>
    <t>R (1,40):l,w:[1,2]</t>
  </si>
  <si>
    <t>51_l,v_1,5</t>
  </si>
  <si>
    <t>Overschie</t>
  </si>
  <si>
    <t>51 (51):l,v:1,5</t>
  </si>
  <si>
    <t>N_a_1,2</t>
  </si>
  <si>
    <t>Overvecht</t>
  </si>
  <si>
    <t>N (30):a:1,2</t>
  </si>
  <si>
    <t>E1_a_1,7</t>
  </si>
  <si>
    <t>Oxford</t>
  </si>
  <si>
    <t>E1 (3,{10}{15}{15,34}):a:1,7</t>
  </si>
  <si>
    <t>C1_y_1,6</t>
  </si>
  <si>
    <t>Oyonnax</t>
  </si>
  <si>
    <t>C1 (6,7):y:1,6</t>
  </si>
  <si>
    <t>Pakistan</t>
  </si>
  <si>
    <t>C2-C3 (8):l,v:1,2</t>
  </si>
  <si>
    <t>V_d_z35</t>
  </si>
  <si>
    <t>Palamaner</t>
  </si>
  <si>
    <t>V (1,44):d:z35</t>
  </si>
  <si>
    <t>C1_z35_e,n,z15</t>
  </si>
  <si>
    <t>Palime</t>
  </si>
  <si>
    <t>C1 (6,7):z35:e,n,z15</t>
  </si>
  <si>
    <t>Panama4</t>
  </si>
  <si>
    <t>D1 (1,9,12):l,v:1,5</t>
  </si>
  <si>
    <t>C1_r_e,n,z15</t>
  </si>
  <si>
    <t>Papuana</t>
  </si>
  <si>
    <t>C1 (6,7):r:e,n,z15</t>
  </si>
  <si>
    <t>T_l,w_z35</t>
  </si>
  <si>
    <t>Parakou</t>
  </si>
  <si>
    <t>T (1,42):l,w:z35</t>
  </si>
  <si>
    <t>A_a_[1,5]</t>
  </si>
  <si>
    <t>Paratyphi A</t>
  </si>
  <si>
    <t>A (1,2,12):a:[1,5]</t>
  </si>
  <si>
    <t>B_b_1,2</t>
  </si>
  <si>
    <t>Paratyphi B2</t>
  </si>
  <si>
    <t>B (1,4,[5],12):b:1,2</t>
  </si>
  <si>
    <t>Paratyphi C1</t>
  </si>
  <si>
    <t>6,7,[Vi]</t>
  </si>
  <si>
    <t>C1 (6,7,[Vi]):c:1,5</t>
  </si>
  <si>
    <t>Paris</t>
  </si>
  <si>
    <t>C2-C3 (8,20):z10:1,5</t>
  </si>
  <si>
    <t>E4_l,v_1,7</t>
  </si>
  <si>
    <t>Parkroyal</t>
  </si>
  <si>
    <t>E4 (1,3,19):l,v:1,7</t>
  </si>
  <si>
    <t>B_z35_1,5</t>
  </si>
  <si>
    <t>Pasing</t>
  </si>
  <si>
    <t>B (4,12):z35:1,5</t>
  </si>
  <si>
    <t>M_d_e,n,z15</t>
  </si>
  <si>
    <t>Patience</t>
  </si>
  <si>
    <t>M (28):d:e,n,z15</t>
  </si>
  <si>
    <t>D1_z35_z6</t>
  </si>
  <si>
    <t>Penarth</t>
  </si>
  <si>
    <t>D1 (9,12):z35:z6</t>
  </si>
  <si>
    <t>M_l,z13,z28_e,n,z15</t>
  </si>
  <si>
    <t>Penilla</t>
  </si>
  <si>
    <t>M (28):l,z13,z28:e,n,z15</t>
  </si>
  <si>
    <t>D1_m,t_[1,2]</t>
  </si>
  <si>
    <t>Pensacola</t>
  </si>
  <si>
    <t>D1 (1,9,12):m,t:[1,2]</t>
  </si>
  <si>
    <t>P_y_e,n,x</t>
  </si>
  <si>
    <t>Perth</t>
  </si>
  <si>
    <t>P (38):y:e,n,x</t>
  </si>
  <si>
    <t>E4_f,g,t_1,7</t>
  </si>
  <si>
    <t>Petahtikve</t>
  </si>
  <si>
    <t>E4 (1,3,19):f,g,t:1,7</t>
  </si>
  <si>
    <t>Phaliron</t>
  </si>
  <si>
    <t>C2-C3 (8):z:e,n,z15</t>
  </si>
  <si>
    <t>F_b_e,n,z15</t>
  </si>
  <si>
    <t>Pharr</t>
  </si>
  <si>
    <t>F (11):b:e,n,z15</t>
  </si>
  <si>
    <t>Picpus</t>
  </si>
  <si>
    <t>G (13,23):z35:1,6</t>
  </si>
  <si>
    <t>E1_z69_1,7</t>
  </si>
  <si>
    <t>Pietersburg</t>
  </si>
  <si>
    <t>z69</t>
  </si>
  <si>
    <t>E1 (3,{10}{15,34}):z69:1,7</t>
  </si>
  <si>
    <t>I_i_l,w</t>
  </si>
  <si>
    <t>Pisa</t>
  </si>
  <si>
    <t>I (16):i:l,w</t>
  </si>
  <si>
    <t>C1_z4,z23_1,6</t>
  </si>
  <si>
    <t>Planckendael</t>
  </si>
  <si>
    <t>C1 (6,7):z4,z23:1,6</t>
  </si>
  <si>
    <t>V_z4,z23_e,n,z15</t>
  </si>
  <si>
    <t>Ploufragan</t>
  </si>
  <si>
    <t>V (1,44):z4,z23:e,n,z15</t>
  </si>
  <si>
    <t>C1_g,s,q_–</t>
  </si>
  <si>
    <t>Plumaugat</t>
  </si>
  <si>
    <t>g,s,q</t>
  </si>
  <si>
    <t>C1 (6,7):g,s,q:–</t>
  </si>
  <si>
    <t>D2_d_z6</t>
  </si>
  <si>
    <t>Plymouth</t>
  </si>
  <si>
    <t>D2 (9,46):d:z6</t>
  </si>
  <si>
    <t>H_z_l,z13,z28</t>
  </si>
  <si>
    <t>Poano</t>
  </si>
  <si>
    <t>H ([1],6,14,[25]):z:l,z13,z28</t>
  </si>
  <si>
    <t>E1_z10_e,n,x</t>
  </si>
  <si>
    <t>Podiensis</t>
  </si>
  <si>
    <t>E1 (3,10):z10:e,n,x</t>
  </si>
  <si>
    <t>54_i_z6</t>
  </si>
  <si>
    <t>Poeseldorf</t>
  </si>
  <si>
    <t>8,20,54</t>
  </si>
  <si>
    <t>54 (8,20,54):i:z6</t>
  </si>
  <si>
    <t>Poitiers</t>
  </si>
  <si>
    <t>M_y_1,7</t>
  </si>
  <si>
    <t>Pomona</t>
  </si>
  <si>
    <t>M (28):y:1,7</t>
  </si>
  <si>
    <t>K_g,m_–</t>
  </si>
  <si>
    <t>Pontypridd</t>
  </si>
  <si>
    <t>K (18):g,m:–</t>
  </si>
  <si>
    <t>Poona</t>
  </si>
  <si>
    <t>G (1,13,22):z:1,6</t>
  </si>
  <si>
    <t>Portanigra</t>
  </si>
  <si>
    <t>C2-C3 (8,20):d:1,7</t>
  </si>
  <si>
    <t>D1_z10_1,5</t>
  </si>
  <si>
    <t>Portland</t>
  </si>
  <si>
    <t>D1 (9,12):z10:1,5</t>
  </si>
  <si>
    <t>K_z_–</t>
  </si>
  <si>
    <t>Potengi</t>
  </si>
  <si>
    <t>K (18):z:–</t>
  </si>
  <si>
    <t>H_z36_1,5</t>
  </si>
  <si>
    <t>Potosi</t>
  </si>
  <si>
    <t>H (6,14):z36:1,5</t>
  </si>
  <si>
    <t>C1_l,v_e,n,z15</t>
  </si>
  <si>
    <t>Potsdam</t>
  </si>
  <si>
    <t>C1 (6,7,14):l,v:e,n,z15</t>
  </si>
  <si>
    <t>D2_i_z6</t>
  </si>
  <si>
    <t>Potto</t>
  </si>
  <si>
    <t>D2 (9,46):i:z6</t>
  </si>
  <si>
    <t>D1_y_1,7</t>
  </si>
  <si>
    <t>Powell</t>
  </si>
  <si>
    <t>D1 (9,12):y:1,7</t>
  </si>
  <si>
    <t>C2-C3_y_e,n,z15</t>
  </si>
  <si>
    <t>Praha</t>
  </si>
  <si>
    <t>C2-C3 (6,8):y:e,n,z15</t>
  </si>
  <si>
    <t>E1_c_1,7</t>
  </si>
  <si>
    <t>Pramiso</t>
  </si>
  <si>
    <t>E1 (3,10):c:1,7</t>
  </si>
  <si>
    <t>C2-C3_b_e,n,z15</t>
  </si>
  <si>
    <t>Presov</t>
  </si>
  <si>
    <t>C2-C3 (6,8):b:e,n,z15</t>
  </si>
  <si>
    <t>B_z_l,w</t>
  </si>
  <si>
    <t>Preston</t>
  </si>
  <si>
    <t>B (1,4,12):z:l,w</t>
  </si>
  <si>
    <t>F_k_1,2</t>
  </si>
  <si>
    <t>Pretoria</t>
  </si>
  <si>
    <t>F (11):k:1,2</t>
  </si>
  <si>
    <t>G_d_l,w</t>
  </si>
  <si>
    <t>Putten</t>
  </si>
  <si>
    <t>G (13,23):d:l,w</t>
  </si>
  <si>
    <t>V_c_e,n,z15</t>
  </si>
  <si>
    <t>V (44):c:e,n,z15</t>
  </si>
  <si>
    <t>D2_d_1,6</t>
  </si>
  <si>
    <t>Quentin</t>
  </si>
  <si>
    <t>D2 (9,46):d:1,6</t>
  </si>
  <si>
    <t>N_r_1,6</t>
  </si>
  <si>
    <t>Quincy</t>
  </si>
  <si>
    <t>N (30):r:1,6</t>
  </si>
  <si>
    <t>X_z44_–</t>
  </si>
  <si>
    <t>Quinhon</t>
  </si>
  <si>
    <t>X (47):z44:–</t>
  </si>
  <si>
    <t>C2-C3_c_e,n,z15</t>
  </si>
  <si>
    <t>Quiniela</t>
  </si>
  <si>
    <t>C2-C3 (6,8):c:e,n,z15</t>
  </si>
  <si>
    <t>N_k_1,5</t>
  </si>
  <si>
    <t>Ramatgan</t>
  </si>
  <si>
    <t>N (30):k:1,5</t>
  </si>
  <si>
    <t>M_l,w_1,6</t>
  </si>
  <si>
    <t>Ramsey</t>
  </si>
  <si>
    <t>M (28):l,w:1,6</t>
  </si>
  <si>
    <t>E1_z35_1,6</t>
  </si>
  <si>
    <t>Ratchaburi</t>
  </si>
  <si>
    <t>E1 (3,10):z35:1,6</t>
  </si>
  <si>
    <t>G_f,g_e,n,x</t>
  </si>
  <si>
    <t>Raus</t>
  </si>
  <si>
    <t>G (13,22):f,g:e,n,x</t>
  </si>
  <si>
    <t>K_c_e,n,x</t>
  </si>
  <si>
    <t>Rawash</t>
  </si>
  <si>
    <t>K (6,14,18):c:e,n,x</t>
  </si>
  <si>
    <t>B_e,h_1,5</t>
  </si>
  <si>
    <t>Reading4</t>
  </si>
  <si>
    <t>B (1,4,[5],12):e,h:1,5</t>
  </si>
  <si>
    <t>C2-C3_e,h_z6</t>
  </si>
  <si>
    <t>Rechovot</t>
  </si>
  <si>
    <t>C2-C3 (8,20):e,h:z6</t>
  </si>
  <si>
    <t>C1_z10_z6</t>
  </si>
  <si>
    <t>Redba</t>
  </si>
  <si>
    <t>C1 (6,7):z10:z6</t>
  </si>
  <si>
    <t>F_e,h_l,z13,z28</t>
  </si>
  <si>
    <t>Redhill</t>
  </si>
  <si>
    <t>F (11):e,h:l,z13,z28</t>
  </si>
  <si>
    <t>I_z10_e,n,z15</t>
  </si>
  <si>
    <t>Redlands</t>
  </si>
  <si>
    <t>I (16):z10:e,n,z15</t>
  </si>
  <si>
    <t>E1_f,g,[s]_[1,6]</t>
  </si>
  <si>
    <t>Regent</t>
  </si>
  <si>
    <t>E1 (3,10):f,g,[s]:[1,6]</t>
  </si>
  <si>
    <t>B_l,z28_e,n,x</t>
  </si>
  <si>
    <t>Reinickendorf</t>
  </si>
  <si>
    <t>B (4,12):l,z28:e,n,x</t>
  </si>
  <si>
    <t>F_z4,z23_1,6</t>
  </si>
  <si>
    <t>Remete</t>
  </si>
  <si>
    <t>F (11):z4,z23:1,6</t>
  </si>
  <si>
    <t>C2-C3_z10_l,w</t>
  </si>
  <si>
    <t>Remiremont</t>
  </si>
  <si>
    <t>C2-C3 (8,20):z10:l,w</t>
  </si>
  <si>
    <t>B_r_1,7</t>
  </si>
  <si>
    <t>Remo</t>
  </si>
  <si>
    <t>B (1,4,12,27):r:1,7</t>
  </si>
  <si>
    <t>C2-C3_g,m,t_–</t>
  </si>
  <si>
    <t>Reubeuss</t>
  </si>
  <si>
    <t>C2-C3 (8,20):g,m,t:–</t>
  </si>
  <si>
    <t>Rhone</t>
  </si>
  <si>
    <t>I_e,h_e,n,x</t>
  </si>
  <si>
    <t>Rhydyfelin</t>
  </si>
  <si>
    <t>I (16):e,h:e,n,x</t>
  </si>
  <si>
    <t>C1_y_1,2</t>
  </si>
  <si>
    <t>Richmond</t>
  </si>
  <si>
    <t>C1 (6,7):y:1,2</t>
  </si>
  <si>
    <t>E4_f,g_–</t>
  </si>
  <si>
    <t>Rideau</t>
  </si>
  <si>
    <t>E4 (1,3,19):f,g:–</t>
  </si>
  <si>
    <t>D1_c_z6</t>
  </si>
  <si>
    <t>Ridge</t>
  </si>
  <si>
    <t>D1 (9,12):c:z6</t>
  </si>
  <si>
    <t>G_z4,z23_[e,n,z15]</t>
  </si>
  <si>
    <t>Ried</t>
  </si>
  <si>
    <t>G (1,13,22):z4,z23:[e,n,z15]</t>
  </si>
  <si>
    <t>C1_g,(t)_–</t>
  </si>
  <si>
    <t>Riggil</t>
  </si>
  <si>
    <t>g,(t)</t>
  </si>
  <si>
    <t>C1 (6,7):g,(t):–</t>
  </si>
  <si>
    <t>R_b_1,5</t>
  </si>
  <si>
    <t>Riogrande</t>
  </si>
  <si>
    <t>R (40):b:1,5</t>
  </si>
  <si>
    <t>C1_f,g_–</t>
  </si>
  <si>
    <t>Rissen</t>
  </si>
  <si>
    <t>C1 (6,7,14):f,g:–</t>
  </si>
  <si>
    <t>P_b_e,n,z15</t>
  </si>
  <si>
    <t>Rittersbach</t>
  </si>
  <si>
    <t>P (38):b:e,n,z15</t>
  </si>
  <si>
    <t>W_b_1,5</t>
  </si>
  <si>
    <t>Riverside</t>
  </si>
  <si>
    <t>W (45):b:1,5</t>
  </si>
  <si>
    <t>P_l,v_e,n,x</t>
  </si>
  <si>
    <t>Roan</t>
  </si>
  <si>
    <t>P (38):l,v:e,n,x</t>
  </si>
  <si>
    <t>Z_b_e,n,x</t>
  </si>
  <si>
    <t>Rochdale</t>
  </si>
  <si>
    <t>Z (50):b:e,n,x</t>
  </si>
  <si>
    <t>M_z10_1,2</t>
  </si>
  <si>
    <t>Rogy</t>
  </si>
  <si>
    <t>M (28):z10:1,2</t>
  </si>
  <si>
    <t>Romanby</t>
  </si>
  <si>
    <t>G (1,13,23):z4,z24:–</t>
  </si>
  <si>
    <t>G_z10_1,5</t>
  </si>
  <si>
    <t>Roodepoort</t>
  </si>
  <si>
    <t>G (1,13,22):z10:1,5</t>
  </si>
  <si>
    <t>D1_g,z85_–</t>
  </si>
  <si>
    <t>Rosenberg</t>
  </si>
  <si>
    <t>g,z85</t>
  </si>
  <si>
    <t>D1 (9,12):g,z85:–</t>
  </si>
  <si>
    <t>54_e,h_1,6</t>
  </si>
  <si>
    <t>Rossleben</t>
  </si>
  <si>
    <t>3,54</t>
  </si>
  <si>
    <t>54 (3,54):e,h:1,6</t>
  </si>
  <si>
    <t>D1_g,p,u_–</t>
  </si>
  <si>
    <t>Rostock</t>
  </si>
  <si>
    <t>g,p,u</t>
  </si>
  <si>
    <t>D1 (1,9,12):g,p,u:–</t>
  </si>
  <si>
    <t>P_m,t_–</t>
  </si>
  <si>
    <t>Rothenburgsort</t>
  </si>
  <si>
    <t>P (38):m,t:–</t>
  </si>
  <si>
    <t>G_b_1,7</t>
  </si>
  <si>
    <t>Rottnest</t>
  </si>
  <si>
    <t>G (1,13,22):b:1,7</t>
  </si>
  <si>
    <t>I_r,i_1,5</t>
  </si>
  <si>
    <t>Rovaniemi</t>
  </si>
  <si>
    <t>I (16):r,i:1,5</t>
  </si>
  <si>
    <t>H_z_e,n,z15</t>
  </si>
  <si>
    <t>Royan</t>
  </si>
  <si>
    <t>H (1,6,14,25):z:e,n,z15</t>
  </si>
  <si>
    <t>D1_z10_e,n,z15</t>
  </si>
  <si>
    <t>Ruanda</t>
  </si>
  <si>
    <t>D1 (9,12):z10:e,n,z15</t>
  </si>
  <si>
    <t>F_r_e,n,x</t>
  </si>
  <si>
    <t>Rubislaw</t>
  </si>
  <si>
    <t>F (11):r:e,n,x</t>
  </si>
  <si>
    <t>L_y_e,n,x</t>
  </si>
  <si>
    <t>Ruiru</t>
  </si>
  <si>
    <t>L (21):y:e,n,x</t>
  </si>
  <si>
    <t>C1_z38_1,2</t>
  </si>
  <si>
    <t>Rumford</t>
  </si>
  <si>
    <t>C1 (6,7):z38:1,2</t>
  </si>
  <si>
    <t>H_c_e,n,x</t>
  </si>
  <si>
    <t>Runby</t>
  </si>
  <si>
    <t>H (1,6,14,25):c:e,n,x</t>
  </si>
  <si>
    <t>E1_l,v_e,n,z15</t>
  </si>
  <si>
    <t>Ruzizi</t>
  </si>
  <si>
    <t>E1 (3,10):l,v:e,n,z15</t>
  </si>
  <si>
    <t>D1_a_1,7</t>
  </si>
  <si>
    <t>Saarbruecken</t>
  </si>
  <si>
    <t>D1 (1,9,12):a:1,7</t>
  </si>
  <si>
    <t>I_e,h_1,5</t>
  </si>
  <si>
    <t>Saboya</t>
  </si>
  <si>
    <t>I (16):e,h:1,5</t>
  </si>
  <si>
    <t>N_z10_1,2</t>
  </si>
  <si>
    <t>Sada</t>
  </si>
  <si>
    <t>N (30):z10:1,2</t>
  </si>
  <si>
    <t>Saintemarie</t>
  </si>
  <si>
    <t>B_e,h_1,2</t>
  </si>
  <si>
    <t>Saintpaul</t>
  </si>
  <si>
    <t>B (1,4,[5],12):e,h:1,2</t>
  </si>
  <si>
    <t>I_l,v_e,n,x</t>
  </si>
  <si>
    <t>Salford</t>
  </si>
  <si>
    <t>I (16):l,v:e,n,x</t>
  </si>
  <si>
    <t>R_a_1,7</t>
  </si>
  <si>
    <t>Salinas</t>
  </si>
  <si>
    <t>R (40):a:1,7</t>
  </si>
  <si>
    <t>S_z_1,6</t>
  </si>
  <si>
    <t>Sally</t>
  </si>
  <si>
    <t>S (41):z:1,6</t>
  </si>
  <si>
    <t>I_z29_–</t>
  </si>
  <si>
    <t>Saloniki</t>
  </si>
  <si>
    <t>I (16):z29:–</t>
  </si>
  <si>
    <t>S_i_1,5</t>
  </si>
  <si>
    <t>Samaru</t>
  </si>
  <si>
    <t>S (41):i:1,5</t>
  </si>
  <si>
    <t>E4_z4,z24_–</t>
  </si>
  <si>
    <t>Sambre</t>
  </si>
  <si>
    <t>E4 (1,3,19):z4,z24:–</t>
  </si>
  <si>
    <t>E1_z38_1,2</t>
  </si>
  <si>
    <t>Sandaga</t>
  </si>
  <si>
    <t>E1 (3,10):z38:1,2</t>
  </si>
  <si>
    <t>B_e,h_e,n,z15</t>
  </si>
  <si>
    <t>Sandiego</t>
  </si>
  <si>
    <t>B (1,4,[5],12):e,h:e,n,z15</t>
  </si>
  <si>
    <t>C2-C3_f,g_e,n,z15</t>
  </si>
  <si>
    <t>Sandow</t>
  </si>
  <si>
    <t>C2-C3 (6,8):f,g:e,n,z15</t>
  </si>
  <si>
    <t>Sanga</t>
  </si>
  <si>
    <t>C2-C3 (8):b:1,7</t>
  </si>
  <si>
    <t>D2_m,t_–</t>
  </si>
  <si>
    <t>Sangalkam</t>
  </si>
  <si>
    <t>D2 (9,46):m,t:–</t>
  </si>
  <si>
    <t>I_b_e,n,z15</t>
  </si>
  <si>
    <t>Sangera</t>
  </si>
  <si>
    <t>I (16):b:e,n,z15</t>
  </si>
  <si>
    <t>Sanjuan</t>
  </si>
  <si>
    <t>C1 (6,7):a:1,5</t>
  </si>
  <si>
    <t>M_r,[i]_e,n,z15</t>
  </si>
  <si>
    <t>Sanktgeorg</t>
  </si>
  <si>
    <t>M (28):r,[i]:e,n,z15</t>
  </si>
  <si>
    <t>G_b_l,w</t>
  </si>
  <si>
    <t>Sanktjohann</t>
  </si>
  <si>
    <t>G (13,23):b:l,w</t>
  </si>
  <si>
    <t>E4_e,h_1,7</t>
  </si>
  <si>
    <t>Sanktmarx</t>
  </si>
  <si>
    <t>E4 (1,3,19):e,h:1,7</t>
  </si>
  <si>
    <t>M_z35_e,n,z15</t>
  </si>
  <si>
    <t>Santander</t>
  </si>
  <si>
    <t>M (28):z35:e,n,z15</t>
  </si>
  <si>
    <t>R_l,z28_1,6</t>
  </si>
  <si>
    <t>Santhiaba</t>
  </si>
  <si>
    <t>R (40):l,z28:1,6</t>
  </si>
  <si>
    <t>Santiago</t>
  </si>
  <si>
    <t>C2-C3 (8,20):c:e,n,x</t>
  </si>
  <si>
    <t>E4_e,h_e,n,z15</t>
  </si>
  <si>
    <t>Sao</t>
  </si>
  <si>
    <t>E4 (1,3,19):e,h:e,n,z15</t>
  </si>
  <si>
    <t>G_z10_e,n,z15</t>
  </si>
  <si>
    <t>Sapele</t>
  </si>
  <si>
    <t>G (13,23):z10:e,n,z15</t>
  </si>
  <si>
    <t>I_y_1,5</t>
  </si>
  <si>
    <t>Saphra</t>
  </si>
  <si>
    <t>I (16):y:1,5</t>
  </si>
  <si>
    <t>H_z38_[e,n,x]</t>
  </si>
  <si>
    <t>Sara</t>
  </si>
  <si>
    <t>H (1,6,14,25):z38:[e,n,x]</t>
  </si>
  <si>
    <t>B_ d_e,n,x</t>
  </si>
  <si>
    <t>Sarajane</t>
  </si>
  <si>
    <t xml:space="preserve"> d</t>
  </si>
  <si>
    <t>B (1,4,[5],12,[27]): d:e,n,x</t>
  </si>
  <si>
    <t>R_b_1,7</t>
  </si>
  <si>
    <t>Saugus</t>
  </si>
  <si>
    <t>R (40):b:1,7</t>
  </si>
  <si>
    <t>N_k_l,z13,z28</t>
  </si>
  <si>
    <t>Scarborough</t>
  </si>
  <si>
    <t>N (30):k:l,z13,z28</t>
  </si>
  <si>
    <t>Schalkwijk</t>
  </si>
  <si>
    <t>H (6,14,[24]):i:e,n,z15</t>
  </si>
  <si>
    <t>B_b_–</t>
  </si>
  <si>
    <t>Schleissheim3</t>
  </si>
  <si>
    <t>B (4,12,27):b:–</t>
  </si>
  <si>
    <t>E4_z_e,n,z15</t>
  </si>
  <si>
    <t>Schoeneberg</t>
  </si>
  <si>
    <t>E4 (1,3,19):z:e,n,z15</t>
  </si>
  <si>
    <t>C1_c_1,7</t>
  </si>
  <si>
    <t>Schwabach</t>
  </si>
  <si>
    <t>C1 (6,7):c:1,7</t>
  </si>
  <si>
    <t>B_d_1,7</t>
  </si>
  <si>
    <t>Schwarzengrund</t>
  </si>
  <si>
    <t>d 1,4,12,27</t>
  </si>
  <si>
    <t>B (d 1,4,12,27):d:1,7</t>
  </si>
  <si>
    <t>C2-C3_k_e,n,x</t>
  </si>
  <si>
    <t>Schwerin</t>
  </si>
  <si>
    <t>C2-C3 (6,8):k:e,n,x</t>
  </si>
  <si>
    <t>Sculcoates</t>
  </si>
  <si>
    <t>Seattle</t>
  </si>
  <si>
    <t>V_b_e,n,z15</t>
  </si>
  <si>
    <t>Sedgwick</t>
  </si>
  <si>
    <t>V (44):b:e,n,z15</t>
  </si>
  <si>
    <t>E1_r,i_1,2</t>
  </si>
  <si>
    <t>Seegefeld</t>
  </si>
  <si>
    <t>E1 (3,10):r,i:1,2</t>
  </si>
  <si>
    <t>E1_e,h_z6</t>
  </si>
  <si>
    <t>Sekondi</t>
  </si>
  <si>
    <t>E1 (3,10):e,h:z6</t>
  </si>
  <si>
    <t>M_y_z6</t>
  </si>
  <si>
    <t>Selby</t>
  </si>
  <si>
    <t>M (28):y:z6</t>
  </si>
  <si>
    <t>Sendai1</t>
  </si>
  <si>
    <t>F_r_1,5</t>
  </si>
  <si>
    <t>Senegal</t>
  </si>
  <si>
    <t>F (11):r:1,5</t>
  </si>
  <si>
    <t>E4_g,[s],t_–</t>
  </si>
  <si>
    <t>Senftenberg</t>
  </si>
  <si>
    <t>E4 (1,3,19):g,[s],t:–</t>
  </si>
  <si>
    <t>N_z10_1,5</t>
  </si>
  <si>
    <t>Senneville</t>
  </si>
  <si>
    <t>N (30):z10:1,5</t>
  </si>
  <si>
    <t>D1_i_1,5</t>
  </si>
  <si>
    <t>Seremban</t>
  </si>
  <si>
    <t>D1 (9,12):i:1,5</t>
  </si>
  <si>
    <t>E1_k_1,7</t>
  </si>
  <si>
    <t>Serrekunda</t>
  </si>
  <si>
    <t>E1 (3,10):k:1,7</t>
  </si>
  <si>
    <t>V_b_1,6</t>
  </si>
  <si>
    <t>Shahalam</t>
  </si>
  <si>
    <t>V (44):b:1,6</t>
  </si>
  <si>
    <t>I_c_e,n,x</t>
  </si>
  <si>
    <t>Shamba</t>
  </si>
  <si>
    <t>I (16):c:e,n,x</t>
  </si>
  <si>
    <t>E1_d_1,5</t>
  </si>
  <si>
    <t>Shangani</t>
  </si>
  <si>
    <t>E1 (3,{10}{15}):d:1,5</t>
  </si>
  <si>
    <t>I_l,v_1,6</t>
  </si>
  <si>
    <t>Shanghai</t>
  </si>
  <si>
    <t>I (16):l,v:1,6</t>
  </si>
  <si>
    <t>E1_z35_l,w</t>
  </si>
  <si>
    <t>Shannon</t>
  </si>
  <si>
    <t>E1 (3,10):z35:l,w</t>
  </si>
  <si>
    <t>F_k_1,6</t>
  </si>
  <si>
    <t>Sharon</t>
  </si>
  <si>
    <t>F (11):k:1,6</t>
  </si>
  <si>
    <t>P_c_1,5</t>
  </si>
  <si>
    <t>Sheffield</t>
  </si>
  <si>
    <t>P (38):c:1,5</t>
  </si>
  <si>
    <t>I_d_1,6</t>
  </si>
  <si>
    <t>Sherbrooke</t>
  </si>
  <si>
    <t>I (16):d:1,6</t>
  </si>
  <si>
    <t>R_a_1,5</t>
  </si>
  <si>
    <t>Shikmonah</t>
  </si>
  <si>
    <t>R (40):a:1,5</t>
  </si>
  <si>
    <t>Shipley</t>
  </si>
  <si>
    <t>C2-C3 (8,20):b:e,n,z15</t>
  </si>
  <si>
    <t>M_y_l,w</t>
  </si>
  <si>
    <t>Shomolu</t>
  </si>
  <si>
    <t>M (28):y:l,w</t>
  </si>
  <si>
    <t>D2_r_e,n,z15</t>
  </si>
  <si>
    <t>Shoreditch</t>
  </si>
  <si>
    <t>D2 (9,46):r:e,n,z15</t>
  </si>
  <si>
    <t>B_z_1,2</t>
  </si>
  <si>
    <t>Shubra</t>
  </si>
  <si>
    <t>B (4,[5],12):z:1,2</t>
  </si>
  <si>
    <t>S_b_e,n,z15</t>
  </si>
  <si>
    <t>Sica</t>
  </si>
  <si>
    <t>S (41):b:e,n,z15</t>
  </si>
  <si>
    <t>E1_r_e,n,z15</t>
  </si>
  <si>
    <t>Simi</t>
  </si>
  <si>
    <t>E1 (3,10):r:e,n,z15</t>
  </si>
  <si>
    <t>E1_l,v_z35</t>
  </si>
  <si>
    <t>Sinchew</t>
  </si>
  <si>
    <t>E1 (3,10):l,v:z35</t>
  </si>
  <si>
    <t>Sindelfingen</t>
  </si>
  <si>
    <t>C2-C3 (8,20):y:l,w</t>
  </si>
  <si>
    <t>C1_k_e,n,x</t>
  </si>
  <si>
    <t>Singapore</t>
  </si>
  <si>
    <t>C1 (6,7):k:e,n,x</t>
  </si>
  <si>
    <t>E1_l,v_1,5</t>
  </si>
  <si>
    <t>Sinstorf</t>
  </si>
  <si>
    <t>E1 (3,10):l,v:1,5</t>
  </si>
  <si>
    <t>K_z38_–</t>
  </si>
  <si>
    <t>Sinthia</t>
  </si>
  <si>
    <t>K (18):z38:–</t>
  </si>
  <si>
    <t>T_r_e,n,z15</t>
  </si>
  <si>
    <t>Sipane</t>
  </si>
  <si>
    <t>T (1,42):r:e,n,z15</t>
  </si>
  <si>
    <t>Skansen</t>
  </si>
  <si>
    <t>C2-C3 (6,8):b:1,2</t>
  </si>
  <si>
    <t>E4_y_e,n,z15</t>
  </si>
  <si>
    <t>Slade</t>
  </si>
  <si>
    <t>E4 (1,3,19):y:e,n,z15</t>
  </si>
  <si>
    <t>X_f,g_–</t>
  </si>
  <si>
    <t>Sljeme</t>
  </si>
  <si>
    <t>X (1,47):f,g:–</t>
  </si>
  <si>
    <t>B_z35_z6</t>
  </si>
  <si>
    <t>Sloterdijk</t>
  </si>
  <si>
    <t>B (1,4,12,27):z35:z6</t>
  </si>
  <si>
    <t>H_z_e,n,x</t>
  </si>
  <si>
    <t>Soahanina</t>
  </si>
  <si>
    <t>H (6,14,24):z:e,n,x</t>
  </si>
  <si>
    <t>N_i_l,w</t>
  </si>
  <si>
    <t>Soerenga</t>
  </si>
  <si>
    <t>N (30):i:l,w</t>
  </si>
  <si>
    <t>D2_r_z6</t>
  </si>
  <si>
    <t>Sokode</t>
  </si>
  <si>
    <t>D2 (9,46):r:z6</t>
  </si>
  <si>
    <t>M_a_1,5</t>
  </si>
  <si>
    <t>Solna</t>
  </si>
  <si>
    <t>M (28):a:1,5</t>
  </si>
  <si>
    <t>F_y_1,5</t>
  </si>
  <si>
    <t>Solt</t>
  </si>
  <si>
    <t>F (11):y:1,5</t>
  </si>
  <si>
    <t>Somone</t>
  </si>
  <si>
    <t>D2_d_z35</t>
  </si>
  <si>
    <t>Sontheim</t>
  </si>
  <si>
    <t>D2 (9,46):d:z35</t>
  </si>
  <si>
    <t>Soumbedioune</t>
  </si>
  <si>
    <t>B_r_z6</t>
  </si>
  <si>
    <t>Southampton</t>
  </si>
  <si>
    <t>B (4,12,27):r:z6</t>
  </si>
  <si>
    <t>E1_,34} m,t_[1,6]</t>
  </si>
  <si>
    <t>Southbank</t>
  </si>
  <si>
    <t>,34} m,t</t>
  </si>
  <si>
    <t>E1 (3,{10}{15}{15):,34} m,t:[1,6]</t>
  </si>
  <si>
    <t>Souza</t>
  </si>
  <si>
    <t>E1 (3,{10}{15}):d:e,n,x</t>
  </si>
  <si>
    <t>T_y_e,n,z15</t>
  </si>
  <si>
    <t>Spalentor</t>
  </si>
  <si>
    <t>T (1,42):y:e,n,z15</t>
  </si>
  <si>
    <t>L_d_1,5</t>
  </si>
  <si>
    <t>Spartel</t>
  </si>
  <si>
    <t>L (21):d:1,5</t>
  </si>
  <si>
    <t>V_g,s,t_[1,7]</t>
  </si>
  <si>
    <t>Splott</t>
  </si>
  <si>
    <t>V (44):g,s,t:[1,7]</t>
  </si>
  <si>
    <t>P_z_–</t>
  </si>
  <si>
    <t>Stachus</t>
  </si>
  <si>
    <t>P (38):z:–</t>
  </si>
  <si>
    <t>B_d_1,2</t>
  </si>
  <si>
    <t>Stanley</t>
  </si>
  <si>
    <t>B (1,4,[5],12,[27]):d:1,2</t>
  </si>
  <si>
    <t>B_ z4,z23_[1,2]</t>
  </si>
  <si>
    <t>Stanleyville</t>
  </si>
  <si>
    <t xml:space="preserve"> z4,z23</t>
  </si>
  <si>
    <t>B (1,4,[5],12,[27]): z4,z23:[1,2]</t>
  </si>
  <si>
    <t>X_k_1,2</t>
  </si>
  <si>
    <t>Staoueli</t>
  </si>
  <si>
    <t>X (47):k:1,2</t>
  </si>
  <si>
    <t>N_y_1,6</t>
  </si>
  <si>
    <t>Steinplatz</t>
  </si>
  <si>
    <t>N (30):y:1,6</t>
  </si>
  <si>
    <t>54_y_1,5</t>
  </si>
  <si>
    <t>Steinwerder</t>
  </si>
  <si>
    <t>3,15,54</t>
  </si>
  <si>
    <t>54 (3,15,54):y:1,5</t>
  </si>
  <si>
    <t>X_d_e,n,x</t>
  </si>
  <si>
    <t>Stellingen</t>
  </si>
  <si>
    <t>X (47):d:e,n,x</t>
  </si>
  <si>
    <t>F_l,v_1,2</t>
  </si>
  <si>
    <t>Stendal</t>
  </si>
  <si>
    <t>F (11):l,v:1,2</t>
  </si>
  <si>
    <t>N_g,s,t_–</t>
  </si>
  <si>
    <t>Sternschanze</t>
  </si>
  <si>
    <t>N (30):g,s,t:–</t>
  </si>
  <si>
    <t>C2-C3_d_e,n,x</t>
  </si>
  <si>
    <t>Sterrenbos</t>
  </si>
  <si>
    <t>C2-C3 (6,8):d:e,n,x</t>
  </si>
  <si>
    <t>E1_y_z6</t>
  </si>
  <si>
    <t>Stockholm</t>
  </si>
  <si>
    <t>E1 (3,{10}{15}):y:z6</t>
  </si>
  <si>
    <t>N_z4,z23_–</t>
  </si>
  <si>
    <t>Stoneferry</t>
  </si>
  <si>
    <t>N (30):z4,z23:–</t>
  </si>
  <si>
    <t>E1_d_1,2</t>
  </si>
  <si>
    <t>Stormont</t>
  </si>
  <si>
    <t>E1 (3,10):d:1,2</t>
  </si>
  <si>
    <t>C2-C3_b_1,6</t>
  </si>
  <si>
    <t>Stourbridge</t>
  </si>
  <si>
    <t>C2-C3 (6,8):b:1,6</t>
  </si>
  <si>
    <t>F_z10_1,5</t>
  </si>
  <si>
    <t>Straengnaes</t>
  </si>
  <si>
    <t>F (11):z10:1,5</t>
  </si>
  <si>
    <t>D2_d_1,7</t>
  </si>
  <si>
    <t>Strasbourg</t>
  </si>
  <si>
    <t>D2 (9,46):d:1,7</t>
  </si>
  <si>
    <t>E4_i_1,2</t>
  </si>
  <si>
    <t>Stratford</t>
  </si>
  <si>
    <t>E4 (1,3,19):i:1,2</t>
  </si>
  <si>
    <t>C1_l,z13,z28_1,7</t>
  </si>
  <si>
    <t>Strathcona</t>
  </si>
  <si>
    <t>C1 (6,7):l,z13,z28:1,7</t>
  </si>
  <si>
    <t>E4_l,[z13],z28_1,5</t>
  </si>
  <si>
    <t>Stuivenberg</t>
  </si>
  <si>
    <t>E4 (1,3,19):l,[z13],z28:1,5</t>
  </si>
  <si>
    <t>C1_i_z6</t>
  </si>
  <si>
    <t>Stuttgart</t>
  </si>
  <si>
    <t>C1 (6,7,14):i:z6</t>
  </si>
  <si>
    <t>E1_g,m_–</t>
  </si>
  <si>
    <t>Suberu</t>
  </si>
  <si>
    <t>E1 (3,10):g,m:–</t>
  </si>
  <si>
    <t>U_l,z13_–</t>
  </si>
  <si>
    <t>Sudan</t>
  </si>
  <si>
    <t>U (43):l,z13:–</t>
  </si>
  <si>
    <t>W_f,g_–</t>
  </si>
  <si>
    <t>Suelldorf</t>
  </si>
  <si>
    <t>W (45):f,g:–</t>
  </si>
  <si>
    <t>Sundsvall</t>
  </si>
  <si>
    <t>H ([1],6,14,[25]):z:e,n,x</t>
  </si>
  <si>
    <t>Sunnycove</t>
  </si>
  <si>
    <t>C2-C3 (8):y:e,n,x</t>
  </si>
  <si>
    <t>H_r,[i]_e,n,z15</t>
  </si>
  <si>
    <t>Surat</t>
  </si>
  <si>
    <t>H ([1],6,14,[25]):r,[i]:e,n,z15</t>
  </si>
  <si>
    <t>L_k_1,(2),5</t>
  </si>
  <si>
    <t>Surrey</t>
  </si>
  <si>
    <t>1,(2),5</t>
  </si>
  <si>
    <t>L (21):k:1,(2),5</t>
  </si>
  <si>
    <t>E4_l,v_e,n,z15</t>
  </si>
  <si>
    <t>Svedvi</t>
  </si>
  <si>
    <t>E4 (1,3,19):l,v:e,n,z15</t>
  </si>
  <si>
    <t>Sya</t>
  </si>
  <si>
    <t>H_g,p_–</t>
  </si>
  <si>
    <t>Sylvania</t>
  </si>
  <si>
    <t>H ([1],6,14,[25]):g,p:–</t>
  </si>
  <si>
    <t>I_k_1,2</t>
  </si>
  <si>
    <t>Szentes</t>
  </si>
  <si>
    <t>I (16):k:1,2</t>
  </si>
  <si>
    <t>X_z4,z23_e,n,z15</t>
  </si>
  <si>
    <t>Tabligbo</t>
  </si>
  <si>
    <t>X (47):z4,z23:e,n,z15</t>
  </si>
  <si>
    <t>C2-C3_c_z6</t>
  </si>
  <si>
    <t>Tado</t>
  </si>
  <si>
    <t>C2-C3 (8,20):c:z6</t>
  </si>
  <si>
    <t>B_z35_1,7</t>
  </si>
  <si>
    <t>Tafo</t>
  </si>
  <si>
    <t>B (1,4,12,27):z35:1,7</t>
  </si>
  <si>
    <t>G_l,z13_e,n,z15</t>
  </si>
  <si>
    <t>Taiping</t>
  </si>
  <si>
    <t>G (13,22):l,z13:e,n,z15</t>
  </si>
  <si>
    <t>Takoradi</t>
  </si>
  <si>
    <t>C2-C3 (6,8):i:1,5</t>
  </si>
  <si>
    <t>E4_i_z6</t>
  </si>
  <si>
    <t>Taksony</t>
  </si>
  <si>
    <t>E4 (1,3,19):i:z6</t>
  </si>
  <si>
    <t>C2-C3_z4,z32_–</t>
  </si>
  <si>
    <t>Tallahassee</t>
  </si>
  <si>
    <t>C2-C3 (6,8):z4,z32:–</t>
  </si>
  <si>
    <t>C2-C3_z29_[e,n,z15]</t>
  </si>
  <si>
    <t>Tamale</t>
  </si>
  <si>
    <t>C2-C3 (8,20):z29:[e,n,z15]</t>
  </si>
  <si>
    <t>E4_b_e,n,x</t>
  </si>
  <si>
    <t>Tambacounda</t>
  </si>
  <si>
    <t>E4 (1,3,19):b:e,n,x</t>
  </si>
  <si>
    <t>X_z4,z24_–</t>
  </si>
  <si>
    <t>Tamberma</t>
  </si>
  <si>
    <t>X (47):z4,z24:–</t>
  </si>
  <si>
    <t>C1_z41_z35</t>
  </si>
  <si>
    <t>Tamilnadu</t>
  </si>
  <si>
    <t>C1 (6,7):z41:z35</t>
  </si>
  <si>
    <t>C1_z36_e,n,z15</t>
  </si>
  <si>
    <t>Tampico</t>
  </si>
  <si>
    <t>C1 (6,7):z36:e,n,z15</t>
  </si>
  <si>
    <t>Tananarive</t>
  </si>
  <si>
    <t>C2-C3 (6,8):y:1,5</t>
  </si>
  <si>
    <t>G_y_1,6</t>
  </si>
  <si>
    <t>Tanger</t>
  </si>
  <si>
    <t>G (1,13,22):y:1,6</t>
  </si>
  <si>
    <t>G_z_e,n,z15</t>
  </si>
  <si>
    <t>Tanzania</t>
  </si>
  <si>
    <t>G (1,13,22):z:e,n,z15</t>
  </si>
  <si>
    <t>D1_d_1,6</t>
  </si>
  <si>
    <t>Tarshyne</t>
  </si>
  <si>
    <t>D1 (9,12):d:1,6</t>
  </si>
  <si>
    <t>T_z41_–</t>
  </si>
  <si>
    <t>Taset</t>
  </si>
  <si>
    <t>T (1,42):z41:–</t>
  </si>
  <si>
    <t>M_k_e,n,x</t>
  </si>
  <si>
    <t>Taunton</t>
  </si>
  <si>
    <t>M (28):k:e,n,x</t>
  </si>
  <si>
    <t>P_l,v_e,n,z15</t>
  </si>
  <si>
    <t>Taylor</t>
  </si>
  <si>
    <t>P (38):l,v:e,n,z15</t>
  </si>
  <si>
    <t>O_b_–</t>
  </si>
  <si>
    <t>Tchad</t>
  </si>
  <si>
    <t>O (35):b:–</t>
  </si>
  <si>
    <t>J_z_e,n,z15</t>
  </si>
  <si>
    <t>Tchamba</t>
  </si>
  <si>
    <t>J (17):z:e,n,z15</t>
  </si>
  <si>
    <t>M_c_z6</t>
  </si>
  <si>
    <t>Techimani</t>
  </si>
  <si>
    <t>M (28):c:z6</t>
  </si>
  <si>
    <t>B_y_1,7</t>
  </si>
  <si>
    <t>Teddington</t>
  </si>
  <si>
    <t>B (1,4,12,27):y:1,7</t>
  </si>
  <si>
    <t>I_f,g_–</t>
  </si>
  <si>
    <t>Tees</t>
  </si>
  <si>
    <t>I (16):f,g:–</t>
  </si>
  <si>
    <t>B_z36_–</t>
  </si>
  <si>
    <t>Tejas</t>
  </si>
  <si>
    <t>B (4,12):z36:–</t>
  </si>
  <si>
    <t>H_d_e,n,z15</t>
  </si>
  <si>
    <t>Teko</t>
  </si>
  <si>
    <t>H ([1],6,14,[25]):d:e,n,z15</t>
  </si>
  <si>
    <t>M_y_e,n,z15</t>
  </si>
  <si>
    <t>Telaviv</t>
  </si>
  <si>
    <t>M (28):y:e,n,z15</t>
  </si>
  <si>
    <t>Telelkebir</t>
  </si>
  <si>
    <t>G (13,23):d:e,n,z15</t>
  </si>
  <si>
    <t>F_z10_e,n,x</t>
  </si>
  <si>
    <t>Telhashomer</t>
  </si>
  <si>
    <t>F (11):z10:e,n,x</t>
  </si>
  <si>
    <t>M_z4,z23_1,6</t>
  </si>
  <si>
    <t>Teltow</t>
  </si>
  <si>
    <t>M (28):z4,z23:1,6</t>
  </si>
  <si>
    <t>T_z35_z6</t>
  </si>
  <si>
    <t>Tema</t>
  </si>
  <si>
    <t>T (1,42):z35:z6</t>
  </si>
  <si>
    <t>N_b_1,7</t>
  </si>
  <si>
    <t>Tempe</t>
  </si>
  <si>
    <t>N (30):b:1,7</t>
  </si>
  <si>
    <t>J_y_e,n,x</t>
  </si>
  <si>
    <t>Tendeba</t>
  </si>
  <si>
    <t>J (17):y:e,n,x</t>
  </si>
  <si>
    <t>K_r_1,5</t>
  </si>
  <si>
    <t>Tennenlohe</t>
  </si>
  <si>
    <t>K (18):r:1,5</t>
  </si>
  <si>
    <t>C1_z29_[1,2,7]</t>
  </si>
  <si>
    <t>C1 (6,7,14):z29:[1,2,7]</t>
  </si>
  <si>
    <t>B_g,z51_e,n,z15</t>
  </si>
  <si>
    <t>Tennyson</t>
  </si>
  <si>
    <t>B (4,[5],12):g,z51:e,n,z15</t>
  </si>
  <si>
    <t>X_l,z13,z28_e,n,z15</t>
  </si>
  <si>
    <t>Teshie</t>
  </si>
  <si>
    <t>X (1,47):l,z13,z28:e,n,z15</t>
  </si>
  <si>
    <t>B_k_e,n,z15</t>
  </si>
  <si>
    <t>B (4,[5],12):k:e,n,z15</t>
  </si>
  <si>
    <t>B_z41_1,(2),5</t>
  </si>
  <si>
    <t>Thayngen</t>
  </si>
  <si>
    <t>B (1,4,12,27):z41:1,(2),5</t>
  </si>
  <si>
    <t>U_k_1,2</t>
  </si>
  <si>
    <t>Thetford</t>
  </si>
  <si>
    <t>U (43):k:1,2</t>
  </si>
  <si>
    <t>P_e,h_1,2</t>
  </si>
  <si>
    <t>Thiaroye</t>
  </si>
  <si>
    <t>P (38):e,h:1,2</t>
  </si>
  <si>
    <t>E4_y_1,7</t>
  </si>
  <si>
    <t>Thies</t>
  </si>
  <si>
    <t>E4 (1,3,19):y:1,7</t>
  </si>
  <si>
    <t>C1_k_1,5</t>
  </si>
  <si>
    <t>Thompson3</t>
  </si>
  <si>
    <t>C1 (6,7,14):k:1,5</t>
  </si>
  <si>
    <t>E1_i_1,6</t>
  </si>
  <si>
    <t>Tibati</t>
  </si>
  <si>
    <t>E1 (3,10):i:1,6</t>
  </si>
  <si>
    <t>C1_z35_1,6</t>
  </si>
  <si>
    <t>Tienba</t>
  </si>
  <si>
    <t>C1 (6,7):z35:1,6</t>
  </si>
  <si>
    <t>V_a_e,n,x</t>
  </si>
  <si>
    <t>Tiergarten</t>
  </si>
  <si>
    <t>V (44):a:e,n,x</t>
  </si>
  <si>
    <t>R_l,z13,z28_1,2</t>
  </si>
  <si>
    <t>Tiko</t>
  </si>
  <si>
    <t>R (1,40):l,z13,z28:1,2</t>
  </si>
  <si>
    <t>E4_d_l,w</t>
  </si>
  <si>
    <t>Tilburg</t>
  </si>
  <si>
    <t>E4 (1,3,19):d:l,w</t>
  </si>
  <si>
    <t>R_e,h_1,2</t>
  </si>
  <si>
    <t>Tilene</t>
  </si>
  <si>
    <t>R (1,40):e,h:1,2</t>
  </si>
  <si>
    <t>B_a_e,n,z15</t>
  </si>
  <si>
    <t>Tinda</t>
  </si>
  <si>
    <t>B (1,4,12,27):a:e,n,z15</t>
  </si>
  <si>
    <t>51_a_e,n,x</t>
  </si>
  <si>
    <t>Tione</t>
  </si>
  <si>
    <t>51 (51):a:e,n,x</t>
  </si>
  <si>
    <t>I_a_e,n,x</t>
  </si>
  <si>
    <t>Togba</t>
  </si>
  <si>
    <t>I (16):a:e,n,x</t>
  </si>
  <si>
    <t>B_l,w_1,6</t>
  </si>
  <si>
    <t>Togo</t>
  </si>
  <si>
    <t>B (4,12):l,w:1,6</t>
  </si>
  <si>
    <t>B_z10_e,n,z15</t>
  </si>
  <si>
    <t>Tokoin</t>
  </si>
  <si>
    <t>B (4,12):z10:e,n,z15</t>
  </si>
  <si>
    <t>T_b_e,n,z15</t>
  </si>
  <si>
    <t>Tomegbe</t>
  </si>
  <si>
    <t>T (1,42):b:e,n,z15</t>
  </si>
  <si>
    <t>E4_l,z28_1,7</t>
  </si>
  <si>
    <t>Tomelilla</t>
  </si>
  <si>
    <t>E4 (1,3,19):l,z28:1,7</t>
  </si>
  <si>
    <t>54_b_e,n,x</t>
  </si>
  <si>
    <t>Tonev</t>
  </si>
  <si>
    <t>21,54</t>
  </si>
  <si>
    <t>54 (21,54):b:e,n,x</t>
  </si>
  <si>
    <t>F_a_1,7</t>
  </si>
  <si>
    <t>Toowong</t>
  </si>
  <si>
    <t>F (11):a:1,7</t>
  </si>
  <si>
    <t>N_e,h_1,5</t>
  </si>
  <si>
    <t>Torhout</t>
  </si>
  <si>
    <t>N (30):e,h:1,5</t>
  </si>
  <si>
    <t>Toricada</t>
  </si>
  <si>
    <t>W_g,m,[s],[t_] –</t>
  </si>
  <si>
    <t>Tornow</t>
  </si>
  <si>
    <t>W (45):g,m,[s],[t:] –</t>
  </si>
  <si>
    <t>D2_l,v_e,n,x</t>
  </si>
  <si>
    <t>Toronto</t>
  </si>
  <si>
    <t>D2 (9,46):l,v:e,n,x</t>
  </si>
  <si>
    <t>Toucra</t>
  </si>
  <si>
    <t>K_l,w_e,n,z15</t>
  </si>
  <si>
    <t>Toulon</t>
  </si>
  <si>
    <t>K (18):l,w:e,n,z15</t>
  </si>
  <si>
    <t>Tounouma</t>
  </si>
  <si>
    <t>C2-C3 (8,20):b:z6</t>
  </si>
  <si>
    <t>F_l,z13_1,2</t>
  </si>
  <si>
    <t>Tours</t>
  </si>
  <si>
    <t>F (11):l,z13:1,2</t>
  </si>
  <si>
    <t>B_y_1,5</t>
  </si>
  <si>
    <t>Trachau</t>
  </si>
  <si>
    <t>B (4,12,27):y:1,5</t>
  </si>
  <si>
    <t>Transvaal</t>
  </si>
  <si>
    <t>B_g,z51_1,7</t>
  </si>
  <si>
    <t>Travis</t>
  </si>
  <si>
    <t>B (4,[5],12):g,z51:1,7</t>
  </si>
  <si>
    <t>51_z_1,6</t>
  </si>
  <si>
    <t>Treforest</t>
  </si>
  <si>
    <t>51 (1,51):z:1,6</t>
  </si>
  <si>
    <t>D1_z10_z6</t>
  </si>
  <si>
    <t>Treguier</t>
  </si>
  <si>
    <t>D1 (9,12):z10:z6</t>
  </si>
  <si>
    <t>I_z35_1,6</t>
  </si>
  <si>
    <t>Trier</t>
  </si>
  <si>
    <t>I (16):z35:1,6</t>
  </si>
  <si>
    <t>D2_z35_z6</t>
  </si>
  <si>
    <t>Trimdon</t>
  </si>
  <si>
    <t>D2 (9,46):z35:z6</t>
  </si>
  <si>
    <t>B_b_z6</t>
  </si>
  <si>
    <t>Tripoli</t>
  </si>
  <si>
    <t>B (1,4,12,27):b:z6</t>
  </si>
  <si>
    <t>R_z10_z6</t>
  </si>
  <si>
    <t>Trotha</t>
  </si>
  <si>
    <t>R (40):z10:z6</t>
  </si>
  <si>
    <t>K_y_1,7</t>
  </si>
  <si>
    <t>Troy</t>
  </si>
  <si>
    <t>K (18):y:1,7</t>
  </si>
  <si>
    <t>E1_i_1,7</t>
  </si>
  <si>
    <t>Truro</t>
  </si>
  <si>
    <t>E1 (3,10):i:1,7</t>
  </si>
  <si>
    <t>G_e,h_1,5</t>
  </si>
  <si>
    <t>Tschangu</t>
  </si>
  <si>
    <t>G (1,13,23):e,h:1,5</t>
  </si>
  <si>
    <t>B_i_e,n,z15</t>
  </si>
  <si>
    <t>Tsevie</t>
  </si>
  <si>
    <t>B (1,4,12):i:e,n,z15</t>
  </si>
  <si>
    <t>C2-C3_e,h_e,n,z15</t>
  </si>
  <si>
    <t>Tshiongwe</t>
  </si>
  <si>
    <t>C2-C3 (6,8):e,h:e,n,z15</t>
  </si>
  <si>
    <t>H_b_1,7</t>
  </si>
  <si>
    <t>Tucson</t>
  </si>
  <si>
    <t>H ([1],6,14,[25]):b:1,7</t>
  </si>
  <si>
    <t>B_z10_1,6</t>
  </si>
  <si>
    <t>Tudu</t>
  </si>
  <si>
    <t>B (4,12):z10:1,6</t>
  </si>
  <si>
    <t>B_i_z6</t>
  </si>
  <si>
    <t>Tumodi</t>
  </si>
  <si>
    <t>B (1,4,12):i:z6</t>
  </si>
  <si>
    <t>G_y_z6</t>
  </si>
  <si>
    <t>Tunis</t>
  </si>
  <si>
    <t>G (1,13,23):y:z6</t>
  </si>
  <si>
    <t>D1_d_–</t>
  </si>
  <si>
    <t>Typhi2</t>
  </si>
  <si>
    <t>9,12[Vi]</t>
  </si>
  <si>
    <t>D1 (9,12[Vi]):d:–</t>
  </si>
  <si>
    <t>B_i_1,2</t>
  </si>
  <si>
    <t>Typhimurium</t>
  </si>
  <si>
    <t>B (1,4,[5],12):i:1,2</t>
  </si>
  <si>
    <t>Typhisuis1</t>
  </si>
  <si>
    <t>B_l,[z13],z28_1,5</t>
  </si>
  <si>
    <t>Tyresoe</t>
  </si>
  <si>
    <t>B (1,4,12,[27]):l,[z13],z28:1,5</t>
  </si>
  <si>
    <t>54_g,s,t_–</t>
  </si>
  <si>
    <t>Uccle</t>
  </si>
  <si>
    <t>54 (3,54):g,s,t:–</t>
  </si>
  <si>
    <t>E1_l,z13_1,5</t>
  </si>
  <si>
    <t>Uganda</t>
  </si>
  <si>
    <t>E1 (3,{10}{15}):l,z13:1,5</t>
  </si>
  <si>
    <t>E1_r_1,5</t>
  </si>
  <si>
    <t>Ughelli</t>
  </si>
  <si>
    <t>E1 (3,10):r:1,5</t>
  </si>
  <si>
    <t>V_z_l,w</t>
  </si>
  <si>
    <t>Uhlenhorst</t>
  </si>
  <si>
    <t>V (44):z:l,w</t>
  </si>
  <si>
    <t>52_a_1,5</t>
  </si>
  <si>
    <t>Uithof</t>
  </si>
  <si>
    <t>52 (52):a:1,5</t>
  </si>
  <si>
    <t>G_b_e,n,x</t>
  </si>
  <si>
    <t>Ullevi</t>
  </si>
  <si>
    <t>G (1,13,23):b:e,n,x</t>
  </si>
  <si>
    <t>E4_d_1,2</t>
  </si>
  <si>
    <t>Umbadah</t>
  </si>
  <si>
    <t>E4 (1,3,19):d:1,2</t>
  </si>
  <si>
    <t>M_z10_e,n,x</t>
  </si>
  <si>
    <t>Umbilo</t>
  </si>
  <si>
    <t>M (28):z10:e,n,x</t>
  </si>
  <si>
    <t>C1_a_1,6</t>
  </si>
  <si>
    <t>Umhlali</t>
  </si>
  <si>
    <t>C1 (6,7):a:1,6</t>
  </si>
  <si>
    <t>O_a_e,n,z15</t>
  </si>
  <si>
    <t>Umhlatazana</t>
  </si>
  <si>
    <t>O (35):a:e,n,z15</t>
  </si>
  <si>
    <t>Uno</t>
  </si>
  <si>
    <t>C2-C3 (6,8):z29:[e,n,z15]</t>
  </si>
  <si>
    <t>B_b_1,7</t>
  </si>
  <si>
    <t>Uppsala</t>
  </si>
  <si>
    <t>B (1,4,12,27):b:1,7</t>
  </si>
  <si>
    <t>N_b_e,n,x</t>
  </si>
  <si>
    <t>Urbana</t>
  </si>
  <si>
    <t>N (30):b:e,n,x</t>
  </si>
  <si>
    <t>T_z_1,6</t>
  </si>
  <si>
    <t>Ursenbach</t>
  </si>
  <si>
    <t>T (1,42):z:1,6</t>
  </si>
  <si>
    <t>K_d_1,7</t>
  </si>
  <si>
    <t>Usumbura</t>
  </si>
  <si>
    <t>K (6,14,18):d:1,7</t>
  </si>
  <si>
    <t>C2-C3 (6,8):c:1,5</t>
  </si>
  <si>
    <t>52_d_1,5</t>
  </si>
  <si>
    <t>Utrecht</t>
  </si>
  <si>
    <t>52 (52):d:1,5</t>
  </si>
  <si>
    <t>Uzaramo</t>
  </si>
  <si>
    <t>H (1,6,14,25):z4,z24:–</t>
  </si>
  <si>
    <t>G_i_–</t>
  </si>
  <si>
    <t>G (1,13,22):i:–</t>
  </si>
  <si>
    <t>G_r_–</t>
  </si>
  <si>
    <t>G (13,22):r:–</t>
  </si>
  <si>
    <t>G_z39__</t>
  </si>
  <si>
    <t>G (13,22):z39:_</t>
  </si>
  <si>
    <t>H_e,n,z15_–</t>
  </si>
  <si>
    <t>H (6,14):e,n,z15:–</t>
  </si>
  <si>
    <t>R_z35_–</t>
  </si>
  <si>
    <t>R (1,40):z35:–</t>
  </si>
  <si>
    <t>R_z81_–</t>
  </si>
  <si>
    <t>R (1,40):z81:–</t>
  </si>
  <si>
    <t>V_r_–</t>
  </si>
  <si>
    <t>V (44):r:–</t>
  </si>
  <si>
    <t>V_z39_–</t>
  </si>
  <si>
    <t>V (44):z39:–</t>
  </si>
  <si>
    <t>Y_b_–</t>
  </si>
  <si>
    <t>Y (48):b:–</t>
  </si>
  <si>
    <t>Y_i_–</t>
  </si>
  <si>
    <t>Y (48):i:–</t>
  </si>
  <si>
    <t>Y_z35_–</t>
  </si>
  <si>
    <t>Y (48):z35:–</t>
  </si>
  <si>
    <t>Y_z39_–</t>
  </si>
  <si>
    <t>Y (48):z39:–</t>
  </si>
  <si>
    <t>Y_z41_–</t>
  </si>
  <si>
    <t>Y (48):z41:–</t>
  </si>
  <si>
    <t>Y_z65_–</t>
  </si>
  <si>
    <t>Y (48):z65:–</t>
  </si>
  <si>
    <t>Y_z81_–</t>
  </si>
  <si>
    <t>Y (48):z81:–</t>
  </si>
  <si>
    <t>60_z41_–</t>
  </si>
  <si>
    <t>60 (60):z41:–</t>
  </si>
  <si>
    <t>61_z35_–</t>
  </si>
  <si>
    <t>61 (61):z35:–</t>
  </si>
  <si>
    <t>66_z35_–</t>
  </si>
  <si>
    <t>66 (66):z35:–</t>
  </si>
  <si>
    <t>Group O:66</t>
  </si>
  <si>
    <t>66_z39_–</t>
  </si>
  <si>
    <t>66 (66):z39:–</t>
  </si>
  <si>
    <t>66_z41_–</t>
  </si>
  <si>
    <t>66 (66):z41:–</t>
  </si>
  <si>
    <t>66_z65_–</t>
  </si>
  <si>
    <t>66 (66):z65:–</t>
  </si>
  <si>
    <t>66_z81_–</t>
  </si>
  <si>
    <t>66 (66):z81:–</t>
  </si>
  <si>
    <t>Vaertan</t>
  </si>
  <si>
    <t>G (13,22):b:e,n,x</t>
  </si>
  <si>
    <t>C2-C3_a_1,2</t>
  </si>
  <si>
    <t>Valdosta</t>
  </si>
  <si>
    <t>C2-C3 (6,8):a:1,2</t>
  </si>
  <si>
    <t>I_c_1,5</t>
  </si>
  <si>
    <t>I (16):c:1,5</t>
  </si>
  <si>
    <t>Vanier</t>
  </si>
  <si>
    <t>S_b_1,6</t>
  </si>
  <si>
    <t>Vaugirard</t>
  </si>
  <si>
    <t>S (41):b:1,6</t>
  </si>
  <si>
    <t>I_b_l,w</t>
  </si>
  <si>
    <t>Vegesack</t>
  </si>
  <si>
    <t>I (16):b:l,w</t>
  </si>
  <si>
    <t>E1_e,h_1,2</t>
  </si>
  <si>
    <t>Vejle</t>
  </si>
  <si>
    <t>E1 (3,{10}{15}):e,h:1,2</t>
  </si>
  <si>
    <t>B_z10_z35</t>
  </si>
  <si>
    <t>Vellore</t>
  </si>
  <si>
    <t>B (1,4,12,27):z10:z35</t>
  </si>
  <si>
    <t>F_i_e,n,x</t>
  </si>
  <si>
    <t>Veneziana</t>
  </si>
  <si>
    <t>F (11):i:e,n,x</t>
  </si>
  <si>
    <t>S_i_1,6</t>
  </si>
  <si>
    <t>Verona</t>
  </si>
  <si>
    <t>S (41):i:1,6</t>
  </si>
  <si>
    <t>W_k_1,5</t>
  </si>
  <si>
    <t>Verviers</t>
  </si>
  <si>
    <t>W (45):k:1,5</t>
  </si>
  <si>
    <t>C1_z41_1,7</t>
  </si>
  <si>
    <t>VI</t>
  </si>
  <si>
    <t>C1 (6,7):z41:1,7</t>
  </si>
  <si>
    <t>F_b_1,7</t>
  </si>
  <si>
    <t>F (11):b:1,7</t>
  </si>
  <si>
    <t>F_b_e,n,x</t>
  </si>
  <si>
    <t>F (11):b:e,n,x</t>
  </si>
  <si>
    <t>[1],6,14</t>
  </si>
  <si>
    <t>H ([1],6,14):a:1,5</t>
  </si>
  <si>
    <t>H_a_e,n,x</t>
  </si>
  <si>
    <t>H ([1],6,14,[25]):a:e,n,x</t>
  </si>
  <si>
    <t>H_l,v_z88</t>
  </si>
  <si>
    <t>z88</t>
  </si>
  <si>
    <t>H (6,14):l,v:z88</t>
  </si>
  <si>
    <t>H_z10_1,(2),7</t>
  </si>
  <si>
    <t>H (1,6,14,25):z10:1,(2),7</t>
  </si>
  <si>
    <t>S_b_1,7</t>
  </si>
  <si>
    <t>S (41):b:1,7</t>
  </si>
  <si>
    <t>W_a_e,n,x</t>
  </si>
  <si>
    <t>W (45):a:e,n,x</t>
  </si>
  <si>
    <t>Y_z10_1,5</t>
  </si>
  <si>
    <t>Y (48):z10:1,5</t>
  </si>
  <si>
    <t>Z_l,v_z67</t>
  </si>
  <si>
    <t>Z (50):l,v:z67</t>
  </si>
  <si>
    <t>D1_l,w_1,5</t>
  </si>
  <si>
    <t>Victoria</t>
  </si>
  <si>
    <t>D1 (1,9,12):l,w:1,5</t>
  </si>
  <si>
    <t>J_c_1,6</t>
  </si>
  <si>
    <t>Victoriaborg</t>
  </si>
  <si>
    <t>J (17):c:1,6</t>
  </si>
  <si>
    <t>S_b_z6</t>
  </si>
  <si>
    <t>Vietnam</t>
  </si>
  <si>
    <t>S (41):b:z6</t>
  </si>
  <si>
    <t>E4_e,h_1,5</t>
  </si>
  <si>
    <t>Vilvoorde</t>
  </si>
  <si>
    <t>E4 (1,3,19):e,h:1,5</t>
  </si>
  <si>
    <t>M_m,t_[e,n,z15]</t>
  </si>
  <si>
    <t>Vinohrady</t>
  </si>
  <si>
    <t>M (28):m,t:[e,n,z15]</t>
  </si>
  <si>
    <t>C1_r_1,2</t>
  </si>
  <si>
    <t>Virchow</t>
  </si>
  <si>
    <t>C1 (6,7,14):r:1,2</t>
  </si>
  <si>
    <t>C2-C3 (8):d:1,2</t>
  </si>
  <si>
    <t>E4_b_1,6</t>
  </si>
  <si>
    <t>Visby</t>
  </si>
  <si>
    <t>E4 (1,3,19):b:1,6</t>
  </si>
  <si>
    <t>M_l,v_e,n,x</t>
  </si>
  <si>
    <t>Vitkin</t>
  </si>
  <si>
    <t>M (28):l,v:e,n,x</t>
  </si>
  <si>
    <t>V_f,g_–</t>
  </si>
  <si>
    <t>Vleuten</t>
  </si>
  <si>
    <t>V (44):f,g:–</t>
  </si>
  <si>
    <t>T_z38_z6</t>
  </si>
  <si>
    <t>Vogan</t>
  </si>
  <si>
    <t>T (1,42):z38:z6</t>
  </si>
  <si>
    <t>M_i_1,6</t>
  </si>
  <si>
    <t>Volkmarsdorf</t>
  </si>
  <si>
    <t>M (28):i:1,6</t>
  </si>
  <si>
    <t>F_r_l,z13,z28</t>
  </si>
  <si>
    <t>Volta</t>
  </si>
  <si>
    <t>F (11):r:l,z13,z28</t>
  </si>
  <si>
    <t>B_l,z13,z28_e,n,z15</t>
  </si>
  <si>
    <t>Vom</t>
  </si>
  <si>
    <t>B (1,4,12,27):l,z13,z28:e,n,z15</t>
  </si>
  <si>
    <t>U_i_e,n,x</t>
  </si>
  <si>
    <t>Voulte</t>
  </si>
  <si>
    <t>U (43):i:e,n,x</t>
  </si>
  <si>
    <t>G_e,h_l,w</t>
  </si>
  <si>
    <t>Vridi</t>
  </si>
  <si>
    <t>G (1,13,23):e,h:l,w</t>
  </si>
  <si>
    <t>B_z4,z23_z6</t>
  </si>
  <si>
    <t>Vuadens</t>
  </si>
  <si>
    <t>B (4,12,27):z4,z23:z6</t>
  </si>
  <si>
    <t>I_b_1,5</t>
  </si>
  <si>
    <t>Wa</t>
  </si>
  <si>
    <t>I (16):b:1,5</t>
  </si>
  <si>
    <t>D2_e,h_1,5</t>
  </si>
  <si>
    <t>Waedenswil</t>
  </si>
  <si>
    <t>D2 (9,46):e,h:1,5</t>
  </si>
  <si>
    <t>E1_z4,z23_z6</t>
  </si>
  <si>
    <t>Wagadugu</t>
  </si>
  <si>
    <t>E1 (3,10):z4,z23:z6</t>
  </si>
  <si>
    <t>B_b_e,n,z15</t>
  </si>
  <si>
    <t>Wagenia</t>
  </si>
  <si>
    <t>B (1,4,12,27):b:e,n,z15</t>
  </si>
  <si>
    <t>E4_d_1,7</t>
  </si>
  <si>
    <t>Wanatah</t>
  </si>
  <si>
    <t>E4 (1,3,19):d:1,7</t>
  </si>
  <si>
    <t>Q_b_1,2</t>
  </si>
  <si>
    <t>Wandsworth</t>
  </si>
  <si>
    <t>Q (39):b:1,2</t>
  </si>
  <si>
    <t>D1_z4,z23_[1,7]</t>
  </si>
  <si>
    <t>Wangata</t>
  </si>
  <si>
    <t>D1 (1,9,12):z4,z23:[1,7]</t>
  </si>
  <si>
    <t>T_m,t_–</t>
  </si>
  <si>
    <t>Waral</t>
  </si>
  <si>
    <t>T (1,42):m,t:–</t>
  </si>
  <si>
    <t>J_z_1,5</t>
  </si>
  <si>
    <t>Warengo</t>
  </si>
  <si>
    <t>J (17):z:1,5</t>
  </si>
  <si>
    <t>W_d_e,n,z15</t>
  </si>
  <si>
    <t>Warmsen</t>
  </si>
  <si>
    <t>W (45):d:e,n,z15</t>
  </si>
  <si>
    <t>M_i_e,n,x</t>
  </si>
  <si>
    <t>Warnemuende</t>
  </si>
  <si>
    <t>M (28):i:e,n,x</t>
  </si>
  <si>
    <t>C2-C3_i_1,6</t>
  </si>
  <si>
    <t>Warnow</t>
  </si>
  <si>
    <t>C2-C3 (6,8):i:1,6</t>
  </si>
  <si>
    <t>H_g,m_–</t>
  </si>
  <si>
    <t>Warragul</t>
  </si>
  <si>
    <t>H ([1],6,14,[25]):g,m:–</t>
  </si>
  <si>
    <t>J_k_1,7</t>
  </si>
  <si>
    <t>Warri</t>
  </si>
  <si>
    <t>J (17):k:1,7</t>
  </si>
  <si>
    <t>G (13,22):m,t:–</t>
  </si>
  <si>
    <t>S_z4,z23_[e,n,z15]</t>
  </si>
  <si>
    <t>Waycross</t>
  </si>
  <si>
    <t>S (41):z4,z23:[e,n,z15]</t>
  </si>
  <si>
    <t>N_g,z51_–</t>
  </si>
  <si>
    <t>Wayne</t>
  </si>
  <si>
    <t>N (30):g,z51:–</t>
  </si>
  <si>
    <t>M_c_e,n,z15</t>
  </si>
  <si>
    <t>Wedding</t>
  </si>
  <si>
    <t>M (28):c:e,n,z15</t>
  </si>
  <si>
    <t>I_l,v_1,7</t>
  </si>
  <si>
    <t>Welikade</t>
  </si>
  <si>
    <t>I (16):l,v:1,7</t>
  </si>
  <si>
    <t>E1_r_z6</t>
  </si>
  <si>
    <t>Weltevreden</t>
  </si>
  <si>
    <t>E1 (3,{10}{15}):r:z6</t>
  </si>
  <si>
    <t>X_b_1,2</t>
  </si>
  <si>
    <t>Wenatchee</t>
  </si>
  <si>
    <t>X (47):b:1,2</t>
  </si>
  <si>
    <t>F_z10_1,2</t>
  </si>
  <si>
    <t>Wentworth</t>
  </si>
  <si>
    <t>F (11):z10:1,2</t>
  </si>
  <si>
    <t>D2_f,g_–</t>
  </si>
  <si>
    <t>Wernigerode</t>
  </si>
  <si>
    <t>D2 (9,46):f,g:–</t>
  </si>
  <si>
    <t>Weslaco</t>
  </si>
  <si>
    <t>D1_e,h_1,7</t>
  </si>
  <si>
    <t>Westafrica</t>
  </si>
  <si>
    <t>D1 (9,12):e,h:1,7</t>
  </si>
  <si>
    <t>I_l,w_1,6</t>
  </si>
  <si>
    <t>Westeinde</t>
  </si>
  <si>
    <t>I (16):l,w:1,6</t>
  </si>
  <si>
    <t>E4_l,z13_1,2</t>
  </si>
  <si>
    <t>Westerstede</t>
  </si>
  <si>
    <t>E4 (1,3,19):l,z13:1,2</t>
  </si>
  <si>
    <t>E1_,34} g,s,t_–</t>
  </si>
  <si>
    <t>Westhampton</t>
  </si>
  <si>
    <t>,34} g,s,t</t>
  </si>
  <si>
    <t>E1 (3,{10}{15}{15):,34} g,s,t:–</t>
  </si>
  <si>
    <t>E1_b_z35</t>
  </si>
  <si>
    <t>Westminster</t>
  </si>
  <si>
    <t>E1 (3,{10}{15}):b:z35</t>
  </si>
  <si>
    <t>I_e,h_z6</t>
  </si>
  <si>
    <t>Weston</t>
  </si>
  <si>
    <t>I (16):e,h:z6</t>
  </si>
  <si>
    <t>Westphalia</t>
  </si>
  <si>
    <t>E1_d_z6</t>
  </si>
  <si>
    <t>Weybridge</t>
  </si>
  <si>
    <t>E1 (3,10):d:z6</t>
  </si>
  <si>
    <t>Wichita</t>
  </si>
  <si>
    <t>G (1,13,23):d:1,6</t>
  </si>
  <si>
    <t>Widemarsh</t>
  </si>
  <si>
    <t>B_b_l,w</t>
  </si>
  <si>
    <t>Wien</t>
  </si>
  <si>
    <t>B (1,4,12,[27]):b:l,w</t>
  </si>
  <si>
    <t>C1_d_l,z13,z28</t>
  </si>
  <si>
    <t>Wil</t>
  </si>
  <si>
    <t>C1 (6,7):d:l,z13,z28</t>
  </si>
  <si>
    <t>B_z38_[e,n,z15]</t>
  </si>
  <si>
    <t>Wilhelmsburg</t>
  </si>
  <si>
    <t>B (1,4,[5],12,[27]):z38:[e,n,z15]</t>
  </si>
  <si>
    <t>P_d_1,5</t>
  </si>
  <si>
    <t>Willamette</t>
  </si>
  <si>
    <t>P (38):d:1,5</t>
  </si>
  <si>
    <t>G_e,h_1,6</t>
  </si>
  <si>
    <t>Willemstad</t>
  </si>
  <si>
    <t>G (1,13,22):e,h:1,6</t>
  </si>
  <si>
    <t>E1_b_z6</t>
  </si>
  <si>
    <t>Wilmington</t>
  </si>
  <si>
    <t>E1 (3,10):b:z6</t>
  </si>
  <si>
    <t>E1_k_1,2</t>
  </si>
  <si>
    <t>Wimborne</t>
  </si>
  <si>
    <t>E1 (3,10):k:1,2</t>
  </si>
  <si>
    <t>Q_y_1,5</t>
  </si>
  <si>
    <t>Windermere</t>
  </si>
  <si>
    <t>Q (39):y:1,5</t>
  </si>
  <si>
    <t>51_a_1,2</t>
  </si>
  <si>
    <t>Windsheim</t>
  </si>
  <si>
    <t>51 (51):a:1,2</t>
  </si>
  <si>
    <t>C2-C3_c_1,2</t>
  </si>
  <si>
    <t>Wingrove</t>
  </si>
  <si>
    <t>C2-C3 (6,8):c:1,2</t>
  </si>
  <si>
    <t>B_r_1,6</t>
  </si>
  <si>
    <t>Winneba</t>
  </si>
  <si>
    <t>B (4,12):r:1,6</t>
  </si>
  <si>
    <t>54_e,h_1,5</t>
  </si>
  <si>
    <t>Winnipeg</t>
  </si>
  <si>
    <t>54 (54):e,h:1,5</t>
  </si>
  <si>
    <t>Winslow</t>
  </si>
  <si>
    <t>G (13,22):z:1,5</t>
  </si>
  <si>
    <t>C1_m,t_1,6</t>
  </si>
  <si>
    <t>Winston</t>
  </si>
  <si>
    <t>C1 (6,7):m,t:1,6</t>
  </si>
  <si>
    <t>E4_l,z13_1,6</t>
  </si>
  <si>
    <t>Winterthur</t>
  </si>
  <si>
    <t>E4 (1,3,19):l,z13:1,6</t>
  </si>
  <si>
    <t>Wippra</t>
  </si>
  <si>
    <t>C2-C3 (6,8):z10:z6</t>
  </si>
  <si>
    <t>I_i_1,7</t>
  </si>
  <si>
    <t>Wisbech</t>
  </si>
  <si>
    <t>I (16):i:1,7</t>
  </si>
  <si>
    <t>F_b_1,6</t>
  </si>
  <si>
    <t>Wohlen</t>
  </si>
  <si>
    <t>F (11):b:1,6</t>
  </si>
  <si>
    <t>H_d_1,6</t>
  </si>
  <si>
    <t>Woodhull</t>
  </si>
  <si>
    <t>H (1,6,14,25):d:1,6</t>
  </si>
  <si>
    <t>F_c_e,n,x</t>
  </si>
  <si>
    <t>Woodinville</t>
  </si>
  <si>
    <t>F (11):c:e,n,x</t>
  </si>
  <si>
    <t>Worb</t>
  </si>
  <si>
    <t>G_z_l,w</t>
  </si>
  <si>
    <t>Worthington</t>
  </si>
  <si>
    <t>G (1,13,23):z:l,w</t>
  </si>
  <si>
    <t>F_y_e,n,x,z15</t>
  </si>
  <si>
    <t>Woumbou</t>
  </si>
  <si>
    <t>F (11):y:e,n,x,z15</t>
  </si>
  <si>
    <t>N_z35_e,n,z15</t>
  </si>
  <si>
    <t>Wuiti</t>
  </si>
  <si>
    <t>N (30):z35:e,n,z15</t>
  </si>
  <si>
    <t>D2_z41_–</t>
  </si>
  <si>
    <t>Wuppertal</t>
  </si>
  <si>
    <t>D2 (9,46):z41:–</t>
  </si>
  <si>
    <t>G_a_l,w</t>
  </si>
  <si>
    <t>Wyldegreen</t>
  </si>
  <si>
    <t>G (1,13,23):a:l,w</t>
  </si>
  <si>
    <t>E1_b_e,n,z15</t>
  </si>
  <si>
    <t>Yaba</t>
  </si>
  <si>
    <t>E1 (3,{10}{15}):b:e,n,z15</t>
  </si>
  <si>
    <t>E4_r_e,n,z15</t>
  </si>
  <si>
    <t>Yalding</t>
  </si>
  <si>
    <t>E4 (1,3,19):r:e,n,z15</t>
  </si>
  <si>
    <t>B_z35_e,n,z15</t>
  </si>
  <si>
    <t>Yaounde</t>
  </si>
  <si>
    <t>B (1,4,12,27):z35:e,n,z15</t>
  </si>
  <si>
    <t>M_g,m_1,6</t>
  </si>
  <si>
    <t>Yardley</t>
  </si>
  <si>
    <t>M (28):g,m:1,6</t>
  </si>
  <si>
    <t>Yarm</t>
  </si>
  <si>
    <t>C2-C3 (6,8):z35:1,2</t>
  </si>
  <si>
    <t>G_y_1,7</t>
  </si>
  <si>
    <t>Yarrabah</t>
  </si>
  <si>
    <t>G (13,23):y:1,7</t>
  </si>
  <si>
    <t>E1_i_z6</t>
  </si>
  <si>
    <t>Yeerongpilly</t>
  </si>
  <si>
    <t>E1 (3,10):i:z6</t>
  </si>
  <si>
    <t>F_z4,z24_–</t>
  </si>
  <si>
    <t>Yehuda</t>
  </si>
  <si>
    <t>F (11):z4,z24:–</t>
  </si>
  <si>
    <t>R_z35_e,n,z15</t>
  </si>
  <si>
    <t>Yekepa</t>
  </si>
  <si>
    <t>R (1,40):z35:e,n,z15</t>
  </si>
  <si>
    <t>D1_r_e,n,x</t>
  </si>
  <si>
    <t>Yellowknife</t>
  </si>
  <si>
    <t>D1 (9,12):r:e,n,x</t>
  </si>
  <si>
    <t>E4_z10_1,5</t>
  </si>
  <si>
    <t>Yenne</t>
  </si>
  <si>
    <t>E4 (1,3,19):z10:1,5</t>
  </si>
  <si>
    <t>54_z4,z23_–</t>
  </si>
  <si>
    <t>Yerba</t>
  </si>
  <si>
    <t>54 (54):z4,z23:–</t>
  </si>
  <si>
    <t>P_z4,z23_1,2</t>
  </si>
  <si>
    <t>Yoff</t>
  </si>
  <si>
    <t>P (38):z4,z23:1,2</t>
  </si>
  <si>
    <t>Yokoe</t>
  </si>
  <si>
    <t>C2-C3 (8,20):m,t:–</t>
  </si>
  <si>
    <t>O_c_[e,n,z15]</t>
  </si>
  <si>
    <t>Yolo</t>
  </si>
  <si>
    <t>O (35):c:[e,n,z15]</t>
  </si>
  <si>
    <t>X_z35_z6</t>
  </si>
  <si>
    <t>Yombesali</t>
  </si>
  <si>
    <t>X (47):z35:z6</t>
  </si>
  <si>
    <t>W_z_e,n,z15</t>
  </si>
  <si>
    <t>Yopougon</t>
  </si>
  <si>
    <t>W (45):z:e,n,z15</t>
  </si>
  <si>
    <t>D1_l,z28_e,n,z15</t>
  </si>
  <si>
    <t>York</t>
  </si>
  <si>
    <t>D1 (9,12):l,z28:e,n,z15</t>
  </si>
  <si>
    <t>I_c_l,w</t>
  </si>
  <si>
    <t>Yoruba</t>
  </si>
  <si>
    <t>I (16):c:l,w</t>
  </si>
  <si>
    <t>Yovokome</t>
  </si>
  <si>
    <t>C2-C3 (8,20):d:1,5</t>
  </si>
  <si>
    <t>E1_k_e,n,x</t>
  </si>
  <si>
    <t>Yundum</t>
  </si>
  <si>
    <t>E1 (3,10):k:e,n,x</t>
  </si>
  <si>
    <t>D2_b_1,6</t>
  </si>
  <si>
    <t>Zadar</t>
  </si>
  <si>
    <t>D2 (9,46):b:1,6</t>
  </si>
  <si>
    <t>Zaiman</t>
  </si>
  <si>
    <t>N_c_1,7</t>
  </si>
  <si>
    <t>Zaire</t>
  </si>
  <si>
    <t>N (30):c:1,7</t>
  </si>
  <si>
    <t>E1_k_1,5</t>
  </si>
  <si>
    <t>Zanzibar</t>
  </si>
  <si>
    <t>E1 (3,{10}{15}):k:1,5</t>
  </si>
  <si>
    <t>J_k_e,n,z15</t>
  </si>
  <si>
    <t>Zaria</t>
  </si>
  <si>
    <t>J (17):k:e,n,z15</t>
  </si>
  <si>
    <t>D1_d_z6</t>
  </si>
  <si>
    <t>Zega</t>
  </si>
  <si>
    <t>D1 (9,12):d:z6</t>
  </si>
  <si>
    <t>N_a_1,5</t>
  </si>
  <si>
    <t>Zehlendorf</t>
  </si>
  <si>
    <t>N (30):a:1,5</t>
  </si>
  <si>
    <t>Zerifin</t>
  </si>
  <si>
    <t>C2-C3 (6,8):z10:1,2</t>
  </si>
  <si>
    <t>I_l,w_1,5</t>
  </si>
  <si>
    <t>Zigong</t>
  </si>
  <si>
    <t>I (16):l,w:1,5</t>
  </si>
  <si>
    <t>Zinder</t>
  </si>
  <si>
    <t>E1_z35_1,7</t>
  </si>
  <si>
    <t>Zongo</t>
  </si>
  <si>
    <t>E1 (3,10):z35:1,7</t>
  </si>
  <si>
    <t>E4_i_l,w</t>
  </si>
  <si>
    <t>Zuilen</t>
  </si>
  <si>
    <t>E4 (1,3,19):i:l,w</t>
  </si>
  <si>
    <t>I_r,i_e,n,z15</t>
  </si>
  <si>
    <t>Zwickau</t>
  </si>
  <si>
    <t>I (16):r,i:e,n,z15</t>
  </si>
  <si>
    <t>terrestrial - tundra</t>
  </si>
  <si>
    <t>terrestrial - mangrove</t>
  </si>
  <si>
    <t>terrestrial - woodland</t>
  </si>
  <si>
    <t>terrestrial - shrubland</t>
  </si>
  <si>
    <t>terrestrial - grassland</t>
  </si>
  <si>
    <t>terrestrial - forest</t>
  </si>
  <si>
    <t>terrestrial - desert</t>
  </si>
  <si>
    <t>terrestrial - anthropogenic - cropland</t>
  </si>
  <si>
    <t>terrestrial - anthropogenic - dense settlement</t>
  </si>
  <si>
    <t>ENVO_01000219</t>
  </si>
  <si>
    <t>terrestrial - anthropogenic terrestrial</t>
  </si>
  <si>
    <t>terrestrial</t>
  </si>
  <si>
    <t>aquatic - marine - ocean</t>
  </si>
  <si>
    <t xml:space="preserve">aquatic - marine </t>
  </si>
  <si>
    <t>aquatic - freshwater - river</t>
  </si>
  <si>
    <t>aquatic - freshwater - lake</t>
  </si>
  <si>
    <t>aquatic - freshwater</t>
  </si>
  <si>
    <t xml:space="preserve">aquatic </t>
  </si>
  <si>
    <t>See ENVO</t>
  </si>
  <si>
    <t>Environment - biome</t>
  </si>
  <si>
    <t>Fecal indicator bacteria number</t>
  </si>
  <si>
    <t>Sequencing platform</t>
  </si>
  <si>
    <t>E. coli O157 (PT)</t>
  </si>
  <si>
    <t>aquatic - freshwater - lake - pond</t>
  </si>
  <si>
    <t>ENVO_00000873</t>
  </si>
  <si>
    <t>ENVO_01000252</t>
  </si>
  <si>
    <t>ENVO_00000033</t>
  </si>
  <si>
    <t>ENVO_01000253</t>
  </si>
  <si>
    <t>ENVO_00000447</t>
  </si>
  <si>
    <t>ENVO_01000048</t>
  </si>
  <si>
    <t>ENVO_00000446</t>
  </si>
  <si>
    <t>ENVO_01000248</t>
  </si>
  <si>
    <t>ENVO_01000245</t>
  </si>
  <si>
    <t>ENVO_01000247</t>
  </si>
  <si>
    <t>ENVO_01000246</t>
  </si>
  <si>
    <t>ENVO_01000179</t>
  </si>
  <si>
    <t>ENVO_01000174</t>
  </si>
  <si>
    <t>ENVO_01000177</t>
  </si>
  <si>
    <t>ENVO_01000176</t>
  </si>
  <si>
    <t>ENVO_01000175</t>
  </si>
  <si>
    <t>ENVO_01000181</t>
  </si>
  <si>
    <t>ENVO_01000180</t>
  </si>
  <si>
    <t>ENVO_00002030</t>
  </si>
  <si>
    <t>ENVO_00001998</t>
  </si>
  <si>
    <t>ENVO_00002006</t>
  </si>
  <si>
    <t>ENVO_0010001</t>
  </si>
  <si>
    <t>ENVO_00002008</t>
  </si>
  <si>
    <t>ENVO_01000018</t>
  </si>
  <si>
    <t>ENVO_01000001</t>
  </si>
  <si>
    <t>ENVO_01000155</t>
  </si>
  <si>
    <t>ENVO_00001995</t>
  </si>
  <si>
    <t>ENVO_01000017</t>
  </si>
  <si>
    <t>ENVO_00002007</t>
  </si>
  <si>
    <t>PFGE Specificity (unused)</t>
  </si>
  <si>
    <t>UNUSED</t>
  </si>
  <si>
    <t>Seeds</t>
  </si>
  <si>
    <t>The "Copy to New" button causes an existing filled-in record to be copied to a new one, for minor changes between records in large batch job submissions.</t>
  </si>
  <si>
    <t>postal_code</t>
  </si>
  <si>
    <t>sequencing_facility</t>
  </si>
  <si>
    <t>sequencing_platform</t>
  </si>
  <si>
    <t>healthy</t>
  </si>
  <si>
    <t>congenital</t>
  </si>
  <si>
    <t>life threatening</t>
  </si>
  <si>
    <t>pathological</t>
  </si>
  <si>
    <t>pre-existing condition</t>
  </si>
  <si>
    <t>recovering</t>
  </si>
  <si>
    <t>resolving</t>
  </si>
  <si>
    <t>undetermined</t>
  </si>
  <si>
    <t>diseased (chronic)</t>
  </si>
  <si>
    <t>death</t>
  </si>
  <si>
    <t>healthy / recovery / disease free</t>
  </si>
  <si>
    <t>Chondrichthyes</t>
  </si>
  <si>
    <t>Mollusca</t>
  </si>
  <si>
    <t>collection_code</t>
  </si>
  <si>
    <t>Specimen Id</t>
  </si>
  <si>
    <t>milliSiemens per cm</t>
  </si>
  <si>
    <t>env_biome</t>
  </si>
  <si>
    <t>env_season</t>
  </si>
  <si>
    <t>env_fecal_indicator</t>
  </si>
  <si>
    <t>env_feature</t>
  </si>
  <si>
    <t>env_collection_depth</t>
  </si>
  <si>
    <t>env_ph</t>
  </si>
  <si>
    <t>env_turbidity</t>
  </si>
  <si>
    <t>env_conductivity</t>
  </si>
  <si>
    <t>env_redox_potential</t>
  </si>
  <si>
    <t>env_disolved_o2_cons</t>
  </si>
  <si>
    <t>env_nitrate_cons</t>
  </si>
  <si>
    <t>env_nitrite_cons</t>
  </si>
  <si>
    <t>env_phosphorous_cons</t>
  </si>
  <si>
    <t>env_soluble_inorg</t>
  </si>
  <si>
    <t>env_soluble_inorg_cons</t>
  </si>
  <si>
    <t>serovar_name</t>
  </si>
  <si>
    <t>city</t>
  </si>
  <si>
    <t>o_antigen</t>
  </si>
  <si>
    <t>h_antigen</t>
  </si>
  <si>
    <t>k_antigen</t>
  </si>
  <si>
    <t>specimen_id</t>
  </si>
  <si>
    <t>Facility id</t>
  </si>
  <si>
    <t>Isolate id</t>
  </si>
  <si>
    <t xml:space="preserve">O  </t>
  </si>
  <si>
    <t xml:space="preserve">H  </t>
  </si>
  <si>
    <t xml:space="preserve">K  </t>
  </si>
  <si>
    <t>serovar_formula</t>
  </si>
  <si>
    <t>phage_type_dt</t>
  </si>
  <si>
    <t>phage_type_pt</t>
  </si>
  <si>
    <t>Institution code</t>
  </si>
  <si>
    <t>institution_code</t>
  </si>
  <si>
    <t>Culture Id</t>
  </si>
  <si>
    <t>culture_id</t>
  </si>
  <si>
    <t>Taxonomy name</t>
  </si>
  <si>
    <t>host_common_name</t>
  </si>
  <si>
    <t>(from above)</t>
  </si>
  <si>
    <t>For further information on NCBI Biosample fields, see:</t>
  </si>
  <si>
    <t>https://submit.ncbi.nlm.nih.gov/biosample/template/?package=Pathogen.combined.1.0&amp;action=definition</t>
  </si>
  <si>
    <t>animal - saliva</t>
  </si>
  <si>
    <t>animal - tissue sample</t>
  </si>
  <si>
    <t>animal - yolk (avian)</t>
  </si>
  <si>
    <t>animal - poultry fluff (chicken)</t>
  </si>
  <si>
    <t>animal - peritoneal fluid</t>
  </si>
  <si>
    <t>animal - muscle</t>
  </si>
  <si>
    <t>animal - lymph node</t>
  </si>
  <si>
    <t>animal - feces</t>
  </si>
  <si>
    <t>animal - cerebral spinal fluid</t>
  </si>
  <si>
    <t>animal - blood</t>
  </si>
  <si>
    <t>Culture collection</t>
  </si>
  <si>
    <r>
      <t xml:space="preserve">Pathogen </t>
    </r>
    <r>
      <rPr>
        <sz val="11"/>
        <color theme="1"/>
        <rFont val="Franklin Gothic Book"/>
        <family val="2"/>
        <scheme val="minor"/>
      </rPr>
      <t>type</t>
    </r>
  </si>
  <si>
    <r>
      <t>Organism</t>
    </r>
    <r>
      <rPr>
        <sz val="11"/>
        <color theme="1"/>
        <rFont val="Franklin Gothic Book"/>
        <family val="2"/>
        <scheme val="minor"/>
      </rPr>
      <t xml:space="preserve"> (species)</t>
    </r>
  </si>
  <si>
    <r>
      <t>City</t>
    </r>
    <r>
      <rPr>
        <sz val="11"/>
        <color theme="1"/>
        <rFont val="Franklin Gothic Book"/>
        <family val="2"/>
        <scheme val="minor"/>
      </rPr>
      <t xml:space="preserve"> / Landmark</t>
    </r>
  </si>
  <si>
    <r>
      <t xml:space="preserve">Host organism </t>
    </r>
    <r>
      <rPr>
        <sz val="11"/>
        <color theme="1"/>
        <rFont val="Franklin Gothic Book"/>
        <family val="2"/>
        <scheme val="minor"/>
      </rPr>
      <t>type</t>
    </r>
  </si>
  <si>
    <t xml:space="preserve">Selection list fields have an enhanced as-you-type lookup function. Right-click in the field to access this.  </t>
  </si>
  <si>
    <t>animal, farm - ovine</t>
  </si>
  <si>
    <t>Ovis aries</t>
  </si>
  <si>
    <t>Germany</t>
  </si>
  <si>
    <t>Argentina</t>
  </si>
  <si>
    <t>Switzerland</t>
  </si>
  <si>
    <t>AR</t>
  </si>
  <si>
    <t>DE</t>
  </si>
  <si>
    <t>CH</t>
  </si>
  <si>
    <t>United Nations</t>
  </si>
  <si>
    <t>UN</t>
  </si>
  <si>
    <t>SOLiD</t>
  </si>
  <si>
    <t>ION pyrosequencing</t>
  </si>
  <si>
    <t>Oxford Nanopore Sequencing</t>
  </si>
  <si>
    <t>other_antigen</t>
  </si>
  <si>
    <t xml:space="preserve">Other antigen  </t>
  </si>
  <si>
    <t>OR lookup type II - VI formula</t>
  </si>
  <si>
    <t>Austraila</t>
  </si>
  <si>
    <t>AU</t>
  </si>
  <si>
    <t>Japan</t>
  </si>
  <si>
    <t>JP</t>
  </si>
  <si>
    <t>code</t>
  </si>
  <si>
    <t>label</t>
  </si>
  <si>
    <t>ENVO_00000091</t>
  </si>
  <si>
    <t>ENVO_00000067</t>
  </si>
  <si>
    <t>ENVO_00000097</t>
  </si>
  <si>
    <t>ENVO_00000086</t>
  </si>
  <si>
    <t>ENVO_00002000</t>
  </si>
  <si>
    <t>ENVO_00000508</t>
  </si>
  <si>
    <t>ENVO_00000068</t>
  </si>
  <si>
    <t>ENVO_00000292</t>
  </si>
  <si>
    <t>ENVO_00000127</t>
  </si>
  <si>
    <t>ENVO_00000444</t>
  </si>
  <si>
    <t>ENVO_00000548</t>
  </si>
  <si>
    <t>ENVO_00003040</t>
  </si>
  <si>
    <t>ENVO_00000113</t>
  </si>
  <si>
    <t>ENVO_00000114</t>
  </si>
  <si>
    <t>ENVO_00000117</t>
  </si>
  <si>
    <t>ENVO_00000519</t>
  </si>
  <si>
    <t>ENVO_00000078</t>
  </si>
  <si>
    <t>ENVO_00000294</t>
  </si>
  <si>
    <t>ENVO_00000295</t>
  </si>
  <si>
    <t>ENVO_00000073</t>
  </si>
  <si>
    <t>ENVO_00000074</t>
  </si>
  <si>
    <t>ENVO_00000076</t>
  </si>
  <si>
    <t>ENVO_00000469</t>
  </si>
  <si>
    <t>ENVO_00000565</t>
  </si>
  <si>
    <t>ENVO_00002272</t>
  </si>
  <si>
    <t>ENVO_00000042</t>
  </si>
  <si>
    <t>ENVO_00000563</t>
  </si>
  <si>
    <t>ENVO_00004638</t>
  </si>
  <si>
    <t>ENVO_00000856</t>
  </si>
  <si>
    <t>ENVO_00000111</t>
  </si>
  <si>
    <t>ENVO_00000106</t>
  </si>
  <si>
    <t>ENVO_00000300</t>
  </si>
  <si>
    <t>ENVO_00000043</t>
  </si>
  <si>
    <t>ENVO_00000109</t>
  </si>
  <si>
    <t>ENVO_00000112</t>
  </si>
  <si>
    <t>ENVO_00002297</t>
  </si>
  <si>
    <t>ENVO_00000428</t>
  </si>
  <si>
    <t>EO_0007027</t>
  </si>
  <si>
    <t>EO_0007037</t>
  </si>
  <si>
    <t>EO_0007035</t>
  </si>
  <si>
    <t>EO_0007036</t>
  </si>
  <si>
    <t>EO_0007038</t>
  </si>
  <si>
    <t>OBI_0000724</t>
  </si>
  <si>
    <t>OBI_0000706</t>
  </si>
  <si>
    <t>OBI_0000730</t>
  </si>
  <si>
    <t>ERO_0001642</t>
  </si>
  <si>
    <t xml:space="preserve">ERO_0001183 </t>
  </si>
  <si>
    <t>umol/kg</t>
  </si>
  <si>
    <t>Dissolved oxygen
 concentration</t>
  </si>
  <si>
    <t>Phosphorous   concentration</t>
  </si>
  <si>
    <t>Nitrite concentration</t>
  </si>
  <si>
    <t>Nitrate concentration</t>
  </si>
  <si>
    <t>Soluble inorganic material (name)</t>
  </si>
  <si>
    <t>row</t>
  </si>
  <si>
    <t>degrees celsius</t>
  </si>
  <si>
    <t>plant - tissue sample</t>
  </si>
  <si>
    <t>BTO_0004070</t>
  </si>
  <si>
    <t>ENVO_00000562</t>
  </si>
  <si>
    <t>edit</t>
  </si>
  <si>
    <t>8782</t>
  </si>
  <si>
    <t>7777</t>
  </si>
  <si>
    <t>9796</t>
  </si>
  <si>
    <t>6447</t>
  </si>
  <si>
    <t>9685</t>
  </si>
  <si>
    <t>9615</t>
  </si>
  <si>
    <t>9913</t>
  </si>
  <si>
    <t>9825</t>
  </si>
  <si>
    <t>9031</t>
  </si>
  <si>
    <t>9606</t>
  </si>
  <si>
    <t>33090</t>
  </si>
  <si>
    <t>water - waste water</t>
  </si>
  <si>
    <t>ENVO_00002001</t>
  </si>
  <si>
    <t>ENVO_01000002</t>
  </si>
  <si>
    <t>edit (not nec. Private)</t>
  </si>
  <si>
    <t>ENVO_00000139</t>
  </si>
  <si>
    <t>ENVO_00000140</t>
  </si>
  <si>
    <t>ENVO_00003096</t>
  </si>
  <si>
    <t>water - municipal (tap water)</t>
  </si>
  <si>
    <t>ENVO_00002018</t>
  </si>
  <si>
    <t>ENVO_00003031</t>
  </si>
  <si>
    <t>ENVO_00003884</t>
  </si>
  <si>
    <t>ENVO_00003032</t>
  </si>
  <si>
    <t>ENVO_00003927</t>
  </si>
  <si>
    <t>water - well</t>
  </si>
  <si>
    <t>ENVO_00003064</t>
  </si>
  <si>
    <t>ENVO_00002222</t>
  </si>
  <si>
    <t>ENVO_00003864</t>
  </si>
  <si>
    <t>ENVO_00003862</t>
  </si>
  <si>
    <t>ENVO_00003885</t>
  </si>
  <si>
    <t>water - municipal (drinking water)</t>
  </si>
  <si>
    <t>animal manure</t>
  </si>
  <si>
    <t>animal manure - farmyard</t>
  </si>
  <si>
    <t>animal manure - fresh</t>
  </si>
  <si>
    <t>animal manure - stable</t>
  </si>
  <si>
    <t>B1408</t>
  </si>
  <si>
    <t>B1201</t>
  </si>
  <si>
    <t>B1110</t>
  </si>
  <si>
    <t>B1222</t>
  </si>
  <si>
    <t>B1356</t>
  </si>
  <si>
    <t>B1717</t>
  </si>
  <si>
    <t>B1329</t>
  </si>
  <si>
    <t>B1554</t>
  </si>
  <si>
    <t>B1296</t>
  </si>
  <si>
    <t>B1481</t>
  </si>
  <si>
    <t>B1245</t>
  </si>
  <si>
    <t>B1529</t>
  </si>
  <si>
    <t>B1716</t>
  </si>
  <si>
    <t>B1466</t>
  </si>
  <si>
    <t>B1415</t>
  </si>
  <si>
    <t>B1587</t>
  </si>
  <si>
    <t>B1379</t>
  </si>
  <si>
    <t>B1470</t>
  </si>
  <si>
    <t>B1136</t>
  </si>
  <si>
    <t>B1452</t>
  </si>
  <si>
    <t>B1271</t>
  </si>
  <si>
    <t>B1105</t>
  </si>
  <si>
    <t>B1347</t>
  </si>
  <si>
    <t>B1158</t>
  </si>
  <si>
    <t>B1197</t>
  </si>
  <si>
    <t>B2406</t>
  </si>
  <si>
    <t>B1325</t>
  </si>
  <si>
    <t>B1161</t>
  </si>
  <si>
    <t>B1276</t>
  </si>
  <si>
    <t>B0001</t>
  </si>
  <si>
    <t>B2407</t>
  </si>
  <si>
    <t>B1309</t>
  </si>
  <si>
    <t>B1713</t>
  </si>
  <si>
    <t>B2098</t>
  </si>
  <si>
    <t>B1735</t>
  </si>
  <si>
    <t>B1580</t>
  </si>
  <si>
    <t>B1367</t>
  </si>
  <si>
    <t>B1443</t>
  </si>
  <si>
    <t>B1611</t>
  </si>
  <si>
    <t>B1627</t>
  </si>
  <si>
    <t>B1646</t>
  </si>
  <si>
    <t>B1739</t>
  </si>
  <si>
    <t>B1390</t>
  </si>
  <si>
    <t>B1406</t>
  </si>
  <si>
    <t>B1106</t>
  </si>
  <si>
    <t>B1549</t>
  </si>
  <si>
    <t>B1665</t>
  </si>
  <si>
    <t>B1727</t>
  </si>
  <si>
    <t>B1509</t>
  </si>
  <si>
    <t>B1366</t>
  </si>
  <si>
    <t>B1227</t>
  </si>
  <si>
    <t>B1352</t>
  </si>
  <si>
    <t>B1094</t>
  </si>
  <si>
    <t>B1365</t>
  </si>
  <si>
    <t>B1729</t>
  </si>
  <si>
    <t>B1282</t>
  </si>
  <si>
    <t>B1728</t>
  </si>
  <si>
    <t>B1457</t>
  </si>
  <si>
    <t>B2045</t>
  </si>
  <si>
    <t>B1730</t>
  </si>
  <si>
    <t>B1306</t>
  </si>
  <si>
    <t>B1444</t>
  </si>
  <si>
    <t>B1172</t>
  </si>
  <si>
    <t>B1198</t>
  </si>
  <si>
    <t>B1711</t>
  </si>
  <si>
    <t>B1710</t>
  </si>
  <si>
    <t>B1552</t>
  </si>
  <si>
    <t>B1315</t>
  </si>
  <si>
    <t>B2077</t>
  </si>
  <si>
    <t>B1051</t>
  </si>
  <si>
    <t>B1026</t>
  </si>
  <si>
    <t>B1132</t>
  </si>
  <si>
    <t>B1294</t>
  </si>
  <si>
    <t>B1115</t>
  </si>
  <si>
    <t>B1472</t>
  </si>
  <si>
    <t>B1331</t>
  </si>
  <si>
    <t>B1255</t>
  </si>
  <si>
    <t>B1318</t>
  </si>
  <si>
    <t>B1305</t>
  </si>
  <si>
    <t>B1117</t>
  </si>
  <si>
    <t>B1381</t>
  </si>
  <si>
    <t>B1577</t>
  </si>
  <si>
    <t>B1380</t>
  </si>
  <si>
    <t>B1595</t>
  </si>
  <si>
    <t>B1200</t>
  </si>
  <si>
    <t>B1335</t>
  </si>
  <si>
    <t>B1488</t>
  </si>
  <si>
    <t>B2686</t>
  </si>
  <si>
    <t>B1218</t>
  </si>
  <si>
    <t>B1237</t>
  </si>
  <si>
    <t>B1404</t>
  </si>
  <si>
    <t>B1274</t>
  </si>
  <si>
    <t>B2143</t>
  </si>
  <si>
    <t>B1644</t>
  </si>
  <si>
    <t>B1428</t>
  </si>
  <si>
    <t>B1209</t>
  </si>
  <si>
    <t>B1583</t>
  </si>
  <si>
    <t>B1277</t>
  </si>
  <si>
    <t>B1641</t>
  </si>
  <si>
    <t>B1316</t>
  </si>
  <si>
    <t>B1951</t>
  </si>
  <si>
    <t>B1278</t>
  </si>
  <si>
    <t>B1253</t>
  </si>
  <si>
    <t>B1346</t>
  </si>
  <si>
    <t>B1236</t>
  </si>
  <si>
    <t>B1458</t>
  </si>
  <si>
    <t>B1314</t>
  </si>
  <si>
    <t>B1752</t>
  </si>
  <si>
    <t>B1262</t>
  </si>
  <si>
    <t>B1696</t>
  </si>
  <si>
    <t>B1134</t>
  </si>
  <si>
    <t>B1023</t>
  </si>
  <si>
    <t>B1843</t>
  </si>
  <si>
    <t>B1581</t>
  </si>
  <si>
    <t>B1350</t>
  </si>
  <si>
    <t>B1140</t>
  </si>
  <si>
    <t>B2270</t>
  </si>
  <si>
    <t>B1001</t>
  </si>
  <si>
    <t>B1740</t>
  </si>
  <si>
    <t>B1233</t>
  </si>
  <si>
    <t>B1265</t>
  </si>
  <si>
    <t>B1328</t>
  </si>
  <si>
    <t>B1507</t>
  </si>
  <si>
    <t>B1338</t>
  </si>
  <si>
    <t>B1684</t>
  </si>
  <si>
    <t>B1125</t>
  </si>
  <si>
    <t>B1441</t>
  </si>
  <si>
    <t>B1181</t>
  </si>
  <si>
    <t>B1013</t>
  </si>
  <si>
    <t>B1232</t>
  </si>
  <si>
    <t>B1229</t>
  </si>
  <si>
    <t>B1748</t>
  </si>
  <si>
    <t>B1038</t>
  </si>
  <si>
    <t>B1281</t>
  </si>
  <si>
    <t>B1369</t>
  </si>
  <si>
    <t>B1530</t>
  </si>
  <si>
    <t>B1681</t>
  </si>
  <si>
    <t>B1300</t>
  </si>
  <si>
    <t>B1308</t>
  </si>
  <si>
    <t>B1275</t>
  </si>
  <si>
    <t>B1041</t>
  </si>
  <si>
    <t>B1268</t>
  </si>
  <si>
    <t>B1397</t>
  </si>
  <si>
    <t>B1067</t>
  </si>
  <si>
    <t>B1244</t>
  </si>
  <si>
    <t>B1701</t>
  </si>
  <si>
    <t>B1609</t>
  </si>
  <si>
    <t>B1283</t>
  </si>
  <si>
    <t>B1476</t>
  </si>
  <si>
    <t>B1257</t>
  </si>
  <si>
    <t>B1920</t>
  </si>
  <si>
    <t>B1501</t>
  </si>
  <si>
    <t>B1395</t>
  </si>
  <si>
    <t>B1588</t>
  </si>
  <si>
    <t>B1527</t>
  </si>
  <si>
    <t>B1223</t>
  </si>
  <si>
    <t>B2069</t>
  </si>
  <si>
    <t>B1183</t>
  </si>
  <si>
    <t>B1436</t>
  </si>
  <si>
    <t>B1732</t>
  </si>
  <si>
    <t>B1214</t>
  </si>
  <si>
    <t>B1514</t>
  </si>
  <si>
    <t>B1241</t>
  </si>
  <si>
    <t>B1299</t>
  </si>
  <si>
    <t>B1450</t>
  </si>
  <si>
    <t>B1339</t>
  </si>
  <si>
    <t>B1709</t>
  </si>
  <si>
    <t>B1028</t>
  </si>
  <si>
    <t>B1056</t>
  </si>
  <si>
    <t>B1542</t>
  </si>
  <si>
    <t>B1224</t>
  </si>
  <si>
    <t>B1979</t>
  </si>
  <si>
    <t>B1084</t>
  </si>
  <si>
    <t>B1286</t>
  </si>
  <si>
    <t>B1550</t>
  </si>
  <si>
    <t>B1483</t>
  </si>
  <si>
    <t>B1337</t>
  </si>
  <si>
    <t>B1344</t>
  </si>
  <si>
    <t>B1613</t>
  </si>
  <si>
    <t>B1605</t>
  </si>
  <si>
    <t>B1031</t>
  </si>
  <si>
    <t>B1447</t>
  </si>
  <si>
    <t>B1460</t>
  </si>
  <si>
    <t>B1631</t>
  </si>
  <si>
    <t>B1116</t>
  </si>
  <si>
    <t>B1206</t>
  </si>
  <si>
    <t>B1636</t>
  </si>
  <si>
    <t>B1400</t>
  </si>
  <si>
    <t>B1515</t>
  </si>
  <si>
    <t>B1731</t>
  </si>
  <si>
    <t>B1563</t>
  </si>
  <si>
    <t>B1672</t>
  </si>
  <si>
    <t>B2018</t>
  </si>
  <si>
    <t>B2091</t>
  </si>
  <si>
    <t>B1642</t>
  </si>
  <si>
    <t>B1298</t>
  </si>
  <si>
    <t>B1323</t>
  </si>
  <si>
    <t>B1461</t>
  </si>
  <si>
    <t>B1109</t>
  </si>
  <si>
    <t>B1495</t>
  </si>
  <si>
    <t>B1413</t>
  </si>
  <si>
    <t>B1459</t>
  </si>
  <si>
    <t>B1303</t>
  </si>
  <si>
    <t>B1551</t>
  </si>
  <si>
    <t>B1489</t>
  </si>
  <si>
    <t>B1736</t>
  </si>
  <si>
    <t>B1538</t>
  </si>
  <si>
    <t>B1737</t>
  </si>
  <si>
    <t>B1128</t>
  </si>
  <si>
    <t>B1047</t>
  </si>
  <si>
    <t>B1420</t>
  </si>
  <si>
    <t>B1478</t>
  </si>
  <si>
    <t>B1304</t>
  </si>
  <si>
    <t>B1205</t>
  </si>
  <si>
    <t>B1389</t>
  </si>
  <si>
    <t>B1393</t>
  </si>
  <si>
    <t>B1465</t>
  </si>
  <si>
    <t>B1361</t>
  </si>
  <si>
    <t>B1733</t>
  </si>
  <si>
    <t>B1429</t>
  </si>
  <si>
    <t>B1469</t>
  </si>
  <si>
    <t>B1623</t>
  </si>
  <si>
    <t>B1199</t>
  </si>
  <si>
    <t>B1750</t>
  </si>
  <si>
    <t>B1024</t>
  </si>
  <si>
    <t>B1258</t>
  </si>
  <si>
    <t>B1425</t>
  </si>
  <si>
    <t>B1238</t>
  </si>
  <si>
    <t>B1349</t>
  </si>
  <si>
    <t>B1579</t>
  </si>
  <si>
    <t>B1150</t>
  </si>
  <si>
    <t>B2095</t>
  </si>
  <si>
    <t>B1492</t>
  </si>
  <si>
    <t>B1391</t>
  </si>
  <si>
    <t>B2418</t>
  </si>
  <si>
    <t>B1633</t>
  </si>
  <si>
    <t>B1597</t>
  </si>
  <si>
    <t>B1640</t>
  </si>
  <si>
    <t>B1726</t>
  </si>
  <si>
    <t xml:space="preserve">habitat - freshwater </t>
  </si>
  <si>
    <t>habitat - human-associated</t>
  </si>
  <si>
    <t>habitat - livestock-associated</t>
  </si>
  <si>
    <t>BTO_0001481</t>
  </si>
  <si>
    <t>ENVO_0200005</t>
  </si>
  <si>
    <t>ENVO_00009003</t>
  </si>
  <si>
    <t>ENVO_00002037</t>
  </si>
  <si>
    <t>BTO_0000155</t>
  </si>
  <si>
    <t>Value</t>
  </si>
  <si>
    <t>Fields with an asterisk (*) are mandatory. Your submission will fail if any mandatory fields are not completed. If information is unavailable for any mandatory field (or to clarify the data collection status of any field) enter the appropriate keyword to the right.</t>
  </si>
  <si>
    <r>
      <rPr>
        <b/>
        <sz val="10"/>
        <rFont val="Arial"/>
        <family val="2"/>
      </rPr>
      <t xml:space="preserve">Developer notes:
</t>
    </r>
    <r>
      <rPr>
        <sz val="10"/>
        <rFont val="Arial"/>
        <family val="2"/>
      </rPr>
      <t xml:space="preserve">
This set of columns can be hidden if desired.  These columns represent the isolate record as it is stored in the NCBI Biosample field (first two columns), and as it could be exported into the IRIDA database (last two columns).  The IRIDA database stores controlled vocabulary values by their Ontology ID if available.</t>
    </r>
  </si>
  <si>
    <t>env_material</t>
  </si>
  <si>
    <t>Isolate Environment Details</t>
  </si>
  <si>
    <t>Host description
 (misc details)</t>
  </si>
  <si>
    <t>. AMPHIBIAN OR REPTILE</t>
  </si>
  <si>
    <t>B3468</t>
  </si>
  <si>
    <t>. ANIMAL (MAMMAL)</t>
  </si>
  <si>
    <t>. . ARMADILLO</t>
  </si>
  <si>
    <t>B1626</t>
  </si>
  <si>
    <t>. . BEAR</t>
  </si>
  <si>
    <t>. . AMERICAN BLACK BEAR</t>
  </si>
  <si>
    <t>B4468</t>
  </si>
  <si>
    <t>. . BROWN BEAR</t>
  </si>
  <si>
    <t>B4470</t>
  </si>
  <si>
    <t>. . CALIFORNIA GOLDEN BEAR</t>
  </si>
  <si>
    <t>B4473</t>
  </si>
  <si>
    <t>. . POLAR BEAR</t>
  </si>
  <si>
    <t>B4469</t>
  </si>
  <si>
    <t>. . BEAVER</t>
  </si>
  <si>
    <t>. . BOVID</t>
  </si>
  <si>
    <t>B4381</t>
  </si>
  <si>
    <t>. . ANTELOPE</t>
  </si>
  <si>
    <t>. . BOVINE</t>
  </si>
  <si>
    <t>B4374</t>
  </si>
  <si>
    <t>. . AFRICAN BUFFALO</t>
  </si>
  <si>
    <t>B4156</t>
  </si>
  <si>
    <t>. . BISON</t>
  </si>
  <si>
    <t>. . . AMERICAN BISON</t>
  </si>
  <si>
    <t>B4154</t>
  </si>
  <si>
    <t>. . . BEEFALO</t>
  </si>
  <si>
    <t>. . . EUROPEAN BISON</t>
  </si>
  <si>
    <t>B4155</t>
  </si>
  <si>
    <t>. . BUFFALO</t>
  </si>
  <si>
    <t>. . . ASIAN WATER BUFFALO</t>
  </si>
  <si>
    <t>. . . SHORT-HORNED WATER BUFFALO</t>
  </si>
  <si>
    <t>B4380</t>
  </si>
  <si>
    <t>. . CATTLE</t>
  </si>
  <si>
    <t>. . . CALF</t>
  </si>
  <si>
    <t>. . . CATTLE AND GOAT</t>
  </si>
  <si>
    <t>B2245</t>
  </si>
  <si>
    <t>. . . CATTLE AND LAMB</t>
  </si>
  <si>
    <t>B2396</t>
  </si>
  <si>
    <t>. . . CATTLE AND SHEEP</t>
  </si>
  <si>
    <t>B2244</t>
  </si>
  <si>
    <t>. . . CATTLE AND SHEEP AND GOAT</t>
  </si>
  <si>
    <t>B2247</t>
  </si>
  <si>
    <t>. . . CATTLE AND SWINE</t>
  </si>
  <si>
    <t>. . . CATTLE AND SWINE AND CALF</t>
  </si>
  <si>
    <t>B1000</t>
  </si>
  <si>
    <t>. . . CATTLE AND SWINE AND SHEEP</t>
  </si>
  <si>
    <t>B2243</t>
  </si>
  <si>
    <t>. . . COW</t>
  </si>
  <si>
    <t>. . . YAK</t>
  </si>
  <si>
    <t>B3365</t>
  </si>
  <si>
    <t>. . . ZEBU</t>
  </si>
  <si>
    <t>B3367</t>
  </si>
  <si>
    <t>. . SPIRAL-HORNED BOVINE</t>
  </si>
  <si>
    <t>B4375</t>
  </si>
  <si>
    <t>. . . GREATER KUDU</t>
  </si>
  <si>
    <t>B4379</t>
  </si>
  <si>
    <t>. . . LESSER KUDU</t>
  </si>
  <si>
    <t>B4378</t>
  </si>
  <si>
    <t>. . . MOUNTAIN NYALA</t>
  </si>
  <si>
    <t>B4377</t>
  </si>
  <si>
    <t>. . . NYALA</t>
  </si>
  <si>
    <t>B4376</t>
  </si>
  <si>
    <t>. . MUSKOX</t>
  </si>
  <si>
    <t>B4562</t>
  </si>
  <si>
    <t>. . CAMEL</t>
  </si>
  <si>
    <t>B2103</t>
  </si>
  <si>
    <t>. . DEER FAMILY</t>
  </si>
  <si>
    <t>B1500</t>
  </si>
  <si>
    <t>. . DEER</t>
  </si>
  <si>
    <t>. . FALLOW DEER</t>
  </si>
  <si>
    <t>B4159</t>
  </si>
  <si>
    <t>. . MOOSE</t>
  </si>
  <si>
    <t>. . ODOCOILEUS DEER</t>
  </si>
  <si>
    <t>B4160</t>
  </si>
  <si>
    <t>. . REINDEER</t>
  </si>
  <si>
    <t>. . ROE DEER</t>
  </si>
  <si>
    <t>B3366</t>
  </si>
  <si>
    <t>. . DONKEY</t>
  </si>
  <si>
    <t>B2096</t>
  </si>
  <si>
    <t>. . ELEPHANT</t>
  </si>
  <si>
    <t>B2129</t>
  </si>
  <si>
    <t>. . GOAT</t>
  </si>
  <si>
    <t>. . HARE</t>
  </si>
  <si>
    <t>B2695</t>
  </si>
  <si>
    <t>. . ARCTIC HARE</t>
  </si>
  <si>
    <t>B4162</t>
  </si>
  <si>
    <t>. . EUROPEAN HARE</t>
  </si>
  <si>
    <t>B4161</t>
  </si>
  <si>
    <t>. . HIPPOPOTAMUS</t>
  </si>
  <si>
    <t>B2130</t>
  </si>
  <si>
    <t>. . HORSE</t>
  </si>
  <si>
    <t>. . KANGAROO</t>
  </si>
  <si>
    <t>B2092</t>
  </si>
  <si>
    <t>. . LLAMA</t>
  </si>
  <si>
    <t>B2741</t>
  </si>
  <si>
    <t>. . MARINE MAMMAL</t>
  </si>
  <si>
    <t>B1122</t>
  </si>
  <si>
    <t>. . MONKEY</t>
  </si>
  <si>
    <t>B2439</t>
  </si>
  <si>
    <t>. . MUSK DEER</t>
  </si>
  <si>
    <t>B1620</t>
  </si>
  <si>
    <t>. . MUSKRAT</t>
  </si>
  <si>
    <t>. . NUTRIA</t>
  </si>
  <si>
    <t>B2094</t>
  </si>
  <si>
    <t>. . OPOSSUM</t>
  </si>
  <si>
    <t>. . RABBIT</t>
  </si>
  <si>
    <t>. . RACCOON</t>
  </si>
  <si>
    <t>. . SHEEP</t>
  </si>
  <si>
    <t>. . SQUIRREL</t>
  </si>
  <si>
    <t>. . SWINE</t>
  </si>
  <si>
    <t>. . WOODCHUCK</t>
  </si>
  <si>
    <t>B1576</t>
  </si>
  <si>
    <t>. . ZEBRA</t>
  </si>
  <si>
    <t>B2097</t>
  </si>
  <si>
    <t>. FISH OR LOWER WATER ANIMAL</t>
  </si>
  <si>
    <t>B1021</t>
  </si>
  <si>
    <t>. . AQUATIC ANIMAL</t>
  </si>
  <si>
    <t>B1142</t>
  </si>
  <si>
    <t>. . CHORDATE</t>
  </si>
  <si>
    <t>B4465</t>
  </si>
  <si>
    <t>. . COELENTERATE</t>
  </si>
  <si>
    <t>B2409</t>
  </si>
  <si>
    <t>. . ECHINODERM</t>
  </si>
  <si>
    <t>B2115</t>
  </si>
  <si>
    <t>. . SEA CUCUMBER</t>
  </si>
  <si>
    <t>B2433</t>
  </si>
  <si>
    <t>. . SEA URCHIN</t>
  </si>
  <si>
    <t>B2107</t>
  </si>
  <si>
    <t>. . STARFISH</t>
  </si>
  <si>
    <t>B2108</t>
  </si>
  <si>
    <t>. . FISH</t>
  </si>
  <si>
    <t>. . DIADROMOUS FISH</t>
  </si>
  <si>
    <t>B3360</t>
  </si>
  <si>
    <t>. . . ATLANTIC SALMON</t>
  </si>
  <si>
    <t>B2250</t>
  </si>
  <si>
    <t>. . . CUTTHROAT TROUT</t>
  </si>
  <si>
    <t>B2869</t>
  </si>
  <si>
    <t>. . . TROUT</t>
  </si>
  <si>
    <t>. . . CHAR</t>
  </si>
  <si>
    <t>B4051</t>
  </si>
  <si>
    <t>. . . ARCTIC CHAR</t>
  </si>
  <si>
    <t>B1332</t>
  </si>
  <si>
    <t>. . . BROOK TROUT</t>
  </si>
  <si>
    <t>B1077</t>
  </si>
  <si>
    <t>. . . DOLLY VARDEN</t>
  </si>
  <si>
    <t>B1683</t>
  </si>
  <si>
    <t>. . . LAKE TROUT</t>
  </si>
  <si>
    <t>B1503</t>
  </si>
  <si>
    <t>. . . DANUBE SALMON</t>
  </si>
  <si>
    <t>B4047</t>
  </si>
  <si>
    <t>B1612</t>
  </si>
  <si>
    <t>. . . JAPANESE HUCHEN</t>
  </si>
  <si>
    <t>B4048</t>
  </si>
  <si>
    <t>. . . KOREAN TAIMEN</t>
  </si>
  <si>
    <t>B4050</t>
  </si>
  <si>
    <t>. . . TAIMEN</t>
  </si>
  <si>
    <t>B4049</t>
  </si>
  <si>
    <t>. . . PACIFIC SALMON</t>
  </si>
  <si>
    <t>B1126</t>
  </si>
  <si>
    <t>. . . ARIZONA TROUT</t>
  </si>
  <si>
    <t>B4059</t>
  </si>
  <si>
    <t>. . . BIWA</t>
  </si>
  <si>
    <t>B4063</t>
  </si>
  <si>
    <t>. . . CHERRY SALMON</t>
  </si>
  <si>
    <t>B1108</t>
  </si>
  <si>
    <t>. . . CHINOOK SALMON</t>
  </si>
  <si>
    <t>. . . CHUM SALMON</t>
  </si>
  <si>
    <t>. . . COHO SALMON</t>
  </si>
  <si>
    <t>. . . GILA TROUT</t>
  </si>
  <si>
    <t>B4062</t>
  </si>
  <si>
    <t>. . . GOLDEN TROUT</t>
  </si>
  <si>
    <t>B4060</t>
  </si>
  <si>
    <t>. . . MEXICAN GOLDEN TROUT</t>
  </si>
  <si>
    <t>B4061</t>
  </si>
  <si>
    <t>. . . PINK SALMON</t>
  </si>
  <si>
    <t>. . . RAINBOW TROUT</t>
  </si>
  <si>
    <t>. . . SOCKEYE SALMON</t>
  </si>
  <si>
    <t>. . FISH, BONY</t>
  </si>
  <si>
    <t>. . FISH, ACIPENSERIFORM</t>
  </si>
  <si>
    <t>B1020</t>
  </si>
  <si>
    <t>. . . PADDLEFISH FAMILY</t>
  </si>
  <si>
    <t>B1896</t>
  </si>
  <si>
    <t>. . . STURGEON FAMILY</t>
  </si>
  <si>
    <t>B1897</t>
  </si>
  <si>
    <t>. . . BELUGA</t>
  </si>
  <si>
    <t>B2528</t>
  </si>
  <si>
    <t>. . . STURGEON</t>
  </si>
  <si>
    <t>. . . ADRIATIC STURGEON</t>
  </si>
  <si>
    <t>B3816</t>
  </si>
  <si>
    <t>. . . EUROPEAN STURGEON</t>
  </si>
  <si>
    <t>B3812</t>
  </si>
  <si>
    <t>. . . FRINGE-BARBEL STURGEON</t>
  </si>
  <si>
    <t>B3815</t>
  </si>
  <si>
    <t>. . . GREEN STURGEON</t>
  </si>
  <si>
    <t>B1972</t>
  </si>
  <si>
    <t>. . . RUSSIAN STURGEOUN</t>
  </si>
  <si>
    <t>B3811</t>
  </si>
  <si>
    <t>. . . SEVRUGA</t>
  </si>
  <si>
    <t>B3813</t>
  </si>
  <si>
    <t>. . . STERLET</t>
  </si>
  <si>
    <t>B3814</t>
  </si>
  <si>
    <t>. . . WHITE STURGEON</t>
  </si>
  <si>
    <t>B1973</t>
  </si>
  <si>
    <t>. . FISH, ALBULIFORM</t>
  </si>
  <si>
    <t>B2544</t>
  </si>
  <si>
    <t>. . . SPINY EEL FAMILY</t>
  </si>
  <si>
    <t>B2526</t>
  </si>
  <si>
    <t>. . . SPINY EEL</t>
  </si>
  <si>
    <t>B2527</t>
  </si>
  <si>
    <t>. . FISH, AMIIFORM</t>
  </si>
  <si>
    <t>B2425</t>
  </si>
  <si>
    <t>. . . BOWFIN FAMILY</t>
  </si>
  <si>
    <t>B2435</t>
  </si>
  <si>
    <t>. . . BOWFIN</t>
  </si>
  <si>
    <t>B2436</t>
  </si>
  <si>
    <t>. . FISH, ANGUILLIFORM</t>
  </si>
  <si>
    <t>B1574</t>
  </si>
  <si>
    <t>. . . EEL</t>
  </si>
  <si>
    <t>. . . CONGER EEL FAMILY</t>
  </si>
  <si>
    <t>B2300</t>
  </si>
  <si>
    <t>. . . DUCKBILL EEL FAMILY</t>
  </si>
  <si>
    <t>B2533</t>
  </si>
  <si>
    <t>. . . FRESHWATER EEL FAMILY</t>
  </si>
  <si>
    <t>B2545</t>
  </si>
  <si>
    <t>. . . PIKE-CONGER FAMILY</t>
  </si>
  <si>
    <t>B3818</t>
  </si>
  <si>
    <t>. . FISH, ATHERINIFORM</t>
  </si>
  <si>
    <t>B1573</t>
  </si>
  <si>
    <t>. . . FLYINGFISH FAMILY</t>
  </si>
  <si>
    <t>B1886</t>
  </si>
  <si>
    <t>. . . HALFBEAK FAMILY</t>
  </si>
  <si>
    <t>B2912</t>
  </si>
  <si>
    <t>. . . KILLIFISH FAMILY</t>
  </si>
  <si>
    <t>B2618</t>
  </si>
  <si>
    <t>. . . NEEDLEFISH FAMILY</t>
  </si>
  <si>
    <t>B1887</t>
  </si>
  <si>
    <t>. . . NEOTROPICAL SILVERSIDE FAMILY</t>
  </si>
  <si>
    <t>B3819</t>
  </si>
  <si>
    <t>. . . RICEFISH FAMILY</t>
  </si>
  <si>
    <t>B2372</t>
  </si>
  <si>
    <t>. . . SAURY FAMILY</t>
  </si>
  <si>
    <t>B1888</t>
  </si>
  <si>
    <t>. . . SILVERSIDE FAMILY</t>
  </si>
  <si>
    <t>B1884</t>
  </si>
  <si>
    <t>. . FISH, AULOPIFORM</t>
  </si>
  <si>
    <t>B2497</t>
  </si>
  <si>
    <t>. . . FLAGFIN FAMILY</t>
  </si>
  <si>
    <t>B3824</t>
  </si>
  <si>
    <t>. . . LIZARDFISH FAMILY</t>
  </si>
  <si>
    <t>B2498</t>
  </si>
  <si>
    <t>. . FISH, BATRACHOIDIFORM</t>
  </si>
  <si>
    <t>B2200</t>
  </si>
  <si>
    <t>. . . TOADFISH FAMILY</t>
  </si>
  <si>
    <t>B2264</t>
  </si>
  <si>
    <t>. . FISH, BERYCIFORM</t>
  </si>
  <si>
    <t>B1983</t>
  </si>
  <si>
    <t>. . . ALFONSINO FAMILY</t>
  </si>
  <si>
    <t>B2884</t>
  </si>
  <si>
    <t>. . . SLIMEHEAD FAMILY</t>
  </si>
  <si>
    <t>B1942</t>
  </si>
  <si>
    <t>. . . SQUIRRELFISH FAMILY</t>
  </si>
  <si>
    <t>B2655</t>
  </si>
  <si>
    <t>. . FISH, CLUPEIFORM</t>
  </si>
  <si>
    <t>B1601</t>
  </si>
  <si>
    <t>. . . ANCHOVY FAMILY</t>
  </si>
  <si>
    <t>B1854</t>
  </si>
  <si>
    <t>. . . ANCHOVETA</t>
  </si>
  <si>
    <t>B3839</t>
  </si>
  <si>
    <t>. . . ARGENTINE ANCHOVY</t>
  </si>
  <si>
    <t>. . . ATLANTIC ANCHOVETA</t>
  </si>
  <si>
    <t>B3832</t>
  </si>
  <si>
    <t>. . . AUSTRALIAN ANCHOVY</t>
  </si>
  <si>
    <t>B3835</t>
  </si>
  <si>
    <t>. . . BAY ANCHOVY</t>
  </si>
  <si>
    <t>B3831</t>
  </si>
  <si>
    <t>. . . EUROPEAN ANCHOVY</t>
  </si>
  <si>
    <t>B3837</t>
  </si>
  <si>
    <t>. . . JAPANESE ANCHOVY</t>
  </si>
  <si>
    <t>B3838</t>
  </si>
  <si>
    <t>. . . NORTHERN ANCHOVY</t>
  </si>
  <si>
    <t>B1855</t>
  </si>
  <si>
    <t>. . . PACIFIC ANCHOVETA</t>
  </si>
  <si>
    <t>B3833</t>
  </si>
  <si>
    <t>. . . RAT-TAIL ANCHOVY</t>
  </si>
  <si>
    <t>B3834</t>
  </si>
  <si>
    <t>. . . RIVER ANCHOITA</t>
  </si>
  <si>
    <t>B3840</t>
  </si>
  <si>
    <t>. . . STET ANCHOVY</t>
  </si>
  <si>
    <t>B3836</t>
  </si>
  <si>
    <t>. . . STRIPED ANCHOVY</t>
  </si>
  <si>
    <t>B3830</t>
  </si>
  <si>
    <t>. . . HERRING FAMILY</t>
  </si>
  <si>
    <t>B1124</t>
  </si>
  <si>
    <t>. . . GIZZARD SHAD</t>
  </si>
  <si>
    <t>B3842</t>
  </si>
  <si>
    <t>. . . HARENGULA</t>
  </si>
  <si>
    <t>B3856</t>
  </si>
  <si>
    <t>. . . HERRING</t>
  </si>
  <si>
    <t>B1414</t>
  </si>
  <si>
    <t>. . . MENHADEN</t>
  </si>
  <si>
    <t>B1396</t>
  </si>
  <si>
    <t>. . . RIVER HERRING</t>
  </si>
  <si>
    <t>B1348</t>
  </si>
  <si>
    <t>. . . ROUND HERRING</t>
  </si>
  <si>
    <t>B3846</t>
  </si>
  <si>
    <t>. . . SARDINE</t>
  </si>
  <si>
    <t>B1558</t>
  </si>
  <si>
    <t>. . . SPRAT</t>
  </si>
  <si>
    <t>B1235</t>
  </si>
  <si>
    <t>. . . THREAD HERRING</t>
  </si>
  <si>
    <t>B1239</t>
  </si>
  <si>
    <t>. . FISH, CYPRINIFORM</t>
  </si>
  <si>
    <t>B1594</t>
  </si>
  <si>
    <t>. . . CARP OR MINNOW FAMILY</t>
  </si>
  <si>
    <t>B1921</t>
  </si>
  <si>
    <t>. . . SUCKER FAMILY</t>
  </si>
  <si>
    <t>B1892</t>
  </si>
  <si>
    <t>. . FISH, ESOCIFORM</t>
  </si>
  <si>
    <t>B3808</t>
  </si>
  <si>
    <t>. . . MUDMINNOW FAMILY</t>
  </si>
  <si>
    <t>B4481</t>
  </si>
  <si>
    <t>. . . PIKE FAMILY</t>
  </si>
  <si>
    <t>B1826</t>
  </si>
  <si>
    <t>. . FISH, GADIFORM</t>
  </si>
  <si>
    <t>B1157</t>
  </si>
  <si>
    <t>. . . COD FAMILY</t>
  </si>
  <si>
    <t>B1835</t>
  </si>
  <si>
    <t>. . . ALASKA POLLOCK</t>
  </si>
  <si>
    <t>. . . BLUE WHITING</t>
  </si>
  <si>
    <t>B3880</t>
  </si>
  <si>
    <t>. . . BURBOT</t>
  </si>
  <si>
    <t>. . . COD</t>
  </si>
  <si>
    <t>B1423</t>
  </si>
  <si>
    <t>. . . CODLING</t>
  </si>
  <si>
    <t>B1291</t>
  </si>
  <si>
    <t>. . . CUSK</t>
  </si>
  <si>
    <t>. . . EUROPEAN LING</t>
  </si>
  <si>
    <t>B3874</t>
  </si>
  <si>
    <t>. . . HADDOCK</t>
  </si>
  <si>
    <t>. . . NORWAY POUT</t>
  </si>
  <si>
    <t>B3354</t>
  </si>
  <si>
    <t>. . . POLLOCK</t>
  </si>
  <si>
    <t>B3876</t>
  </si>
  <si>
    <t>. . . WHITING</t>
  </si>
  <si>
    <t>. . . CUSK-EEL FAMILY</t>
  </si>
  <si>
    <t>B1844</t>
  </si>
  <si>
    <t>. . . EELPOUT FAMILY</t>
  </si>
  <si>
    <t>B1846</t>
  </si>
  <si>
    <t>. . . GRENADIER FAMILY</t>
  </si>
  <si>
    <t>B2899</t>
  </si>
  <si>
    <t>. . . HAKE FAMILY</t>
  </si>
  <si>
    <t>B3879</t>
  </si>
  <si>
    <t>. . . MORID COD FAMILY</t>
  </si>
  <si>
    <t>B2170</t>
  </si>
  <si>
    <t>. . FISH, GASTEROSTEIFORM</t>
  </si>
  <si>
    <t>B2478</t>
  </si>
  <si>
    <t>. . . PIPEFISH FAMILY</t>
  </si>
  <si>
    <t>B2573</t>
  </si>
  <si>
    <t>. . . STICKLEBACK FAMILY</t>
  </si>
  <si>
    <t>B2483</t>
  </si>
  <si>
    <t>. . FISH, GONORYNCHIFORM</t>
  </si>
  <si>
    <t>B2543</t>
  </si>
  <si>
    <t>. . . AFRICAN MUDFISH FAMILY</t>
  </si>
  <si>
    <t>B3810</t>
  </si>
  <si>
    <t>. . . MILKFISH FAMILY</t>
  </si>
  <si>
    <t>B2548</t>
  </si>
  <si>
    <t>. . FISH, LEPIDOSIRENIFORM</t>
  </si>
  <si>
    <t>B1994</t>
  </si>
  <si>
    <t>. . FISH, LOPHIIFORM</t>
  </si>
  <si>
    <t>B2404</t>
  </si>
  <si>
    <t>. . FISH, OSMERIFORM</t>
  </si>
  <si>
    <t>B3809</t>
  </si>
  <si>
    <t>. . FISH, OSTEOGLOSSIFORM</t>
  </si>
  <si>
    <t>B4559</t>
  </si>
  <si>
    <t>. . FISH, PERCIFORM</t>
  </si>
  <si>
    <t>. . FISH, PLEURONECTIFORM</t>
  </si>
  <si>
    <t>. . FISH, SALMONIFORM</t>
  </si>
  <si>
    <t>B1592</t>
  </si>
  <si>
    <t>. . . TROUT AND SALMON FAMILY</t>
  </si>
  <si>
    <t>B1129</t>
  </si>
  <si>
    <t>. . . GRAYLING</t>
  </si>
  <si>
    <t>B4045</t>
  </si>
  <si>
    <t>. . . SALMONINS</t>
  </si>
  <si>
    <t>B3807</t>
  </si>
  <si>
    <t>. . . . ATLANTIC SALMON</t>
  </si>
  <si>
    <t>. . . . CUTTHROAT TROUT</t>
  </si>
  <si>
    <t>. . . . TROUT</t>
  </si>
  <si>
    <t>. . . . ARCTIC CHAR</t>
  </si>
  <si>
    <t>. . . . BROOK TROUT</t>
  </si>
  <si>
    <t>. . . . DOLLY VARDEN</t>
  </si>
  <si>
    <t>. . . . LAKE TROUT</t>
  </si>
  <si>
    <t>. . . . DANUBE SALMON</t>
  </si>
  <si>
    <t>. . . . JAPANESE HUCHEN</t>
  </si>
  <si>
    <t>. . . . KOREAN TAIMEN</t>
  </si>
  <si>
    <t>. . . . TAIMEN</t>
  </si>
  <si>
    <t>. . . . ARIZONA TROUT</t>
  </si>
  <si>
    <t>. . . . BIWA</t>
  </si>
  <si>
    <t>. . . . CHERRY SALMON</t>
  </si>
  <si>
    <t>. . . . CHINOOK SALMON</t>
  </si>
  <si>
    <t>. . . . CHUM SALMON</t>
  </si>
  <si>
    <t>. . . . COHO SALMON</t>
  </si>
  <si>
    <t>. . . . GILA TROUT</t>
  </si>
  <si>
    <t>. . . . GOLDEN TROUT</t>
  </si>
  <si>
    <t>. . . . MEXICAN GOLDEN TROUT</t>
  </si>
  <si>
    <t>. . . . PINK SALMON</t>
  </si>
  <si>
    <t>. . . . RAINBOW TROUT</t>
  </si>
  <si>
    <t>. . . . SOCKEYE SALMON</t>
  </si>
  <si>
    <t>. . . WHITEFISH OR CISCO</t>
  </si>
  <si>
    <t>B1565</t>
  </si>
  <si>
    <t>. . FISH, SCORPAENIFORM</t>
  </si>
  <si>
    <t>B2265</t>
  </si>
  <si>
    <t>. . . FATHEAD FAMILY</t>
  </si>
  <si>
    <t>B2916</t>
  </si>
  <si>
    <t>. . . GREENLING FAMILY</t>
  </si>
  <si>
    <t>B1811</t>
  </si>
  <si>
    <t>. . . SCORPIONFISH FAMILY</t>
  </si>
  <si>
    <t>. . . SEAROBIN FAMILY</t>
  </si>
  <si>
    <t>B2235</t>
  </si>
  <si>
    <t>. . FISH, SEMIONOTIFORMES</t>
  </si>
  <si>
    <t>B1894</t>
  </si>
  <si>
    <t>. . . GAR FAMILY</t>
  </si>
  <si>
    <t>B1893</t>
  </si>
  <si>
    <t>. . FISH, SILURIFORM</t>
  </si>
  <si>
    <t>B1598</t>
  </si>
  <si>
    <t>. . . BULLHEAD CATFISH FAMILY</t>
  </si>
  <si>
    <t>B1040</t>
  </si>
  <si>
    <t>. . . GIANT CATFISHES</t>
  </si>
  <si>
    <t>B3684</t>
  </si>
  <si>
    <t>. . . GLASS CATFISH FAMILY</t>
  </si>
  <si>
    <t>B4069</t>
  </si>
  <si>
    <t>. . . LABYRINTH CATFISH FAMILY</t>
  </si>
  <si>
    <t>B1901</t>
  </si>
  <si>
    <t>. . . LONG WHISKERED CATFISH FAMILY</t>
  </si>
  <si>
    <t>B1969</t>
  </si>
  <si>
    <t>. . . SEA CATFISH FAMILY</t>
  </si>
  <si>
    <t>B1155</t>
  </si>
  <si>
    <t>. . . SHEATFISH FAMILY</t>
  </si>
  <si>
    <t>B2547</t>
  </si>
  <si>
    <t>. . FISH, TETRAODONTIFORM</t>
  </si>
  <si>
    <t>B1977</t>
  </si>
  <si>
    <t>. . . BURRFISH FAMILY</t>
  </si>
  <si>
    <t>B4072</t>
  </si>
  <si>
    <t>. . . FILEFISH FAMILY</t>
  </si>
  <si>
    <t>B2132</t>
  </si>
  <si>
    <t>. . . MOLA FAMILY</t>
  </si>
  <si>
    <t>B2586</t>
  </si>
  <si>
    <t>. . . PUFFERFISH FAMILY</t>
  </si>
  <si>
    <t>B1990</t>
  </si>
  <si>
    <t>. . . TRIGGERFISH FAMILY</t>
  </si>
  <si>
    <t>B2138</t>
  </si>
  <si>
    <t>. . FISH, ZEIFORM</t>
  </si>
  <si>
    <t>B1895</t>
  </si>
  <si>
    <t>. . . BIGEYE DORY FAMILY</t>
  </si>
  <si>
    <t>B4076</t>
  </si>
  <si>
    <t>. . . DORY FAMILY</t>
  </si>
  <si>
    <t>B1891</t>
  </si>
  <si>
    <t>. . . OREO DORY FAMILY</t>
  </si>
  <si>
    <t>B2576</t>
  </si>
  <si>
    <t>. . FISH, CARTILAGINOUS</t>
  </si>
  <si>
    <t>B1007</t>
  </si>
  <si>
    <t>. . FISH, JAWLESS</t>
  </si>
  <si>
    <t>B1164</t>
  </si>
  <si>
    <t>. . FISH, PETROMYZONTIFORM</t>
  </si>
  <si>
    <t>B2753</t>
  </si>
  <si>
    <t>. . . LAMPREY FAMILY</t>
  </si>
  <si>
    <t>B4133</t>
  </si>
  <si>
    <t>. . . SEA LAMPREY</t>
  </si>
  <si>
    <t>B2704</t>
  </si>
  <si>
    <t>. . FRESHWATER FISH</t>
  </si>
  <si>
    <t>B3361</t>
  </si>
  <si>
    <t>. . MARINE FISH</t>
  </si>
  <si>
    <t>B3362</t>
  </si>
  <si>
    <t>. . SHELLFISH OR CRUSTACEAN</t>
  </si>
  <si>
    <t>B1059</t>
  </si>
  <si>
    <t>. . CRUSTACEAN</t>
  </si>
  <si>
    <t>B1374</t>
  </si>
  <si>
    <t>. . BRANCHIOPOD</t>
  </si>
  <si>
    <t>B3616</t>
  </si>
  <si>
    <t>. . . ARTEMIIDAE SHRIMP FAMILY</t>
  </si>
  <si>
    <t>B2465</t>
  </si>
  <si>
    <t>. . . BRINE SHRIMP</t>
  </si>
  <si>
    <t>B2464</t>
  </si>
  <si>
    <t>. . CIRRIPED</t>
  </si>
  <si>
    <t>B2128</t>
  </si>
  <si>
    <t>. . DECAPOD</t>
  </si>
  <si>
    <t>B1998</t>
  </si>
  <si>
    <t>. . . CRAB</t>
  </si>
  <si>
    <t>. . . COCONUT CRAB FAMILY</t>
  </si>
  <si>
    <t>B2218</t>
  </si>
  <si>
    <t>. . . DEEP SEA CRAB FAMILY</t>
  </si>
  <si>
    <t>B2228</t>
  </si>
  <si>
    <t>. . . HELMET CRAB FAMILY</t>
  </si>
  <si>
    <t>B4134</t>
  </si>
  <si>
    <t>. . . HORSE CRAB FAMILY</t>
  </si>
  <si>
    <t>B2230</t>
  </si>
  <si>
    <t>. . . KING CRAB FAMILY</t>
  </si>
  <si>
    <t>B2209</t>
  </si>
  <si>
    <t>. . . LAND CRAB FAMILY</t>
  </si>
  <si>
    <t>B2342</t>
  </si>
  <si>
    <t>. . . MUD CRAB FAMILY</t>
  </si>
  <si>
    <t>B2215</t>
  </si>
  <si>
    <t>. . . OREGONIID FAMILY</t>
  </si>
  <si>
    <t>B4138</t>
  </si>
  <si>
    <t>. . . ROCK CRAB FAMILY</t>
  </si>
  <si>
    <t>B2351</t>
  </si>
  <si>
    <t>. . . SHORE, MARSH AND TALON CRAB FAMILY</t>
  </si>
  <si>
    <t>B2220</t>
  </si>
  <si>
    <t>. . . SPIDER CRAB FAMILY</t>
  </si>
  <si>
    <t>B2222</t>
  </si>
  <si>
    <t>. . . SPONGE CRAB FAMILY</t>
  </si>
  <si>
    <t>B2226</t>
  </si>
  <si>
    <t>. . . STONE CRAB FAMILY</t>
  </si>
  <si>
    <t>B4135</t>
  </si>
  <si>
    <t>. . . SWIMMING CRAB FAMILY</t>
  </si>
  <si>
    <t>B2212</t>
  </si>
  <si>
    <t>. . . CRAWFISH OR CRAYFISH</t>
  </si>
  <si>
    <t>. . . KRILL</t>
  </si>
  <si>
    <t>B2844</t>
  </si>
  <si>
    <t>. . . LOBSTER</t>
  </si>
  <si>
    <t>B1505</t>
  </si>
  <si>
    <t>. . . SHRIMP</t>
  </si>
  <si>
    <t>. . SHELLFISH</t>
  </si>
  <si>
    <t>B1433</t>
  </si>
  <si>
    <t>. . MOLLUSCS</t>
  </si>
  <si>
    <t>B2112</t>
  </si>
  <si>
    <t>. . . BIVALVE</t>
  </si>
  <si>
    <t>B2113</t>
  </si>
  <si>
    <t>. . . ARKSHELLS</t>
  </si>
  <si>
    <t>B2432</t>
  </si>
  <si>
    <t>. . . CLAM</t>
  </si>
  <si>
    <t>. . . ASIAN CLAM</t>
  </si>
  <si>
    <t>B2646</t>
  </si>
  <si>
    <t>. . . DIPHOS SANGUIN</t>
  </si>
  <si>
    <t>B1030</t>
  </si>
  <si>
    <t>. . . MACTRA SURF SHELL FAMILY</t>
  </si>
  <si>
    <t>B4145</t>
  </si>
  <si>
    <t>. . . MARGIN JACKKNIFE</t>
  </si>
  <si>
    <t>B2716</t>
  </si>
  <si>
    <t>. . . NEW ZEALAND WEDGE CLAM</t>
  </si>
  <si>
    <t>B2261</t>
  </si>
  <si>
    <t>. . . PACIFIC GEODUCK</t>
  </si>
  <si>
    <t>B2538</t>
  </si>
  <si>
    <t>. . . PIPI CLAM</t>
  </si>
  <si>
    <t>B2682</t>
  </si>
  <si>
    <t>. . . QUAHOG</t>
  </si>
  <si>
    <t>B2501</t>
  </si>
  <si>
    <t>. . . RAZOR SHELL FAMILY</t>
  </si>
  <si>
    <t>B4143</t>
  </si>
  <si>
    <t>. . . SOFTSHELL CLAM</t>
  </si>
  <si>
    <t>B2356</t>
  </si>
  <si>
    <t>. . . TOHEROA WEDGE CLAM</t>
  </si>
  <si>
    <t>B2684</t>
  </si>
  <si>
    <t>. . . VENUS CLAM FAMILY</t>
  </si>
  <si>
    <t>B2890</t>
  </si>
  <si>
    <t>. . . COCKLE</t>
  </si>
  <si>
    <t>B1317</t>
  </si>
  <si>
    <t>. . . MUSSEL</t>
  </si>
  <si>
    <t>. . . AUSTRALIAN MUSSEL</t>
  </si>
  <si>
    <t>B3656</t>
  </si>
  <si>
    <t>. . . BLUE MUSSEL</t>
  </si>
  <si>
    <t>B2875</t>
  </si>
  <si>
    <t>. . . CALIFORNIA MUSSEL</t>
  </si>
  <si>
    <t>B1046</t>
  </si>
  <si>
    <t>. . . CHILEAN BLUE MUSSEL</t>
  </si>
  <si>
    <t>B3653</t>
  </si>
  <si>
    <t>. . . DATE SHELL</t>
  </si>
  <si>
    <t>B4151</t>
  </si>
  <si>
    <t>. . . GREEN MUSSEL</t>
  </si>
  <si>
    <t>B3658</t>
  </si>
  <si>
    <t>. . . HORSE MUSSEL</t>
  </si>
  <si>
    <t>B4152</t>
  </si>
  <si>
    <t>. . . KERGUELEN MUSSEL</t>
  </si>
  <si>
    <t>B3660</t>
  </si>
  <si>
    <t>. . . KOREAN MUSSEL</t>
  </si>
  <si>
    <t>B3654</t>
  </si>
  <si>
    <t>. . . MAGELLAN MUSSEL</t>
  </si>
  <si>
    <t>B4150</t>
  </si>
  <si>
    <t>. . . MEDITERRANEAN MUSSEL</t>
  </si>
  <si>
    <t>B3655</t>
  </si>
  <si>
    <t>. . . NEW ZEALAND GREEN MUSSEL</t>
  </si>
  <si>
    <t>B1963</t>
  </si>
  <si>
    <t>. . . NORTHERN BLUE MUSSEL</t>
  </si>
  <si>
    <t>B3659</t>
  </si>
  <si>
    <t>. . . NORTHERN HORSE MUSSEL</t>
  </si>
  <si>
    <t>B1037</t>
  </si>
  <si>
    <t>. . . RIVER PLATA MUSSEL</t>
  </si>
  <si>
    <t>B3657</t>
  </si>
  <si>
    <t>. . . SOUTH AMERICAN ROCK MUSSEL</t>
  </si>
  <si>
    <t>B4153</t>
  </si>
  <si>
    <t>. . . OYSTER</t>
  </si>
  <si>
    <t>. . . CHILEAN FLAT OYSTER</t>
  </si>
  <si>
    <t>B3671</t>
  </si>
  <si>
    <t>. . . DENTICULATE ROCK OYSTER</t>
  </si>
  <si>
    <t>B3675</t>
  </si>
  <si>
    <t>. . . EASTERN OYSTER</t>
  </si>
  <si>
    <t>. . . EUROPEAN OYSTER</t>
  </si>
  <si>
    <t>B3672</t>
  </si>
  <si>
    <t>. . . JAPANESE FLAT OYSTER</t>
  </si>
  <si>
    <t>B2876</t>
  </si>
  <si>
    <t>. . . KUMAMOTO OYSTER</t>
  </si>
  <si>
    <t>B3676</t>
  </si>
  <si>
    <t>. . . MANGROVE CUPPED OYSTER</t>
  </si>
  <si>
    <t>B3673</t>
  </si>
  <si>
    <t>. . . NEW ZEALAND DREDGE OYSTER</t>
  </si>
  <si>
    <t>B2690</t>
  </si>
  <si>
    <t>. . . NEW ZEALAND ROCK OYSTER</t>
  </si>
  <si>
    <t>B1952</t>
  </si>
  <si>
    <t>. . . OLYMPIA FLAT OYSTER</t>
  </si>
  <si>
    <t>B1958</t>
  </si>
  <si>
    <t>. . . PACIFIC GIANT OYSTER</t>
  </si>
  <si>
    <t>. . . SYDNEY CUPPED OYSTER</t>
  </si>
  <si>
    <t>B3674</t>
  </si>
  <si>
    <t>. . . PENSHELL</t>
  </si>
  <si>
    <t>B3677</t>
  </si>
  <si>
    <t>. . . SCALLOP</t>
  </si>
  <si>
    <t>. . . ATLANTIC CALICO SCALLOP</t>
  </si>
  <si>
    <t>B1945</t>
  </si>
  <si>
    <t>. . . AUSTRALIAN SCALLOP</t>
  </si>
  <si>
    <t>B4148</t>
  </si>
  <si>
    <t>. . . BAY SCALLOP</t>
  </si>
  <si>
    <t>B2459</t>
  </si>
  <si>
    <t>. . . GREAT ATLANTIC SCALLOP</t>
  </si>
  <si>
    <t>B3481</t>
  </si>
  <si>
    <t>. . . GREAT SCALLOP</t>
  </si>
  <si>
    <t>B4146</t>
  </si>
  <si>
    <t>. . . ICELAND SCALLOP</t>
  </si>
  <si>
    <t>B1947</t>
  </si>
  <si>
    <t>. . . JAPANESE SCALLOP</t>
  </si>
  <si>
    <t>B2353</t>
  </si>
  <si>
    <t>. . . NEW ZEALAND COMMERCIAL SCALLOP</t>
  </si>
  <si>
    <t>B1946</t>
  </si>
  <si>
    <t>. . . QUEEN SCALLOP</t>
  </si>
  <si>
    <t>B2715</t>
  </si>
  <si>
    <t>. . . SEA SCALLOP</t>
  </si>
  <si>
    <t>B1050</t>
  </si>
  <si>
    <t>. . . SOUTH ATLANTIC SCALLOP</t>
  </si>
  <si>
    <t>B4149</t>
  </si>
  <si>
    <t>. . . SOUTHERN QUEEN SCALLOP</t>
  </si>
  <si>
    <t>B4277</t>
  </si>
  <si>
    <t>. . . VARIEGATED SCALLOP</t>
  </si>
  <si>
    <t>B4147</t>
  </si>
  <si>
    <t>. . . WEATHERVANE SCALLOP</t>
  </si>
  <si>
    <t>B4384</t>
  </si>
  <si>
    <t>. . . CEPHALOPOD</t>
  </si>
  <si>
    <t>B2116</t>
  </si>
  <si>
    <t>. . . BOBTAIL SQUID</t>
  </si>
  <si>
    <t>B4532</t>
  </si>
  <si>
    <t>. . . CUTTLEFISH</t>
  </si>
  <si>
    <t>. . . FLYING SQUID</t>
  </si>
  <si>
    <t>B3693</t>
  </si>
  <si>
    <t>. . . OCTOPUS</t>
  </si>
  <si>
    <t>. . . SQUID</t>
  </si>
  <si>
    <t>. . . GASTROPOD</t>
  </si>
  <si>
    <t>B2111</t>
  </si>
  <si>
    <t>. . . ARCHAEOGASTROPOD</t>
  </si>
  <si>
    <t>B1002</t>
  </si>
  <si>
    <t>. . . ABALONE</t>
  </si>
  <si>
    <t>. . . LIMPET</t>
  </si>
  <si>
    <t>B2279</t>
  </si>
  <si>
    <t>. . . TOP SHELL</t>
  </si>
  <si>
    <t>B2321</t>
  </si>
  <si>
    <t>. . . MESOGASTROPOD</t>
  </si>
  <si>
    <t>B1008</t>
  </si>
  <si>
    <t>. . . CONCH</t>
  </si>
  <si>
    <t>B1259</t>
  </si>
  <si>
    <t>. . . PERIWINKLE FAMILY</t>
  </si>
  <si>
    <t>B2925</t>
  </si>
  <si>
    <t>. . . NEOGASTROPOD</t>
  </si>
  <si>
    <t>B1010</t>
  </si>
  <si>
    <t>. . . SNAIL</t>
  </si>
  <si>
    <t>B2114</t>
  </si>
  <si>
    <t>. . . . GIANT SNAIL</t>
  </si>
  <si>
    <t>B4386</t>
  </si>
  <si>
    <t>. . . . LAND SNAIL</t>
  </si>
  <si>
    <t>B1455</t>
  </si>
  <si>
    <t>. . . . BROWN GARDENSNAIL</t>
  </si>
  <si>
    <t>B3662</t>
  </si>
  <si>
    <t>. . . . ESCARGOT</t>
  </si>
  <si>
    <t>B3663</t>
  </si>
  <si>
    <t>. . . . GREEN GARDENSNAIL</t>
  </si>
  <si>
    <t>B3661</t>
  </si>
  <si>
    <t>. . . . TURKISH SNAIL</t>
  </si>
  <si>
    <t>B3664</t>
  </si>
  <si>
    <t>. . . . ROCK SHELL SNAIL</t>
  </si>
  <si>
    <t>B2322</t>
  </si>
  <si>
    <t>. . . . WATER SNAIL</t>
  </si>
  <si>
    <t>B1135</t>
  </si>
  <si>
    <t>. . . WHELK</t>
  </si>
  <si>
    <t>. . . POLYPLACOPHORAN</t>
  </si>
  <si>
    <t>B4476</t>
  </si>
  <si>
    <t>. . . BLACK KATY CHITON</t>
  </si>
  <si>
    <t>B4477</t>
  </si>
  <si>
    <t>. INSECT</t>
  </si>
  <si>
    <t>B1220</t>
  </si>
  <si>
    <t>. POULTRY OR GAME BIRD</t>
  </si>
  <si>
    <t>. . BLACK GUILLEMOT</t>
  </si>
  <si>
    <t>B3508</t>
  </si>
  <si>
    <t>. . CHICKEN</t>
  </si>
  <si>
    <t>. . BROILER OR FRYER CHICKEN</t>
  </si>
  <si>
    <t>. . CAPON</t>
  </si>
  <si>
    <t>. . HEN</t>
  </si>
  <si>
    <t>. . ROASTER CHICKEN</t>
  </si>
  <si>
    <t>. . ROCK CORNISH FOWL</t>
  </si>
  <si>
    <t>B1591</t>
  </si>
  <si>
    <t>. . ROOSTER</t>
  </si>
  <si>
    <t>B1714</t>
  </si>
  <si>
    <t>. . STAG CHICKEN</t>
  </si>
  <si>
    <t>B1712</t>
  </si>
  <si>
    <t>. . DUCK</t>
  </si>
  <si>
    <t>. . FULMAR</t>
  </si>
  <si>
    <t>B4565</t>
  </si>
  <si>
    <t>. . GOOSE</t>
  </si>
  <si>
    <t>. . GROUSE</t>
  </si>
  <si>
    <t>B1251</t>
  </si>
  <si>
    <t>. . GUINEA FOWL</t>
  </si>
  <si>
    <t>. . GULL</t>
  </si>
  <si>
    <t>B3503</t>
  </si>
  <si>
    <t>. . OWL ORDER</t>
  </si>
  <si>
    <t>B4489</t>
  </si>
  <si>
    <t>. . PARTRIDGE</t>
  </si>
  <si>
    <t>B1382</t>
  </si>
  <si>
    <t>. . PHEASANT</t>
  </si>
  <si>
    <t>. . PIGEON</t>
  </si>
  <si>
    <t>. . PLOVER</t>
  </si>
  <si>
    <t>B3504</t>
  </si>
  <si>
    <t>. . PTARMIGAN</t>
  </si>
  <si>
    <t>B2697</t>
  </si>
  <si>
    <t>. . PUFFIN</t>
  </si>
  <si>
    <t>B4292</t>
  </si>
  <si>
    <t>. . QUAIL</t>
  </si>
  <si>
    <t>. . RATITE</t>
  </si>
  <si>
    <t>B4362</t>
  </si>
  <si>
    <t>. . SHEARWATER</t>
  </si>
  <si>
    <t>B4296</t>
  </si>
  <si>
    <t>. . SNIPE</t>
  </si>
  <si>
    <t>B2696</t>
  </si>
  <si>
    <t>. . SWIFT</t>
  </si>
  <si>
    <t>B4523</t>
  </si>
  <si>
    <t>. . TURKEY (POULTRY)</t>
  </si>
  <si>
    <t>. . WOODCOCK</t>
  </si>
  <si>
    <t>B2119</t>
  </si>
  <si>
    <t>. CHEMICAL FOOD SOURCE</t>
  </si>
  <si>
    <t>. FOOD SOURCE NOT KNOWN</t>
  </si>
  <si>
    <t>. LIQUID AS FOOD SOURCE</t>
  </si>
  <si>
    <t>B2974</t>
  </si>
  <si>
    <t>. PLANT USED AS FOOD SOURCE</t>
  </si>
  <si>
    <t>. FRUIT-PRODUCING PLANT</t>
  </si>
  <si>
    <t>. . BERRY</t>
  </si>
  <si>
    <t>B1231</t>
  </si>
  <si>
    <t>. . BARBERRY</t>
  </si>
  <si>
    <t>B2492</t>
  </si>
  <si>
    <t>. . BEARBERRY</t>
  </si>
  <si>
    <t>B3404</t>
  </si>
  <si>
    <t>. . BERRY, BRAMBLE</t>
  </si>
  <si>
    <t>B1121</t>
  </si>
  <si>
    <t>. . BERRY, RIBES</t>
  </si>
  <si>
    <t>B1159</t>
  </si>
  <si>
    <t>. . BERRY, VACCINIUM</t>
  </si>
  <si>
    <t>B1614</t>
  </si>
  <si>
    <t>. . CROWBERRY</t>
  </si>
  <si>
    <t>B4262</t>
  </si>
  <si>
    <t>. . ELDERBERRY</t>
  </si>
  <si>
    <t>B4211</t>
  </si>
  <si>
    <t>. . ENGLISH HOLLY</t>
  </si>
  <si>
    <t>B1697</t>
  </si>
  <si>
    <t>. . GRAPE</t>
  </si>
  <si>
    <t>. . JABOTICABA</t>
  </si>
  <si>
    <t>B4266</t>
  </si>
  <si>
    <t>. . MULBERRY</t>
  </si>
  <si>
    <t>. . SQUASHBERRY</t>
  </si>
  <si>
    <t>B4478</t>
  </si>
  <si>
    <t>. . STRAWBERRY</t>
  </si>
  <si>
    <t>. . CACTUS</t>
  </si>
  <si>
    <t>B2241</t>
  </si>
  <si>
    <t>. . CASCARA BUCKTHORN</t>
  </si>
  <si>
    <t>B2340</t>
  </si>
  <si>
    <t>. . CITRUS FAMILY</t>
  </si>
  <si>
    <t>B1139</t>
  </si>
  <si>
    <t>. . AUSTRALIAN FINGER LIME</t>
  </si>
  <si>
    <t>B4305</t>
  </si>
  <si>
    <t>. . AUSTRALIAN ROUND LIME</t>
  </si>
  <si>
    <t>B4304</t>
  </si>
  <si>
    <t>. . AUSTRALIAN SUNRISE LIME</t>
  </si>
  <si>
    <t>B4306</t>
  </si>
  <si>
    <t>. . CALAMONDIN</t>
  </si>
  <si>
    <t>B2625</t>
  </si>
  <si>
    <t>. . CITRON</t>
  </si>
  <si>
    <t>B1211</t>
  </si>
  <si>
    <t>. . CLEMENTINE</t>
  </si>
  <si>
    <t>B1751</t>
  </si>
  <si>
    <t>. . GRAPEFRUIT</t>
  </si>
  <si>
    <t>. . KAFFIR LIME</t>
  </si>
  <si>
    <t>B4339</t>
  </si>
  <si>
    <t>. . KING ORANGE</t>
  </si>
  <si>
    <t>B2468</t>
  </si>
  <si>
    <t>. . KUMQUAT</t>
  </si>
  <si>
    <t>. . LEMON</t>
  </si>
  <si>
    <t>. . LIME (CITRUS)</t>
  </si>
  <si>
    <t>. . MANDARIN LIME</t>
  </si>
  <si>
    <t>B4214</t>
  </si>
  <si>
    <t>. . MANDARIN ORANGE</t>
  </si>
  <si>
    <t>. . MYRTLE-LEAF ORANGE</t>
  </si>
  <si>
    <t>B4218</t>
  </si>
  <si>
    <t>. . ORANGE</t>
  </si>
  <si>
    <t>. . BLOOD ORANGE</t>
  </si>
  <si>
    <t>B4313</t>
  </si>
  <si>
    <t>. . CALIFORNIA VALENCIA ORANGE</t>
  </si>
  <si>
    <t>. . GRAPEFRUIT AND ORANGE</t>
  </si>
  <si>
    <t>. . ORANGE AND APRICOT</t>
  </si>
  <si>
    <t>. . PINEAPPLE AND ORANGE</t>
  </si>
  <si>
    <t>. . SOUR ORANGE</t>
  </si>
  <si>
    <t>B1193</t>
  </si>
  <si>
    <t>. . ORANGELO</t>
  </si>
  <si>
    <t>B4354</t>
  </si>
  <si>
    <t>. . PRICKLY ASH</t>
  </si>
  <si>
    <t>B2295</t>
  </si>
  <si>
    <t>. . PUMMELO</t>
  </si>
  <si>
    <t>. . SWEET LIME</t>
  </si>
  <si>
    <t>B4215</t>
  </si>
  <si>
    <t>. . TANGELO</t>
  </si>
  <si>
    <t>B1473</t>
  </si>
  <si>
    <t>. . TANGERINE</t>
  </si>
  <si>
    <t>B4217</t>
  </si>
  <si>
    <t>. . TEMPLE ORANGE</t>
  </si>
  <si>
    <t>B2469</t>
  </si>
  <si>
    <t>. . CORE OR POME FRUIT</t>
  </si>
  <si>
    <t>B1599</t>
  </si>
  <si>
    <t>. . APPLE</t>
  </si>
  <si>
    <t>. . BLACK CHOKEBERRY</t>
  </si>
  <si>
    <t>B3455</t>
  </si>
  <si>
    <t>. . CHINESE CRABAPPLE</t>
  </si>
  <si>
    <t>B3344</t>
  </si>
  <si>
    <t>. . COMMON CHOKEBERRY</t>
  </si>
  <si>
    <t>B4518</t>
  </si>
  <si>
    <t>. . EUROPEAN CRABAPPLE</t>
  </si>
  <si>
    <t>B3347</t>
  </si>
  <si>
    <t>. . FIRE THORN</t>
  </si>
  <si>
    <t>B2349</t>
  </si>
  <si>
    <t>. . HAWTHORN</t>
  </si>
  <si>
    <t>B1708</t>
  </si>
  <si>
    <t>. . JUNEBERRY</t>
  </si>
  <si>
    <t>B1435</t>
  </si>
  <si>
    <t>. . LOQUAT</t>
  </si>
  <si>
    <t>. . MANDCHURIAN CRABAPPLE</t>
  </si>
  <si>
    <t>B3345</t>
  </si>
  <si>
    <t>. . MEDLAR</t>
  </si>
  <si>
    <t>B2014</t>
  </si>
  <si>
    <t>. . PARADISE APPLE</t>
  </si>
  <si>
    <t>B3346</t>
  </si>
  <si>
    <t>. . PEAR</t>
  </si>
  <si>
    <t>. . ANJOU PEAR</t>
  </si>
  <si>
    <t>B2081</t>
  </si>
  <si>
    <t>. . BOSC PEAR</t>
  </si>
  <si>
    <t>B2080</t>
  </si>
  <si>
    <t>. . QUINCE</t>
  </si>
  <si>
    <t>. . SAND PEAR</t>
  </si>
  <si>
    <t>B1523</t>
  </si>
  <si>
    <t>. . SORBUS</t>
  </si>
  <si>
    <t>B4357</t>
  </si>
  <si>
    <t>. . SWEET CRABAPPLE</t>
  </si>
  <si>
    <t>. . INDIAN MULBERRY</t>
  </si>
  <si>
    <t>B3470</t>
  </si>
  <si>
    <t>. . KNOTWEED FAMILY</t>
  </si>
  <si>
    <t>B4494</t>
  </si>
  <si>
    <t>. . MELON</t>
  </si>
  <si>
    <t>. . PERSIMMON</t>
  </si>
  <si>
    <t>. . PRICKLY PEAR</t>
  </si>
  <si>
    <t>. . STONE FRUIT</t>
  </si>
  <si>
    <t>B1539</t>
  </si>
  <si>
    <t>. . APRICOT</t>
  </si>
  <si>
    <t>. . AVOCADO</t>
  </si>
  <si>
    <t>. . CHERRY</t>
  </si>
  <si>
    <t>. . CHOKECHERRY</t>
  </si>
  <si>
    <t>B2044</t>
  </si>
  <si>
    <t>. . CORNELIAN CHERRY</t>
  </si>
  <si>
    <t>B2946</t>
  </si>
  <si>
    <t>. . DATE</t>
  </si>
  <si>
    <t>. . HARD-FLESHED CHERRY</t>
  </si>
  <si>
    <t>B2957</t>
  </si>
  <si>
    <t>. . NECTARINE</t>
  </si>
  <si>
    <t>. . PAWPAW</t>
  </si>
  <si>
    <t>B1202</t>
  </si>
  <si>
    <t>. . PEACH</t>
  </si>
  <si>
    <t>. . PLUM</t>
  </si>
  <si>
    <t>. . SEA BUCKTHORN</t>
  </si>
  <si>
    <t>B2748</t>
  </si>
  <si>
    <t>. . SLOE</t>
  </si>
  <si>
    <t>B3325</t>
  </si>
  <si>
    <t>. . SUMAC</t>
  </si>
  <si>
    <t>B2161</t>
  </si>
  <si>
    <t>. . TROPICAL OR SUBTROPICAL FRUIT PRODUCING PLANT</t>
  </si>
  <si>
    <t>. . WATERMELON</t>
  </si>
  <si>
    <t>. GRAIN OR SEED-PRODUCING PLANT</t>
  </si>
  <si>
    <t>. . FIELD CORN</t>
  </si>
  <si>
    <t>. . . BLUE CORN</t>
  </si>
  <si>
    <t>B4507</t>
  </si>
  <si>
    <t>. . . FIELD CORN, WHITE</t>
  </si>
  <si>
    <t>. . . FIELD CORN, YELLOW</t>
  </si>
  <si>
    <t>. . . SUGAR CANE AND FIELD CORN</t>
  </si>
  <si>
    <t>B1680</t>
  </si>
  <si>
    <t>. . POPCORN</t>
  </si>
  <si>
    <t>B1454</t>
  </si>
  <si>
    <t>. . TEOSINTE</t>
  </si>
  <si>
    <t>B3406</t>
  </si>
  <si>
    <t>. . VEGETABLE CORN</t>
  </si>
  <si>
    <t>. . . SUCCOTASH</t>
  </si>
  <si>
    <t>. . . TRIPLE SUCCOTASH</t>
  </si>
  <si>
    <t>B1606</t>
  </si>
  <si>
    <t>. . . VEGETABLE CORN, WHITE</t>
  </si>
  <si>
    <t>. . . VEGETABLE CORN, YELLOW</t>
  </si>
  <si>
    <t>. . . PEANUT WITH OTHER NUT OR SEED</t>
  </si>
  <si>
    <t>B1525</t>
  </si>
  <si>
    <t>. PLANT ACCORDING TO FAMILY</t>
  </si>
  <si>
    <t>B3357</t>
  </si>
  <si>
    <t>. . ALLIUM SPECIES</t>
  </si>
  <si>
    <t>B4302</t>
  </si>
  <si>
    <t>. . CHIVE</t>
  </si>
  <si>
    <t>. . CIPOLLINI</t>
  </si>
  <si>
    <t>B2355</t>
  </si>
  <si>
    <t>. . GARLIC</t>
  </si>
  <si>
    <t>. . GREAT-HEADED GARLIC</t>
  </si>
  <si>
    <t>B3486</t>
  </si>
  <si>
    <t>. . KURRAT</t>
  </si>
  <si>
    <t>B3442</t>
  </si>
  <si>
    <t>. . LEEK</t>
  </si>
  <si>
    <t>. . ONION</t>
  </si>
  <si>
    <t>. . SCALLION</t>
  </si>
  <si>
    <t>. . SHALLOT</t>
  </si>
  <si>
    <t>. . TREE ONION</t>
  </si>
  <si>
    <t>B3487</t>
  </si>
  <si>
    <t>. . WELSH ONION</t>
  </si>
  <si>
    <t>. . BRASSICA SPECIES</t>
  </si>
  <si>
    <t>B3372</t>
  </si>
  <si>
    <t>. . GOURD/SQUASH FAMILY</t>
  </si>
  <si>
    <t>B4460</t>
  </si>
  <si>
    <t>. . CUCUMIS SPECIES</t>
  </si>
  <si>
    <t>B4459</t>
  </si>
  <si>
    <t>. . MALLOWS</t>
  </si>
  <si>
    <t>B4282</t>
  </si>
  <si>
    <t>. PLANT FOR MEDICINAL USE</t>
  </si>
  <si>
    <t>B3359</t>
  </si>
  <si>
    <t>. . SWEET PEA</t>
  </si>
  <si>
    <t>B1487</t>
  </si>
  <si>
    <t>. PLANT USED AS FODDER</t>
  </si>
  <si>
    <t>B3358</t>
  </si>
  <si>
    <t>. . CHICKLING VETCH</t>
  </si>
  <si>
    <t>B3356</t>
  </si>
  <si>
    <t>. . COMMON VETCH</t>
  </si>
  <si>
    <t>B4373</t>
  </si>
  <si>
    <t>. . LEGUME ANIMAL FEED</t>
  </si>
  <si>
    <t>B3377</t>
  </si>
  <si>
    <t>. . KUDZU</t>
  </si>
  <si>
    <t>B3379</t>
  </si>
  <si>
    <t>. . LESPEDEZA</t>
  </si>
  <si>
    <t>B3380</t>
  </si>
  <si>
    <t>. . SAINFOIN</t>
  </si>
  <si>
    <t>B3381</t>
  </si>
  <si>
    <t>. . TREFOIL</t>
  </si>
  <si>
    <t>B3382</t>
  </si>
  <si>
    <t>. . LEUCAENA</t>
  </si>
  <si>
    <t>B2443</t>
  </si>
  <si>
    <t>. . MARROW-STEM KALE</t>
  </si>
  <si>
    <t>B3375</t>
  </si>
  <si>
    <t>. . ORCHARD GRASS</t>
  </si>
  <si>
    <t>B2337</t>
  </si>
  <si>
    <t>. . POD OR SEED VEGETABLE, POISONOUS CULTIVARS</t>
  </si>
  <si>
    <t>B3483</t>
  </si>
  <si>
    <t>. . REED FESCUE</t>
  </si>
  <si>
    <t>B2338</t>
  </si>
  <si>
    <t>. . STRAW, FODDER OR FORAGE OF CEREAL GRAINS AND GRASSES</t>
  </si>
  <si>
    <t>B3378</t>
  </si>
  <si>
    <t>. . BERMUDA GRASS</t>
  </si>
  <si>
    <t>B3383</t>
  </si>
  <si>
    <t>. . BLUEGRASS</t>
  </si>
  <si>
    <t>B3384</t>
  </si>
  <si>
    <t>. . BROME GRASS</t>
  </si>
  <si>
    <t>B3385</t>
  </si>
  <si>
    <t>. . DARNEL</t>
  </si>
  <si>
    <t>B3386</t>
  </si>
  <si>
    <t>. . TIMOTHY</t>
  </si>
  <si>
    <t>B2331</t>
  </si>
  <si>
    <t>. . WHEATGRASS</t>
  </si>
  <si>
    <t>B2362</t>
  </si>
  <si>
    <t>. PLANT USED FOR DIETARY SUPPLEMENTS</t>
  </si>
  <si>
    <t>B4168</t>
  </si>
  <si>
    <t>. PLANT USED FOR PRODUCING EXTRACT OR CONCENTRATE</t>
  </si>
  <si>
    <t>. SPICE OR FLAVOR-PRODUCING PLANT</t>
  </si>
  <si>
    <t>B1179</t>
  </si>
  <si>
    <t>. . AFRAMOMUM</t>
  </si>
  <si>
    <t>B2760</t>
  </si>
  <si>
    <t>. . AJOWAN</t>
  </si>
  <si>
    <t>B2515</t>
  </si>
  <si>
    <t>. . ALLSPICE</t>
  </si>
  <si>
    <t>. . ANGELICA</t>
  </si>
  <si>
    <t>B1377</t>
  </si>
  <si>
    <t>. . ANGOSTURA (TREE)</t>
  </si>
  <si>
    <t>B1188</t>
  </si>
  <si>
    <t>. . ANISE</t>
  </si>
  <si>
    <t>. . ANISEED MYRTLE</t>
  </si>
  <si>
    <t>B4338</t>
  </si>
  <si>
    <t>. . ASAFETIDA</t>
  </si>
  <si>
    <t>B2171</t>
  </si>
  <si>
    <t>. . AZTEC MARIGOLD</t>
  </si>
  <si>
    <t>B2339</t>
  </si>
  <si>
    <t>. . BALM, LEMON</t>
  </si>
  <si>
    <t>B2621</t>
  </si>
  <si>
    <t>. . BASIL, BUSH</t>
  </si>
  <si>
    <t>B1145</t>
  </si>
  <si>
    <t>. . BASIL, SWEET</t>
  </si>
  <si>
    <t>. . BAY</t>
  </si>
  <si>
    <t>. . BEEFSTEAK PLANT</t>
  </si>
  <si>
    <t>B2135</t>
  </si>
  <si>
    <t>. . BITTERSWEET, EUROPEAN</t>
  </si>
  <si>
    <t>B1076</t>
  </si>
  <si>
    <t>. . BORAGE</t>
  </si>
  <si>
    <t>. . BURNET</t>
  </si>
  <si>
    <t>B3421</t>
  </si>
  <si>
    <t>. . BURNING-BUSH</t>
  </si>
  <si>
    <t>B3422</t>
  </si>
  <si>
    <t>. . CACAO</t>
  </si>
  <si>
    <t>. . CALAMUS</t>
  </si>
  <si>
    <t>B3423</t>
  </si>
  <si>
    <t>. . CANDLENUT</t>
  </si>
  <si>
    <t>B4351</t>
  </si>
  <si>
    <t>. . CAPER</t>
  </si>
  <si>
    <t>B1247</t>
  </si>
  <si>
    <t>. . CARAWAY</t>
  </si>
  <si>
    <t>. . CARDAMOM</t>
  </si>
  <si>
    <t>. . CAROB BEAN</t>
  </si>
  <si>
    <t>. . CATNIP</t>
  </si>
  <si>
    <t>B2046</t>
  </si>
  <si>
    <t>. . CELERY</t>
  </si>
  <si>
    <t>. . CHAMOMILE</t>
  </si>
  <si>
    <t>. . CHAPARRAL</t>
  </si>
  <si>
    <t>B2047</t>
  </si>
  <si>
    <t>. . CHERVIL</t>
  </si>
  <si>
    <t>. . CHINESE KALE</t>
  </si>
  <si>
    <t>B2421</t>
  </si>
  <si>
    <t>. . CINNAMON</t>
  </si>
  <si>
    <t>. . CLOVE</t>
  </si>
  <si>
    <t>. . COCA</t>
  </si>
  <si>
    <t>B2053</t>
  </si>
  <si>
    <t>. . COCKLEBUR</t>
  </si>
  <si>
    <t>B2055</t>
  </si>
  <si>
    <t>. . COFFEE OR TEA</t>
  </si>
  <si>
    <t>B2126</t>
  </si>
  <si>
    <t>. . COFFEE</t>
  </si>
  <si>
    <t>. . TEA</t>
  </si>
  <si>
    <t>. . COLA</t>
  </si>
  <si>
    <t>B1279</t>
  </si>
  <si>
    <t>. . COLTSFOOT</t>
  </si>
  <si>
    <t>B1647</t>
  </si>
  <si>
    <t>. . CORIANDER</t>
  </si>
  <si>
    <t>. . CUBEB</t>
  </si>
  <si>
    <t>B4350</t>
  </si>
  <si>
    <t>. . CUMIN</t>
  </si>
  <si>
    <t>. . CUMIN, BLACK</t>
  </si>
  <si>
    <t>B1176</t>
  </si>
  <si>
    <t>. . CUPUA√áU</t>
  </si>
  <si>
    <t>B4457</t>
  </si>
  <si>
    <t>. . CURRYLEAF</t>
  </si>
  <si>
    <t>B3424</t>
  </si>
  <si>
    <t>. . DEVIL'S CLAW</t>
  </si>
  <si>
    <t>B2050</t>
  </si>
  <si>
    <t>. . DILL</t>
  </si>
  <si>
    <t>. . ELECAMPANE</t>
  </si>
  <si>
    <t>B3425</t>
  </si>
  <si>
    <t>. . EUCALYPTUS</t>
  </si>
  <si>
    <t>B2661</t>
  </si>
  <si>
    <t>. . EVENING PRIMROSE</t>
  </si>
  <si>
    <t>B2109</t>
  </si>
  <si>
    <t>. . FENNEL</t>
  </si>
  <si>
    <t>. . FENUGREEK</t>
  </si>
  <si>
    <t>. . FEVERFEW</t>
  </si>
  <si>
    <t>B2054</t>
  </si>
  <si>
    <t>. . GALANGAL</t>
  </si>
  <si>
    <t>B2971</t>
  </si>
  <si>
    <t>. . GARDEN NASTURTIUM</t>
  </si>
  <si>
    <t>B3456</t>
  </si>
  <si>
    <t>. . GINGER</t>
  </si>
  <si>
    <t>. . GINSENG</t>
  </si>
  <si>
    <t>B1673</t>
  </si>
  <si>
    <t>. . HEDGE MUSTARD</t>
  </si>
  <si>
    <t>B4503</t>
  </si>
  <si>
    <t>. . HOPS</t>
  </si>
  <si>
    <t>B1517</t>
  </si>
  <si>
    <t>. . HOREHOUND</t>
  </si>
  <si>
    <t>B3426</t>
  </si>
  <si>
    <t>. . HORSERADISH</t>
  </si>
  <si>
    <t>B1146</t>
  </si>
  <si>
    <t>. . HYSSOP</t>
  </si>
  <si>
    <t>B2950</t>
  </si>
  <si>
    <t>. . INDIAN LONG PEPPER</t>
  </si>
  <si>
    <t>B2956</t>
  </si>
  <si>
    <t>. . JAPAN PEPPER</t>
  </si>
  <si>
    <t>B2306</t>
  </si>
  <si>
    <t>. . JASMINE</t>
  </si>
  <si>
    <t>B4252</t>
  </si>
  <si>
    <t>. . JUNIPER</t>
  </si>
  <si>
    <t>B2040</t>
  </si>
  <si>
    <t>. . LAVENDER</t>
  </si>
  <si>
    <t>B3427</t>
  </si>
  <si>
    <t>. . LEMON GRASS</t>
  </si>
  <si>
    <t>B2273</t>
  </si>
  <si>
    <t>. . LEMON MYRTLE</t>
  </si>
  <si>
    <t>B4340</t>
  </si>
  <si>
    <t>. . LICORICE</t>
  </si>
  <si>
    <t>B2048</t>
  </si>
  <si>
    <t>. . LINDEN</t>
  </si>
  <si>
    <t>B2051</t>
  </si>
  <si>
    <t>. . LOVAGE</t>
  </si>
  <si>
    <t>B2952</t>
  </si>
  <si>
    <t>. . MARIGOLD</t>
  </si>
  <si>
    <t>B3428</t>
  </si>
  <si>
    <t>. . MARJORAM, POT</t>
  </si>
  <si>
    <t>B1097</t>
  </si>
  <si>
    <t>. . MATE</t>
  </si>
  <si>
    <t>B2059</t>
  </si>
  <si>
    <t>. . MEXICAN TEA</t>
  </si>
  <si>
    <t>B2058</t>
  </si>
  <si>
    <t>. . MINT</t>
  </si>
  <si>
    <t>B1267</t>
  </si>
  <si>
    <t>. . MISTLETOE</t>
  </si>
  <si>
    <t>B2052</t>
  </si>
  <si>
    <t>. . MUSTARD</t>
  </si>
  <si>
    <t>. . NEVADA JOINTFIR</t>
  </si>
  <si>
    <t>B2049</t>
  </si>
  <si>
    <t>. . NUTMEG</t>
  </si>
  <si>
    <t>. . OREGANO</t>
  </si>
  <si>
    <t>. . OREGANO, MEXICAN</t>
  </si>
  <si>
    <t>B2262</t>
  </si>
  <si>
    <t>. . PARSLEY</t>
  </si>
  <si>
    <t>. . PEPPER LEAVES</t>
  </si>
  <si>
    <t>B3458</t>
  </si>
  <si>
    <t>. . PEPPER, BLACK OR WHITE</t>
  </si>
  <si>
    <t>B2255</t>
  </si>
  <si>
    <t>. . PEPPER, GREEN OR RED</t>
  </si>
  <si>
    <t>B1250</t>
  </si>
  <si>
    <t>. . PEPPERTREE</t>
  </si>
  <si>
    <t>B4347</t>
  </si>
  <si>
    <t>. . POPPY</t>
  </si>
  <si>
    <t>. . ROOIBOS</t>
  </si>
  <si>
    <t>B2057</t>
  </si>
  <si>
    <t>. . ROSE</t>
  </si>
  <si>
    <t>B1225</t>
  </si>
  <si>
    <t>. . ROSEMARY</t>
  </si>
  <si>
    <t>. . RUE</t>
  </si>
  <si>
    <t>B3429</t>
  </si>
  <si>
    <t>. . SAFFRON</t>
  </si>
  <si>
    <t>. . SAGE</t>
  </si>
  <si>
    <t>. . SARSAPARILLA</t>
  </si>
  <si>
    <t>B2065</t>
  </si>
  <si>
    <t>. . SASSAFRAS</t>
  </si>
  <si>
    <t>B1493</t>
  </si>
  <si>
    <t>. . SAVORY</t>
  </si>
  <si>
    <t>B4342</t>
  </si>
  <si>
    <t>. . SENNA</t>
  </si>
  <si>
    <t>B2056</t>
  </si>
  <si>
    <t>. . SPANISH THYME</t>
  </si>
  <si>
    <t>B2134</t>
  </si>
  <si>
    <t>. . STAR ANISE</t>
  </si>
  <si>
    <t>B1464</t>
  </si>
  <si>
    <t>. . SWEET CICELY</t>
  </si>
  <si>
    <t>B3430</t>
  </si>
  <si>
    <t>. . SWEET CLOVER</t>
  </si>
  <si>
    <t>B2332</t>
  </si>
  <si>
    <t>. . SWEET MARJORAM</t>
  </si>
  <si>
    <t>. . TANSY</t>
  </si>
  <si>
    <t>B3431</t>
  </si>
  <si>
    <t>. . TARRAGON</t>
  </si>
  <si>
    <t>. . TEALEAF WILLOW</t>
  </si>
  <si>
    <t>B4502</t>
  </si>
  <si>
    <t>. . THYME</t>
  </si>
  <si>
    <t>. . TONKA BEAN</t>
  </si>
  <si>
    <t>B1039</t>
  </si>
  <si>
    <t>. . TUMBLE MUSTARD</t>
  </si>
  <si>
    <t>. . TURMERIC</t>
  </si>
  <si>
    <t>. . VANILLA</t>
  </si>
  <si>
    <t>B1355</t>
  </si>
  <si>
    <t>. . VERBENA</t>
  </si>
  <si>
    <t>B3479</t>
  </si>
  <si>
    <t>. . VIETNAMESE CORIANDER</t>
  </si>
  <si>
    <t>B4343</t>
  </si>
  <si>
    <t>. . WASABI</t>
  </si>
  <si>
    <t>B2236</t>
  </si>
  <si>
    <t>. . WEST AFRICAN PEBBER</t>
  </si>
  <si>
    <t>B4349</t>
  </si>
  <si>
    <t>. . WHITE GINGER</t>
  </si>
  <si>
    <t>B4344</t>
  </si>
  <si>
    <t>. . WINTER CRESS</t>
  </si>
  <si>
    <t>B4345</t>
  </si>
  <si>
    <t>. . WINTERGREEN</t>
  </si>
  <si>
    <t>B1386</t>
  </si>
  <si>
    <t>. . WOODRUFF</t>
  </si>
  <si>
    <t>B3432</t>
  </si>
  <si>
    <t>. . WORMWOOD</t>
  </si>
  <si>
    <t>B3433</t>
  </si>
  <si>
    <t>. . ZEDOARY</t>
  </si>
  <si>
    <t>B2947</t>
  </si>
  <si>
    <t>. VEGETABLE-PRODUCING PLANT</t>
  </si>
  <si>
    <t>. . CHINABERRY</t>
  </si>
  <si>
    <t>B2157</t>
  </si>
  <si>
    <t>. . FEATHER COCKSCOMB</t>
  </si>
  <si>
    <t>B2158</t>
  </si>
  <si>
    <t>. . GROUNDSEL</t>
  </si>
  <si>
    <t>B2160</t>
  </si>
  <si>
    <t>. . KRADON</t>
  </si>
  <si>
    <t>B2461</t>
  </si>
  <si>
    <t>. . VEGETABLE-PRODUCING PLANT, ABOVE-GROUND PARTS USED</t>
  </si>
  <si>
    <t>B1057</t>
  </si>
  <si>
    <t>. . COMMON CATTAIL</t>
  </si>
  <si>
    <t>B4517</t>
  </si>
  <si>
    <t>. . FERN</t>
  </si>
  <si>
    <t>B2453</t>
  </si>
  <si>
    <t>. . FLORET USED AS VEGETABLE</t>
  </si>
  <si>
    <t>B1036</t>
  </si>
  <si>
    <t>. . ARTICHOKE</t>
  </si>
  <si>
    <t>. . BROCCOLI</t>
  </si>
  <si>
    <t>. . CAULIFLOWER</t>
  </si>
  <si>
    <t>. . FRUIT USED AS VEGETABLE</t>
  </si>
  <si>
    <t>B1006</t>
  </si>
  <si>
    <t>. . AFRICAN HORNED CUCUMBER</t>
  </si>
  <si>
    <t>B2842</t>
  </si>
  <si>
    <t>. . CAPE GOOSEBERRY</t>
  </si>
  <si>
    <t>. . CHAYOTE</t>
  </si>
  <si>
    <t>. . CHINESE LANTERN</t>
  </si>
  <si>
    <t>B2955</t>
  </si>
  <si>
    <t>. . CUCUMBER</t>
  </si>
  <si>
    <t>. . EGGPLANT</t>
  </si>
  <si>
    <t>. . GROUND CHERRY</t>
  </si>
  <si>
    <t>B2519</t>
  </si>
  <si>
    <t>. . HORSERADISH TREE</t>
  </si>
  <si>
    <t>. . OKRA</t>
  </si>
  <si>
    <t>. . OLIVE</t>
  </si>
  <si>
    <t>. . SQUASH, GOURD OR PUMPKIN</t>
  </si>
  <si>
    <t>. . TOMATO</t>
  </si>
  <si>
    <t>. . . BEEFSTEAK TOMATO</t>
  </si>
  <si>
    <t>B4325</t>
  </si>
  <si>
    <t>. . . COCKTAIL TOMATO</t>
  </si>
  <si>
    <t>B3745</t>
  </si>
  <si>
    <t>. . . GLOBE TOMATO</t>
  </si>
  <si>
    <t>B1078</t>
  </si>
  <si>
    <t>. . . MINIATURE TOMATO</t>
  </si>
  <si>
    <t>B1608</t>
  </si>
  <si>
    <t>. . . PEAR TOMATO</t>
  </si>
  <si>
    <t>B1107</t>
  </si>
  <si>
    <t>. . . PLUM TOMATO</t>
  </si>
  <si>
    <t>B3742</t>
  </si>
  <si>
    <t>. . TREE TOMATO</t>
  </si>
  <si>
    <t>B2016</t>
  </si>
  <si>
    <t>. . HEAD VEGETABLE</t>
  </si>
  <si>
    <t>B1194</t>
  </si>
  <si>
    <t>. . BOK CHOY</t>
  </si>
  <si>
    <t>. . BRUSSELS SPROUT</t>
  </si>
  <si>
    <t>. . CABBAGE</t>
  </si>
  <si>
    <t>. . CHINESE OR CELERY CABBAGE</t>
  </si>
  <si>
    <t>. . LETTUCE</t>
  </si>
  <si>
    <t>. . . BUTTERHEAD LETTUCE</t>
  </si>
  <si>
    <t>B2084</t>
  </si>
  <si>
    <t>. . . CELTUCE</t>
  </si>
  <si>
    <t>. . . LOOSE LEAF LETTUCE</t>
  </si>
  <si>
    <t>B2087</t>
  </si>
  <si>
    <t>. . . ROMAINE</t>
  </si>
  <si>
    <t>B2089</t>
  </si>
  <si>
    <t>. . MUSTARD CABBAGE</t>
  </si>
  <si>
    <t>B2397</t>
  </si>
  <si>
    <t>. . RADICCHIO</t>
  </si>
  <si>
    <t>B2452</t>
  </si>
  <si>
    <t>. . HIBISCUS</t>
  </si>
  <si>
    <t>B2082</t>
  </si>
  <si>
    <t>. . LEAFY VEGETABLE</t>
  </si>
  <si>
    <t>B1566</t>
  </si>
  <si>
    <t>. . AGRETTI</t>
  </si>
  <si>
    <t>B4330</t>
  </si>
  <si>
    <t>. . AMARANTH</t>
  </si>
  <si>
    <t>. . ANNUAL SOWTHISTLE</t>
  </si>
  <si>
    <t>B3715</t>
  </si>
  <si>
    <t>. . ASIATIC PENNYWORT</t>
  </si>
  <si>
    <t>B2442</t>
  </si>
  <si>
    <t>. . BEET</t>
  </si>
  <si>
    <t>. . BLACK NIGHTSHADE</t>
  </si>
  <si>
    <t>B3409</t>
  </si>
  <si>
    <t>. . BLACKJACK</t>
  </si>
  <si>
    <t>B3410</t>
  </si>
  <si>
    <t>. . BLADDER CAMPION</t>
  </si>
  <si>
    <t>B3708</t>
  </si>
  <si>
    <t>. . CHAA PHLUU</t>
  </si>
  <si>
    <t>B2457</t>
  </si>
  <si>
    <t>. . CHICORY</t>
  </si>
  <si>
    <t>. . CHINESE BOX THORN</t>
  </si>
  <si>
    <t>B3411</t>
  </si>
  <si>
    <t>. . CHINESE SWAMP CABBAGE</t>
  </si>
  <si>
    <t>B2462</t>
  </si>
  <si>
    <t>. . CHOY SUM</t>
  </si>
  <si>
    <t>B4514</t>
  </si>
  <si>
    <t>. . CLIMBING WATTLE</t>
  </si>
  <si>
    <t>B2455</t>
  </si>
  <si>
    <t>. . CORNSALAD</t>
  </si>
  <si>
    <t>B4326</t>
  </si>
  <si>
    <t>. . DANDELION</t>
  </si>
  <si>
    <t>. . ENDIVE</t>
  </si>
  <si>
    <t>. . FIELD CRESS</t>
  </si>
  <si>
    <t>B1082</t>
  </si>
  <si>
    <t>. . GARDEN CRESS</t>
  </si>
  <si>
    <t>. . GARDEN ORACH</t>
  </si>
  <si>
    <t>B2751</t>
  </si>
  <si>
    <t>. . GARLAND CHRYSANTHEMUM</t>
  </si>
  <si>
    <t>. . GLASSWORT</t>
  </si>
  <si>
    <t>B4332</t>
  </si>
  <si>
    <t>. . HARTWORT</t>
  </si>
  <si>
    <t>B3711</t>
  </si>
  <si>
    <t>. . INDIAN CRESS</t>
  </si>
  <si>
    <t>B2968</t>
  </si>
  <si>
    <t>. . INDIAN LETTUCE</t>
  </si>
  <si>
    <t>B3342</t>
  </si>
  <si>
    <t>. . KALE</t>
  </si>
  <si>
    <t>. . LAMB'S QUARTER</t>
  </si>
  <si>
    <t>. . LAND CRESS</t>
  </si>
  <si>
    <t>B2873</t>
  </si>
  <si>
    <t>. . MALABAR NIGHTSHADE</t>
  </si>
  <si>
    <t>. . MALLOW</t>
  </si>
  <si>
    <t>B3413</t>
  </si>
  <si>
    <t>. . MARSH MARIGOLD</t>
  </si>
  <si>
    <t>B3414</t>
  </si>
  <si>
    <t>. . NALTA JUTE</t>
  </si>
  <si>
    <t>. . NETTLE</t>
  </si>
  <si>
    <t>B1674</t>
  </si>
  <si>
    <t>. . NEW ZEALAND SPINACH</t>
  </si>
  <si>
    <t>. . PERENNIAL WALLROCKET</t>
  </si>
  <si>
    <t>B3737</t>
  </si>
  <si>
    <t>. . PLANTAIN</t>
  </si>
  <si>
    <t>B3712</t>
  </si>
  <si>
    <t>. . POKEWEED</t>
  </si>
  <si>
    <t>. . PRICKLY LETTUCE</t>
  </si>
  <si>
    <t>B2951</t>
  </si>
  <si>
    <t>. . PRICKLY SALTWORT</t>
  </si>
  <si>
    <t>B4331</t>
  </si>
  <si>
    <t>. . RAMIE</t>
  </si>
  <si>
    <t>B2447</t>
  </si>
  <si>
    <t>. . ROCKET</t>
  </si>
  <si>
    <t>B2474</t>
  </si>
  <si>
    <t>. . SCURVY-GRASS</t>
  </si>
  <si>
    <t>B2945</t>
  </si>
  <si>
    <t>. . SHEPHERD'S NEEDLE</t>
  </si>
  <si>
    <t>B3714</t>
  </si>
  <si>
    <t>. . SORREL</t>
  </si>
  <si>
    <t>. . SOWTHISTLE</t>
  </si>
  <si>
    <t>B3415</t>
  </si>
  <si>
    <t>. . SPINACH</t>
  </si>
  <si>
    <t>. . SPINU SOWTHISTLE</t>
  </si>
  <si>
    <t>B4299</t>
  </si>
  <si>
    <t>. . SWAMP CABBAGE</t>
  </si>
  <si>
    <t>. . TATSOI</t>
  </si>
  <si>
    <t>B4515</t>
  </si>
  <si>
    <t>. . TSAI SHIM</t>
  </si>
  <si>
    <t>B3374</t>
  </si>
  <si>
    <t>. . WATERCRESS</t>
  </si>
  <si>
    <t>. . WINTER-PURSLANE</t>
  </si>
  <si>
    <t>B3420</t>
  </si>
  <si>
    <t>. . WOLFBERRY</t>
  </si>
  <si>
    <t>B4197</t>
  </si>
  <si>
    <t>. . NARROWLEAF CATTAIL</t>
  </si>
  <si>
    <t>B4475</t>
  </si>
  <si>
    <t>. . NEEM</t>
  </si>
  <si>
    <t>B2444</t>
  </si>
  <si>
    <t>. . PALM</t>
  </si>
  <si>
    <t>. . POD OR SEED VEGETABLE</t>
  </si>
  <si>
    <t>B1156</t>
  </si>
  <si>
    <t>. . BAMBARA GROUNDNUT</t>
  </si>
  <si>
    <t>B3418</t>
  </si>
  <si>
    <t>. . BEAN (VEGETABLE)</t>
  </si>
  <si>
    <t>B1567</t>
  </si>
  <si>
    <t>. . . ADZUKI BEAN</t>
  </si>
  <si>
    <t>. . . BLACK GRAM BEAN</t>
  </si>
  <si>
    <t>. . . BROAD BEAN</t>
  </si>
  <si>
    <t>. . . DOLICHOS</t>
  </si>
  <si>
    <t>B2330</t>
  </si>
  <si>
    <t>. . . GARBANZO BEAN</t>
  </si>
  <si>
    <t>. . . GOA BEAN</t>
  </si>
  <si>
    <t>. . . JACK-BEAN</t>
  </si>
  <si>
    <t>B3400</t>
  </si>
  <si>
    <t>. . . LIMA BEAN</t>
  </si>
  <si>
    <t>. . . LUPINE BEAN</t>
  </si>
  <si>
    <t>. . . MORETON BAY CHESTNUT</t>
  </si>
  <si>
    <t>B2133</t>
  </si>
  <si>
    <t>. . . MOTH BEAN</t>
  </si>
  <si>
    <t>. . . MUNG BEAN</t>
  </si>
  <si>
    <t>. . . PHASEOLUS VULGARIS</t>
  </si>
  <si>
    <t>B1555</t>
  </si>
  <si>
    <t>. . . RICE BEAN</t>
  </si>
  <si>
    <t>B1702</t>
  </si>
  <si>
    <t>. . . SCARLET RUNNER BEAN</t>
  </si>
  <si>
    <t>B2009</t>
  </si>
  <si>
    <t>. . . SIEVA BEAN</t>
  </si>
  <si>
    <t>B1372</t>
  </si>
  <si>
    <t>. . . SOYBEAN</t>
  </si>
  <si>
    <t>. . . SWORD-BEAN</t>
  </si>
  <si>
    <t>B3401</t>
  </si>
  <si>
    <t>. . . TEPARY</t>
  </si>
  <si>
    <t>B3402</t>
  </si>
  <si>
    <t>. . . VELVET BEAN</t>
  </si>
  <si>
    <t>B3403</t>
  </si>
  <si>
    <t>. . CORN</t>
  </si>
  <si>
    <t>. . . FIELD CORN</t>
  </si>
  <si>
    <t>. . . POPCORN</t>
  </si>
  <si>
    <t>. . . TEOSINTE</t>
  </si>
  <si>
    <t>. . . VEGETABLE CORN</t>
  </si>
  <si>
    <t>. . COWPEA</t>
  </si>
  <si>
    <t>. . KERSTING'S GROUNDNUT</t>
  </si>
  <si>
    <t>B3419</t>
  </si>
  <si>
    <t>. . LENTIL</t>
  </si>
  <si>
    <t>. . LUPINE BEAN</t>
  </si>
  <si>
    <t>. . PEA</t>
  </si>
  <si>
    <t>. . . PEA AND CARROT</t>
  </si>
  <si>
    <t>. . . PEA AND ONION</t>
  </si>
  <si>
    <t>. . . PEA, EDIBLE POD CULTIVARS</t>
  </si>
  <si>
    <t>. . . PEA, EDIBLE SEED CULTIVARS</t>
  </si>
  <si>
    <t>. . PEANUT</t>
  </si>
  <si>
    <t>. . SATAW</t>
  </si>
  <si>
    <t>B2458</t>
  </si>
  <si>
    <t>. . VETCH</t>
  </si>
  <si>
    <t>B2070</t>
  </si>
  <si>
    <t>. . SESBANIA</t>
  </si>
  <si>
    <t>. . STEM OR SPEAR VEGETABLE</t>
  </si>
  <si>
    <t>B1005</t>
  </si>
  <si>
    <t>. . ASPARAGUS</t>
  </si>
  <si>
    <t>. . BAMBOO</t>
  </si>
  <si>
    <t>. . BUTTER BUR</t>
  </si>
  <si>
    <t>. . CARDOON</t>
  </si>
  <si>
    <t>. . FLORENCE FENNEL</t>
  </si>
  <si>
    <t>B3333</t>
  </si>
  <si>
    <t>. . KOHLRABI</t>
  </si>
  <si>
    <t>. . SEA KALE</t>
  </si>
  <si>
    <t>B2011</t>
  </si>
  <si>
    <t>. . TAHITIAN SPINACH</t>
  </si>
  <si>
    <t>B4504</t>
  </si>
  <si>
    <t>. . VEGETABLE-PRODUCING PLANT, MOST PARTS USED</t>
  </si>
  <si>
    <t>B1058</t>
  </si>
  <si>
    <t>. . FIREWEED</t>
  </si>
  <si>
    <t>B3725</t>
  </si>
  <si>
    <t>. . NATIVE ROSELLA</t>
  </si>
  <si>
    <t>B4303</t>
  </si>
  <si>
    <t>. . PURSLANE</t>
  </si>
  <si>
    <t>. . SUNSET MUSKMALLOW</t>
  </si>
  <si>
    <t>B4283</t>
  </si>
  <si>
    <t>. . TREE FERN</t>
  </si>
  <si>
    <t>. . VEGETABLE-PRODUCING PLANT, ROOT, TUBER OR BULB USED</t>
  </si>
  <si>
    <t>B1018</t>
  </si>
  <si>
    <t>. . ALOCASIA</t>
  </si>
  <si>
    <t>B3438</t>
  </si>
  <si>
    <t>. . ALPINE SWEETVETCH</t>
  </si>
  <si>
    <t>B4483</t>
  </si>
  <si>
    <t>. . ARRACACHA</t>
  </si>
  <si>
    <t>B3439</t>
  </si>
  <si>
    <t>. . ARROWHEAD</t>
  </si>
  <si>
    <t>. . ARROWLEAF ELEPHANT'S EAR</t>
  </si>
  <si>
    <t>B1499</t>
  </si>
  <si>
    <t>. . BULBOUS CHERVIL</t>
  </si>
  <si>
    <t>B3440</t>
  </si>
  <si>
    <t>. . BURDOCK, GOBO</t>
  </si>
  <si>
    <t>B2889</t>
  </si>
  <si>
    <t>. . CARROT</t>
  </si>
  <si>
    <t>. . CASSAVA</t>
  </si>
  <si>
    <t>. . CELERIAC</t>
  </si>
  <si>
    <t>. . CHINESE ARTICHOKE</t>
  </si>
  <si>
    <t>B2965</t>
  </si>
  <si>
    <t>. . CHINESE WATERCHESTNUT</t>
  </si>
  <si>
    <t>. . COTTONGRASS</t>
  </si>
  <si>
    <t>B4508</t>
  </si>
  <si>
    <t>. . EDIBLE CANNA</t>
  </si>
  <si>
    <t>B3441</t>
  </si>
  <si>
    <t>. . EPPAW</t>
  </si>
  <si>
    <t>. . JERUSALEM ARTICHOKE</t>
  </si>
  <si>
    <t>. . LAPPA</t>
  </si>
  <si>
    <t>. . LILY</t>
  </si>
  <si>
    <t>B2451</t>
  </si>
  <si>
    <t>. . NUTSEDGE</t>
  </si>
  <si>
    <t>B2159</t>
  </si>
  <si>
    <t>. . OCA</t>
  </si>
  <si>
    <t>B3443</t>
  </si>
  <si>
    <t>. . PARSNIP</t>
  </si>
  <si>
    <t>. . POTATO</t>
  </si>
  <si>
    <t>. . PRAIRIE TURNIP</t>
  </si>
  <si>
    <t>B4493</t>
  </si>
  <si>
    <t>. . PULAKA</t>
  </si>
  <si>
    <t>B4279</t>
  </si>
  <si>
    <t>. . RADISH</t>
  </si>
  <si>
    <t>. . RAMPION</t>
  </si>
  <si>
    <t>B3444</t>
  </si>
  <si>
    <t>. . RUTABAGA</t>
  </si>
  <si>
    <t>. . SALSIFY</t>
  </si>
  <si>
    <t>. . SKIRRIT</t>
  </si>
  <si>
    <t>B3445</t>
  </si>
  <si>
    <t>. . SWAMP TARO</t>
  </si>
  <si>
    <t>B4278</t>
  </si>
  <si>
    <t>. . SWEET POTATO</t>
  </si>
  <si>
    <t>. . TARO</t>
  </si>
  <si>
    <t>. . TOPEE TAMBU</t>
  </si>
  <si>
    <t>B3446</t>
  </si>
  <si>
    <t>. . TURNIP</t>
  </si>
  <si>
    <t>. . ULLUCU</t>
  </si>
  <si>
    <t>B3447</t>
  </si>
  <si>
    <t>. . WATERCHESTNUT</t>
  </si>
  <si>
    <t>B3719</t>
  </si>
  <si>
    <t>. . YAM</t>
  </si>
  <si>
    <t>B3396</t>
  </si>
  <si>
    <t>. . CUSH-CUSH YAM</t>
  </si>
  <si>
    <t>B3397</t>
  </si>
  <si>
    <t>. . LESSER YAM</t>
  </si>
  <si>
    <t>B3327</t>
  </si>
  <si>
    <t>. . WHITE GUINEA YAM</t>
  </si>
  <si>
    <t>B3398</t>
  </si>
  <si>
    <t>. . YAM, TROPICAL</t>
  </si>
  <si>
    <t>. . YELLOW GUINEA YAM</t>
  </si>
  <si>
    <t>B3399</t>
  </si>
  <si>
    <t>. . YAM BEAN</t>
  </si>
  <si>
    <t>B4254</t>
  </si>
  <si>
    <t>. . YELLOW POND LILY</t>
  </si>
  <si>
    <t>B4463</t>
  </si>
  <si>
    <t>. . WATER MIMOSA</t>
  </si>
  <si>
    <t>B2445</t>
  </si>
  <si>
    <t>Plants and Animals</t>
  </si>
  <si>
    <t>Env_Material (The what)</t>
  </si>
  <si>
    <t>building - bakery</t>
  </si>
  <si>
    <t>building - brewery</t>
  </si>
  <si>
    <t>building - residential</t>
  </si>
  <si>
    <t>building - restaurant</t>
  </si>
  <si>
    <t>agricultural - crop</t>
  </si>
  <si>
    <t>agricultural - plantation</t>
  </si>
  <si>
    <t>agricultural - fish farm</t>
  </si>
  <si>
    <t>agricultural - fish hatchery</t>
  </si>
  <si>
    <t>agricultural - farm</t>
  </si>
  <si>
    <t>agricultural - drainage ditch</t>
  </si>
  <si>
    <t>agricultural - drainage canal</t>
  </si>
  <si>
    <t>building - sawmill</t>
  </si>
  <si>
    <t>building - sports facility</t>
  </si>
  <si>
    <t>building - daycare</t>
  </si>
  <si>
    <t>agricultural - dairy</t>
  </si>
  <si>
    <t>agricultural - terrace</t>
  </si>
  <si>
    <t>building - long term care facility</t>
  </si>
  <si>
    <t>habitat - cultivated</t>
  </si>
  <si>
    <t>Host Body Product (The what)</t>
  </si>
  <si>
    <t>Specific_Host (or general animal selection)</t>
  </si>
  <si>
    <t>Clinical Details</t>
  </si>
  <si>
    <t>Host subject Id</t>
  </si>
  <si>
    <t xml:space="preserve"> Sample body part, 
product or tissue type</t>
  </si>
  <si>
    <t>Capra hircus</t>
  </si>
  <si>
    <t>animal, farm - goat</t>
  </si>
  <si>
    <t>terrain - badland</t>
  </si>
  <si>
    <t>terrain - beach</t>
  </si>
  <si>
    <t>terrain - desert</t>
  </si>
  <si>
    <t>terrain - field</t>
  </si>
  <si>
    <t>terrain - forest</t>
  </si>
  <si>
    <t>terrain - grassland</t>
  </si>
  <si>
    <t>terrain - gravel field</t>
  </si>
  <si>
    <t>terrain - park</t>
  </si>
  <si>
    <t>terrain - pier</t>
  </si>
  <si>
    <t>terrain - plain</t>
  </si>
  <si>
    <t>terrain - scrubland</t>
  </si>
  <si>
    <t>terrain - slope</t>
  </si>
  <si>
    <t>terrain - terrace</t>
  </si>
  <si>
    <t>terrain - tundra</t>
  </si>
  <si>
    <t>terrain - watershed</t>
  </si>
  <si>
    <t>terrain - wetland</t>
  </si>
  <si>
    <t>terrain - woodland</t>
  </si>
  <si>
    <t>terrain - dam</t>
  </si>
  <si>
    <t>terrain - cave</t>
  </si>
  <si>
    <t>terrain - mine</t>
  </si>
  <si>
    <t>terrain - clearing</t>
  </si>
  <si>
    <t>building - research facility</t>
  </si>
  <si>
    <t>building - food processing factory</t>
  </si>
  <si>
    <t>ENVO_00003863</t>
  </si>
  <si>
    <t>agricultural - farm - farm soil</t>
  </si>
  <si>
    <t>Isolate Identifiers</t>
  </si>
  <si>
    <t>Denmark</t>
  </si>
  <si>
    <t>USA</t>
  </si>
  <si>
    <t>DK</t>
  </si>
  <si>
    <t>building - hospital</t>
  </si>
  <si>
    <t>water - waste water - sewage</t>
  </si>
  <si>
    <t>building - waste treatment plant</t>
  </si>
  <si>
    <t>terrain - tunnel</t>
  </si>
  <si>
    <t>env_feature /purposed context (The where, local)</t>
  </si>
  <si>
    <t>agricultural - irrigation ditch</t>
  </si>
  <si>
    <t>water - stream</t>
  </si>
  <si>
    <t>ENVO_00000023</t>
  </si>
  <si>
    <t>animal - housing - built</t>
  </si>
  <si>
    <t>animal - housing - built - open</t>
  </si>
  <si>
    <t>animal - housing - built - closed</t>
  </si>
  <si>
    <t>building - agricultural fair</t>
  </si>
  <si>
    <t>building - grocery / retail / food store</t>
  </si>
  <si>
    <t>water - hot-tub / jacuzzi spa</t>
  </si>
  <si>
    <t>water - intake</t>
  </si>
  <si>
    <t>water - canal</t>
  </si>
  <si>
    <t>ENVO_00000014</t>
  </si>
  <si>
    <t>Illumina SBS</t>
  </si>
  <si>
    <t>FLX pyrosequencing</t>
  </si>
  <si>
    <t>PacBio</t>
  </si>
  <si>
    <t>env_terrain</t>
  </si>
  <si>
    <t>terrain - urban</t>
  </si>
  <si>
    <t>Environmental terrain</t>
  </si>
  <si>
    <t>ENVO_00000191</t>
  </si>
  <si>
    <t>Sample location type</t>
  </si>
  <si>
    <t>street_address</t>
  </si>
  <si>
    <t>comment</t>
  </si>
  <si>
    <t>stx_toxin_type</t>
  </si>
  <si>
    <t>stx_toxin_subtype</t>
  </si>
  <si>
    <t>stx1_toxin_pcr_result</t>
  </si>
  <si>
    <t>stx2_toxin_pcr_result</t>
  </si>
  <si>
    <t>stx_type_undefined</t>
  </si>
  <si>
    <t>contact</t>
  </si>
  <si>
    <t>comments</t>
  </si>
  <si>
    <t>sequencer_454</t>
  </si>
  <si>
    <t>sequencer_iontorrent</t>
  </si>
  <si>
    <t>sequencer_miseq</t>
  </si>
  <si>
    <t>sequencer_pacbio</t>
  </si>
  <si>
    <t>sequencer_nanopore</t>
  </si>
  <si>
    <t>past_id_1</t>
  </si>
  <si>
    <t>past_id_2</t>
  </si>
  <si>
    <t>Water</t>
  </si>
  <si>
    <t>Raw Meat Products</t>
  </si>
  <si>
    <t>Raw Meat (unprocessed)</t>
  </si>
  <si>
    <t>Meat cuts or trim</t>
  </si>
  <si>
    <t>Glandular products</t>
  </si>
  <si>
    <t>Frog legs</t>
  </si>
  <si>
    <t>Raw Meat (processed)</t>
  </si>
  <si>
    <t>Prepared meat - seasoned kebabs</t>
  </si>
  <si>
    <t>Prepared meat - sausage</t>
  </si>
  <si>
    <t>Prepared meat - meat balls</t>
  </si>
  <si>
    <t>Hamburger patties</t>
  </si>
  <si>
    <t>Frozen Meat (raw or raw processed)</t>
  </si>
  <si>
    <t>Meat cuts or trim - roast</t>
  </si>
  <si>
    <t>Meat cuts or trim - steak</t>
  </si>
  <si>
    <t>Meat balls</t>
  </si>
  <si>
    <t>Raw Poultry Products</t>
  </si>
  <si>
    <t>Poultry (raw unprocessed)</t>
  </si>
  <si>
    <t>Raw whole chicken</t>
  </si>
  <si>
    <t>Raw whole turkey</t>
  </si>
  <si>
    <t>Raw whole duck</t>
  </si>
  <si>
    <t>Raw whole quail</t>
  </si>
  <si>
    <t>Offal</t>
  </si>
  <si>
    <t>Raw chicken parts</t>
  </si>
  <si>
    <t>Raw chicken parts - thighs</t>
  </si>
  <si>
    <t>Raw chicken parts - breast</t>
  </si>
  <si>
    <t>Raw turkey parts</t>
  </si>
  <si>
    <t>Poultry (raw processed)</t>
  </si>
  <si>
    <t>Ground chicken</t>
  </si>
  <si>
    <t>Ground turkey</t>
  </si>
  <si>
    <t>Prepared poultry - seasoned kebabs</t>
  </si>
  <si>
    <t>Prepared poultry - marinated chicken breasts</t>
  </si>
  <si>
    <t>Frozen poultry (raw or raw processed)</t>
  </si>
  <si>
    <t>Prepared poultry - chicken nuggets</t>
  </si>
  <si>
    <t>Prepared poultry - popcorn chicken</t>
  </si>
  <si>
    <t>Prepared poultry - chicken fingers</t>
  </si>
  <si>
    <t>Prepared poultry - buffalo wings</t>
  </si>
  <si>
    <t>Ready-to-eat Meat and Poultry</t>
  </si>
  <si>
    <t>Salted</t>
  </si>
  <si>
    <t>Fermented</t>
  </si>
  <si>
    <t>Salami - winter sausage</t>
  </si>
  <si>
    <t>Salami - Hungarian</t>
  </si>
  <si>
    <t>Dried sausage</t>
  </si>
  <si>
    <t>Cured/smoked</t>
  </si>
  <si>
    <t>Dry cured ham - prosciutto</t>
  </si>
  <si>
    <t>Dry cured ham - Bayonne</t>
  </si>
  <si>
    <t>Pastrami</t>
  </si>
  <si>
    <t>Beef jerky</t>
  </si>
  <si>
    <t>Pepperoni</t>
  </si>
  <si>
    <t>Kielbasa</t>
  </si>
  <si>
    <t>Mortadella</t>
  </si>
  <si>
    <t>Heat processed</t>
  </si>
  <si>
    <t>Cooked ham</t>
  </si>
  <si>
    <t>Cooked beef</t>
  </si>
  <si>
    <t>Frankfurters (weiners)</t>
  </si>
  <si>
    <t>Cooked chicken</t>
  </si>
  <si>
    <t>Cooked turkey</t>
  </si>
  <si>
    <t>Cooked deli-type preparations</t>
  </si>
  <si>
    <t>Deli meat - Turkey</t>
  </si>
  <si>
    <t>Deli meat - Chicken</t>
  </si>
  <si>
    <t>Deli meat - Beef</t>
  </si>
  <si>
    <t>Deli meat - Ham</t>
  </si>
  <si>
    <t>Deli meat - Bologna</t>
  </si>
  <si>
    <t>Deli meat - Corned beef</t>
  </si>
  <si>
    <t>Canned</t>
  </si>
  <si>
    <t>Pates and spreads</t>
  </si>
  <si>
    <t>Donair</t>
  </si>
  <si>
    <t>Fish and Seafood Products</t>
  </si>
  <si>
    <t>Raw fish and crustaceans</t>
  </si>
  <si>
    <t>Cooked fish</t>
  </si>
  <si>
    <t>Frozen</t>
  </si>
  <si>
    <t>Fish sticks</t>
  </si>
  <si>
    <t>Raw oysters</t>
  </si>
  <si>
    <t>Raw mussels</t>
  </si>
  <si>
    <t>Raw clams</t>
  </si>
  <si>
    <t>Smoked/cured</t>
  </si>
  <si>
    <t>Smoked fish</t>
  </si>
  <si>
    <t>Smoked fish - smoked salmon</t>
  </si>
  <si>
    <t>Pickled fishes</t>
  </si>
  <si>
    <t>Juices (unpasterized, pasteurized, concentrates)</t>
  </si>
  <si>
    <t>Apple cider</t>
  </si>
  <si>
    <t>Vegetable juice</t>
  </si>
  <si>
    <t>Fruit juice or drinks</t>
  </si>
  <si>
    <t>Raw and raw processed</t>
  </si>
  <si>
    <t>Fresh fruits and melons</t>
  </si>
  <si>
    <t>Fresh vegetables</t>
  </si>
  <si>
    <t>Leafy greens</t>
  </si>
  <si>
    <t>Leafy greens - Lettuce</t>
  </si>
  <si>
    <t>Leafy greens - Bagged, pre-washed greens</t>
  </si>
  <si>
    <t>Mushrooms</t>
  </si>
  <si>
    <t>Tomato</t>
  </si>
  <si>
    <t>Garlic (including garlic oil)</t>
  </si>
  <si>
    <t>Melon</t>
  </si>
  <si>
    <t>Melon - Cantaloupe</t>
  </si>
  <si>
    <t>Melon - Watermelon</t>
  </si>
  <si>
    <t>Salads</t>
  </si>
  <si>
    <t>Salads - Coleslaw</t>
  </si>
  <si>
    <t>Salads - Fruit</t>
  </si>
  <si>
    <t>Root vegetables</t>
  </si>
  <si>
    <t>Bean and seed sprouts</t>
  </si>
  <si>
    <t>Bean and seed sprouts - Alfalfa</t>
  </si>
  <si>
    <t>Bean and seed sprouts - Bean</t>
  </si>
  <si>
    <t>Fresh herbs</t>
  </si>
  <si>
    <t>Meat substitutes</t>
  </si>
  <si>
    <t>Cooked (processed, canned)</t>
  </si>
  <si>
    <t>Potato salad</t>
  </si>
  <si>
    <t>Bean salad</t>
  </si>
  <si>
    <t>Dry</t>
  </si>
  <si>
    <t>Dried fruits</t>
  </si>
  <si>
    <t>Dried vegetables</t>
  </si>
  <si>
    <t>Herbs</t>
  </si>
  <si>
    <t>Low moisture</t>
  </si>
  <si>
    <t>Jam</t>
  </si>
  <si>
    <t>Fruit coulis</t>
  </si>
  <si>
    <t>Fruit syrup</t>
  </si>
  <si>
    <t>Nuts/nut meats</t>
  </si>
  <si>
    <t>Peanuts</t>
  </si>
  <si>
    <t>Tree nuts - pecans</t>
  </si>
  <si>
    <t>Tree nuts - walnuts</t>
  </si>
  <si>
    <t>Butters - peanut butter</t>
  </si>
  <si>
    <t>Butters - tahini</t>
  </si>
  <si>
    <t>Eggs and derivatives</t>
  </si>
  <si>
    <t>Eggs (unprocessed)</t>
  </si>
  <si>
    <t>Whole shelled eggs</t>
  </si>
  <si>
    <t>Eggs (fermented)</t>
  </si>
  <si>
    <t>Pickled eggs</t>
  </si>
  <si>
    <t>Egg products (heat processed)</t>
  </si>
  <si>
    <t>Egg yolk</t>
  </si>
  <si>
    <t>Egg white</t>
  </si>
  <si>
    <t>Whole liquid egg</t>
  </si>
  <si>
    <t>Egg salad</t>
  </si>
  <si>
    <t>Dried egg products</t>
  </si>
  <si>
    <t>Egg powder</t>
  </si>
  <si>
    <t>Dairy Products</t>
  </si>
  <si>
    <t>Raw</t>
  </si>
  <si>
    <t>Raw milk (unpasteurized)</t>
  </si>
  <si>
    <t>Raw butter</t>
  </si>
  <si>
    <t>Raw cream</t>
  </si>
  <si>
    <t>Heat processed (pasteurized)</t>
  </si>
  <si>
    <t>Pasteurized liquid milk - skim</t>
  </si>
  <si>
    <t>Pasteurized liquid milk - 2% fat</t>
  </si>
  <si>
    <t>Pasteurized liquid milk - whole</t>
  </si>
  <si>
    <t>Pasteurized liquid milk - buttermilk</t>
  </si>
  <si>
    <t>Milk-based desserts</t>
  </si>
  <si>
    <t>Milk-based desserts - Tiramisu</t>
  </si>
  <si>
    <t>Milk-based desserts - Mousse</t>
  </si>
  <si>
    <t>Milk-based desserts - Custard</t>
  </si>
  <si>
    <t>Drinks</t>
  </si>
  <si>
    <t>Cream</t>
  </si>
  <si>
    <t>Cheese made from pasteurized milk</t>
  </si>
  <si>
    <t>Ice cream</t>
  </si>
  <si>
    <t>Ice cream - Soft-serve</t>
  </si>
  <si>
    <t>Ice cream - Prepackaged</t>
  </si>
  <si>
    <t>Frozen yogurt</t>
  </si>
  <si>
    <t>Frozen dessert</t>
  </si>
  <si>
    <t>Yogurt</t>
  </si>
  <si>
    <t>Dairy drinks</t>
  </si>
  <si>
    <t>Kefir</t>
  </si>
  <si>
    <t>Sour cream</t>
  </si>
  <si>
    <t>Powdered milk</t>
  </si>
  <si>
    <t>Infant milk formula</t>
  </si>
  <si>
    <t>Coffee creamer</t>
  </si>
  <si>
    <t>Nonfat dry milk/ dry whole milk</t>
  </si>
  <si>
    <t>Dried buttermilk</t>
  </si>
  <si>
    <t>Dried cheese spray</t>
  </si>
  <si>
    <t>Chocolate (all types)</t>
  </si>
  <si>
    <t>Cookies</t>
  </si>
  <si>
    <t>Frosting and topping mixes</t>
  </si>
  <si>
    <t>Candy and candy coating</t>
  </si>
  <si>
    <t>Praline</t>
  </si>
  <si>
    <t>Marzipan</t>
  </si>
  <si>
    <t>Dry (powder)</t>
  </si>
  <si>
    <t>Chocolate powder</t>
  </si>
  <si>
    <t>Cake mixes</t>
  </si>
  <si>
    <t>Bakery products</t>
  </si>
  <si>
    <t>Bread</t>
  </si>
  <si>
    <t>Pastry/custard</t>
  </si>
  <si>
    <t>Miscellaneous</t>
  </si>
  <si>
    <t>Shelf stable acid food</t>
  </si>
  <si>
    <t>Dressings</t>
  </si>
  <si>
    <t>Mayonnaise</t>
  </si>
  <si>
    <t>Ketchup</t>
  </si>
  <si>
    <t>Sauce</t>
  </si>
  <si>
    <t>Spices</t>
  </si>
  <si>
    <t>Flakes</t>
  </si>
  <si>
    <t>Mixes</t>
  </si>
  <si>
    <t>Crushed seeds</t>
  </si>
  <si>
    <t>Peppercorn</t>
  </si>
  <si>
    <t>Dry leaves</t>
  </si>
  <si>
    <t>Cereals/rice (grain)</t>
  </si>
  <si>
    <t>Dry cereal</t>
  </si>
  <si>
    <t>Rice</t>
  </si>
  <si>
    <t>Barley</t>
  </si>
  <si>
    <t>Oats</t>
  </si>
  <si>
    <t>Processed grains - flaked corn</t>
  </si>
  <si>
    <t>Processed grains - crisped rice</t>
  </si>
  <si>
    <t>Muesli</t>
  </si>
  <si>
    <t>Tortilla</t>
  </si>
  <si>
    <t>Dry pasta</t>
  </si>
  <si>
    <t>Fresh pasta</t>
  </si>
  <si>
    <t>Pasta salad</t>
  </si>
  <si>
    <t>Frozen pasta dough</t>
  </si>
  <si>
    <t>Flour - wheat</t>
  </si>
  <si>
    <t>Flour - -soy</t>
  </si>
  <si>
    <t>Corn meal</t>
  </si>
  <si>
    <t>Couscous/bulgur (tabouli)</t>
  </si>
  <si>
    <t>Sesame seeds (including Tahini)</t>
  </si>
  <si>
    <t>Margarine</t>
  </si>
  <si>
    <t>Gelatin</t>
  </si>
  <si>
    <t>Animal feeds</t>
  </si>
  <si>
    <t>Meat and bone meal</t>
  </si>
  <si>
    <t>Chicken and feather meal</t>
  </si>
  <si>
    <t>Fish meal</t>
  </si>
  <si>
    <t>Pellets</t>
  </si>
  <si>
    <t>Nutritional supplements</t>
  </si>
  <si>
    <t>Potable</t>
  </si>
  <si>
    <t>Municipal</t>
  </si>
  <si>
    <t>Private well</t>
  </si>
  <si>
    <t>Bottled</t>
  </si>
  <si>
    <t>Bottled - mineral</t>
  </si>
  <si>
    <t>Food_Category</t>
  </si>
  <si>
    <t>Item</t>
  </si>
  <si>
    <t>Main Category</t>
  </si>
  <si>
    <t>Subcategory</t>
  </si>
  <si>
    <t>Isolate testing</t>
  </si>
  <si>
    <t>OR Food category</t>
  </si>
  <si>
    <t>Food_Subcategory</t>
  </si>
  <si>
    <t>Isolate Details</t>
  </si>
  <si>
    <t>host individual's details
(free text, required for clinical isolate)</t>
  </si>
  <si>
    <t>Carcass - beef</t>
  </si>
  <si>
    <t>Carcass - pork</t>
  </si>
  <si>
    <t>Carcass - rabbit</t>
  </si>
  <si>
    <t>Chocolate or Bakery Products</t>
  </si>
  <si>
    <t>Bakery products - Bread</t>
  </si>
  <si>
    <t>Bakery products - Pastry/custard</t>
  </si>
  <si>
    <t>Bakery products - Cake mixes</t>
  </si>
  <si>
    <t>Dry (powder) - Chocolate powder</t>
  </si>
  <si>
    <t>Dry (powder) - Cake mixes</t>
  </si>
  <si>
    <t>Low moisture - Chocolate (all types)</t>
  </si>
  <si>
    <t>Low moisture - Cookies</t>
  </si>
  <si>
    <t>Low moisture - Frosting and topping mixes</t>
  </si>
  <si>
    <t>Low moisture - Candy and candy coating</t>
  </si>
  <si>
    <t>Low moisture - Praline</t>
  </si>
  <si>
    <t>Low moisture - Marzipan</t>
  </si>
  <si>
    <t>Dry - Powdered milk</t>
  </si>
  <si>
    <t>Dry - Infant milk formula</t>
  </si>
  <si>
    <t>Dry - Coffee creamer</t>
  </si>
  <si>
    <t>Dry - Nonfat dry milk/ dry whole milk</t>
  </si>
  <si>
    <t>Dry - Dried buttermilk</t>
  </si>
  <si>
    <t>Dry - Dried cheese spray</t>
  </si>
  <si>
    <t>Fermented - Yogurt</t>
  </si>
  <si>
    <t>Fermented - Dairy drinks</t>
  </si>
  <si>
    <t>Fermented - Kefir</t>
  </si>
  <si>
    <t>Fermented - Sour cream</t>
  </si>
  <si>
    <t>Frozen - Ice cream</t>
  </si>
  <si>
    <t>Frozen - Ice cream - Soft-serve</t>
  </si>
  <si>
    <t>Frozen - Ice cream - Prepackaged</t>
  </si>
  <si>
    <t>Frozen - Frozen yogurt</t>
  </si>
  <si>
    <t>Frozen - Frozen dessert</t>
  </si>
  <si>
    <t>Heat processed (pasteurized) - Pasteurized liquid milk - skim</t>
  </si>
  <si>
    <t>Heat processed (pasteurized) - Pasteurized liquid milk - 2% fat</t>
  </si>
  <si>
    <t>Heat processed (pasteurized) - Pasteurized liquid milk - whole</t>
  </si>
  <si>
    <t>Heat processed (pasteurized) - Pasteurized liquid milk - buttermilk</t>
  </si>
  <si>
    <t>Heat processed (pasteurized) - Milk-based desserts</t>
  </si>
  <si>
    <t>Heat processed (pasteurized) - Milk-based desserts - Tiramisu</t>
  </si>
  <si>
    <t>Heat processed (pasteurized) - Milk-based desserts - Mousse</t>
  </si>
  <si>
    <t>Heat processed (pasteurized) - Milk-based desserts - Custard</t>
  </si>
  <si>
    <t>Heat processed (pasteurized) - Drinks</t>
  </si>
  <si>
    <t>Heat processed (pasteurized) - Cream</t>
  </si>
  <si>
    <t>Raw - Raw milk (unpasteurized)</t>
  </si>
  <si>
    <t>Raw - Raw butter</t>
  </si>
  <si>
    <t>Raw - Raw cream</t>
  </si>
  <si>
    <t>Dried egg products - Egg powder</t>
  </si>
  <si>
    <t>Egg products (heat processed) - Egg yolk</t>
  </si>
  <si>
    <t>Egg products (heat processed) - Egg white</t>
  </si>
  <si>
    <t>Egg products (heat processed) - Whole liquid egg</t>
  </si>
  <si>
    <t>Egg products (heat processed) - Egg salad</t>
  </si>
  <si>
    <t>Eggs (fermented) - Pickled eggs</t>
  </si>
  <si>
    <t>Eggs (unprocessed) - Whole shelled eggs</t>
  </si>
  <si>
    <t>Frozen - Fish sticks</t>
  </si>
  <si>
    <t>Heat processed - Cooked fish</t>
  </si>
  <si>
    <t>Raw fish and crustaceans - Fish/fish fillets</t>
  </si>
  <si>
    <t>Raw fish and crustaceans - Shrimp/prawns</t>
  </si>
  <si>
    <t>Raw fish and crustaceans - Surimi</t>
  </si>
  <si>
    <t>Raw fish and crustaceans - Sushi</t>
  </si>
  <si>
    <t>Raw fish and crustaceans - Crayfish</t>
  </si>
  <si>
    <t>Raw fish and crustaceans - Lobster</t>
  </si>
  <si>
    <t>Raw fish and crustaceans - Crab</t>
  </si>
  <si>
    <t>Raw fish and crustaceans - Imitation crab</t>
  </si>
  <si>
    <t>Smoked/cured - Smoked fish</t>
  </si>
  <si>
    <t>Smoked/cured - Smoked fish - smoked salmon</t>
  </si>
  <si>
    <t>Cooked (processed, canned) - Potato salad</t>
  </si>
  <si>
    <t>Cooked (processed, canned) - Bean salad</t>
  </si>
  <si>
    <t>Dry - Dried fruits</t>
  </si>
  <si>
    <t>Dry - Dried vegetables</t>
  </si>
  <si>
    <t>Dry - Herbs</t>
  </si>
  <si>
    <t>Juices (unpasterized, pasteurized, concentrates) - Apple cider</t>
  </si>
  <si>
    <t>Juices (unpasterized, pasteurized, concentrates) - Vegetable juice</t>
  </si>
  <si>
    <t>Juices (unpasterized, pasteurized, concentrates) - Fruit juice or drinks</t>
  </si>
  <si>
    <t>Low moisture - Jam</t>
  </si>
  <si>
    <t>Low moisture - Fruit coulis</t>
  </si>
  <si>
    <t>Low moisture - Fruit syrup</t>
  </si>
  <si>
    <t>Nuts/nut meats - Peanuts</t>
  </si>
  <si>
    <t>Nuts/nut meats - Tree nuts - pecans</t>
  </si>
  <si>
    <t>Nuts/nut meats - Tree nuts - walnuts</t>
  </si>
  <si>
    <t>Nuts/nut meats - Butters - peanut butter</t>
  </si>
  <si>
    <t>Nuts/nut meats - Butters - tahini</t>
  </si>
  <si>
    <t>Nuts/nut meats - Seeds</t>
  </si>
  <si>
    <t>Raw and raw processed - Fresh fruits and melons</t>
  </si>
  <si>
    <t>Raw and raw processed - Fresh vegetables</t>
  </si>
  <si>
    <t>Raw and raw processed - Leafy greens</t>
  </si>
  <si>
    <t>Raw and raw processed - Leafy greens - Lettuce</t>
  </si>
  <si>
    <t>Raw and raw processed - Leafy greens - Bagged, pre-washed greens</t>
  </si>
  <si>
    <t>Raw and raw processed - Mushrooms</t>
  </si>
  <si>
    <t>Raw and raw processed - Tomato</t>
  </si>
  <si>
    <t>Raw and raw processed - Garlic (including garlic oil)</t>
  </si>
  <si>
    <t>Raw and raw processed - Melon</t>
  </si>
  <si>
    <t>Raw and raw processed - Melon - Cantaloupe</t>
  </si>
  <si>
    <t>Raw and raw processed - Melon - Watermelon</t>
  </si>
  <si>
    <t>Raw and raw processed - Salads</t>
  </si>
  <si>
    <t>Raw and raw processed - Salads - Coleslaw</t>
  </si>
  <si>
    <t>Raw and raw processed - Salads - Fruit</t>
  </si>
  <si>
    <t>Raw and raw processed - Root vegetables</t>
  </si>
  <si>
    <t>Raw and raw processed - Bean and seed sprouts</t>
  </si>
  <si>
    <t>Raw and raw processed - Bean and seed sprouts - Alfalfa</t>
  </si>
  <si>
    <t>Raw and raw processed - Bean and seed sprouts - Bean</t>
  </si>
  <si>
    <t>Raw and raw processed - Fresh herbs</t>
  </si>
  <si>
    <t>Raw and raw processed - Meat substitutes</t>
  </si>
  <si>
    <t>Animal feeds - Meat and bone meal</t>
  </si>
  <si>
    <t>Animal feeds - Chicken and feather meal</t>
  </si>
  <si>
    <t>Animal feeds - Fish meal</t>
  </si>
  <si>
    <t>Animal feeds - Pellets</t>
  </si>
  <si>
    <t>Cereals/rice (grain) - Raw</t>
  </si>
  <si>
    <t>Cereals/rice (grain) - Dry cereal</t>
  </si>
  <si>
    <t>Cereals/rice (grain) - Rice</t>
  </si>
  <si>
    <t>Cereals/rice (grain) - Barley</t>
  </si>
  <si>
    <t>Cereals/rice (grain) - Oats</t>
  </si>
  <si>
    <t>Cereals/rice (grain) - Processed grains - flaked corn</t>
  </si>
  <si>
    <t>Cereals/rice (grain) - Processed grains - crisped rice</t>
  </si>
  <si>
    <t>Cereals/rice (grain) - Muesli</t>
  </si>
  <si>
    <t>Cereals/rice (grain) - Tortilla</t>
  </si>
  <si>
    <t>Cereals/rice (grain) - Dry pasta</t>
  </si>
  <si>
    <t>Cereals/rice (grain) - Fresh pasta</t>
  </si>
  <si>
    <t>Cereals/rice (grain) - Pasta salad</t>
  </si>
  <si>
    <t>Cereals/rice (grain) - Frozen pasta dough</t>
  </si>
  <si>
    <t>Cereals/rice (grain) - Flour - wheat</t>
  </si>
  <si>
    <t>Cereals/rice (grain) - Flour - -soy</t>
  </si>
  <si>
    <t>Cereals/rice (grain) - Corn meal</t>
  </si>
  <si>
    <t>Cereals/rice (grain) - Couscous/bulgur (tabouli)</t>
  </si>
  <si>
    <t>Cereals/rice (grain) - Sesame seeds (including Tahini)</t>
  </si>
  <si>
    <t>Other - Margarine</t>
  </si>
  <si>
    <t>Other - Gelatin</t>
  </si>
  <si>
    <t>Shelf stable acid food - Dressings</t>
  </si>
  <si>
    <t>Shelf stable acid food - Mayonnaise</t>
  </si>
  <si>
    <t>Shelf stable acid food - Ketchup</t>
  </si>
  <si>
    <t>Shelf stable acid food - Sauce</t>
  </si>
  <si>
    <t>Spices - Flakes</t>
  </si>
  <si>
    <t>Spices - Mixes</t>
  </si>
  <si>
    <t>Spices - Crushed seeds</t>
  </si>
  <si>
    <t>Spices - Peppercorn</t>
  </si>
  <si>
    <t>Spices - Dry leaves</t>
  </si>
  <si>
    <t>Frozen Meat (raw or raw processed) - Meat cuts or trim</t>
  </si>
  <si>
    <t>Frozen Meat (raw or raw processed) - Meat cuts or trim - roast</t>
  </si>
  <si>
    <t>Frozen Meat (raw or raw processed) - Meat cuts or trim - steak</t>
  </si>
  <si>
    <t>Frozen Meat (raw or raw processed) - Meat balls</t>
  </si>
  <si>
    <t>Raw Meat (processed) - Prepared meat - seasoned kebabs</t>
  </si>
  <si>
    <t>Raw Meat (processed) - Prepared meat - sausage</t>
  </si>
  <si>
    <t>Raw Meat (processed) - Prepared meat - meat balls</t>
  </si>
  <si>
    <t>Raw Meat (processed) - Hamburger patties</t>
  </si>
  <si>
    <t>Raw Meat (unprocessed) - Carcass - beef</t>
  </si>
  <si>
    <t>Raw Meat (unprocessed) - Carcass - pork</t>
  </si>
  <si>
    <t>Raw Meat (unprocessed) - Carcass - rabbit</t>
  </si>
  <si>
    <t>Raw Meat (unprocessed) - Meat cuts or trim</t>
  </si>
  <si>
    <t>Raw Meat (unprocessed) - Glandular products</t>
  </si>
  <si>
    <t>Raw Meat (unprocessed) - Frog legs</t>
  </si>
  <si>
    <t>Frozen poultry (raw or raw processed) - Chicken</t>
  </si>
  <si>
    <t>Frozen poultry (raw or raw processed) - Turkey</t>
  </si>
  <si>
    <t>Frozen poultry (raw or raw processed) - Prepared poultry - chicken nuggets</t>
  </si>
  <si>
    <t>Frozen poultry (raw or raw processed) - Prepared poultry - popcorn chicken</t>
  </si>
  <si>
    <t>Frozen poultry (raw or raw processed) - Prepared poultry - chicken fingers</t>
  </si>
  <si>
    <t>Frozen poultry (raw or raw processed) - Prepared poultry - buffalo wings</t>
  </si>
  <si>
    <t>Poultry (raw processed) - Ground chicken</t>
  </si>
  <si>
    <t>Poultry (raw processed) - Ground turkey</t>
  </si>
  <si>
    <t>Poultry (raw processed) - Prepared poultry - seasoned kebabs</t>
  </si>
  <si>
    <t>Poultry (raw processed) - Prepared poultry - marinated chicken breasts</t>
  </si>
  <si>
    <t>Poultry (raw unprocessed) - Raw whole chicken</t>
  </si>
  <si>
    <t>Poultry (raw unprocessed) - Raw whole turkey</t>
  </si>
  <si>
    <t>Poultry (raw unprocessed) - Raw whole duck</t>
  </si>
  <si>
    <t>Poultry (raw unprocessed) - Raw whole quail</t>
  </si>
  <si>
    <t>Poultry (raw unprocessed) - Offal</t>
  </si>
  <si>
    <t>Poultry (raw unprocessed) - Raw chicken parts</t>
  </si>
  <si>
    <t>Poultry (raw unprocessed) - Raw chicken parts - thighs</t>
  </si>
  <si>
    <t>Poultry (raw unprocessed) - Raw chicken parts - breast</t>
  </si>
  <si>
    <t>Poultry (raw unprocessed) - Raw turkey parts</t>
  </si>
  <si>
    <t>Cured/smoked - Dry cured ham - prosciutto</t>
  </si>
  <si>
    <t>Cured/smoked - Dry cured ham - Bayonne</t>
  </si>
  <si>
    <t>Cured/smoked - Pastrami</t>
  </si>
  <si>
    <t>Cured/smoked - Beef jerky</t>
  </si>
  <si>
    <t>Cured/smoked - Pepperoni</t>
  </si>
  <si>
    <t>Cured/smoked - Kielbasa</t>
  </si>
  <si>
    <t>Cured/smoked - Mortadella</t>
  </si>
  <si>
    <t>Heat processed - Cooked ham</t>
  </si>
  <si>
    <t>Heat processed - Cooked beef</t>
  </si>
  <si>
    <t>Heat processed - Frankfurters (weiners)</t>
  </si>
  <si>
    <t>Heat processed - Cooked chicken</t>
  </si>
  <si>
    <t>Heat processed - Cooked turkey</t>
  </si>
  <si>
    <t>Heat processed - Cooked deli-type preparations</t>
  </si>
  <si>
    <t>Heat processed - Deli meat - Turkey</t>
  </si>
  <si>
    <t>Heat processed - Deli meat - Chicken</t>
  </si>
  <si>
    <t>Heat processed - Deli meat - Beef</t>
  </si>
  <si>
    <t>Heat processed - Deli meat - Ham</t>
  </si>
  <si>
    <t>Heat processed - Deli meat - Bologna</t>
  </si>
  <si>
    <t>Heat processed - Deli meat - Corned beef</t>
  </si>
  <si>
    <t>Other - Pates and spreads</t>
  </si>
  <si>
    <t>Other - Donair</t>
  </si>
  <si>
    <t>Potable - Bottled - mineral</t>
  </si>
  <si>
    <t>Potable - Municipal</t>
  </si>
  <si>
    <t>Potable - Private well</t>
  </si>
  <si>
    <t>Potable - Bottled</t>
  </si>
  <si>
    <t>isolation_source_food_type</t>
  </si>
  <si>
    <t>anthropogenic environmental material</t>
  </si>
  <si>
    <t>sequencer_gaiix</t>
  </si>
  <si>
    <t>GAiix</t>
  </si>
  <si>
    <t>If you want fewer fields to be exported, then on the NCBI Biosample table, select any column header field names you want to exclude from the upload, and italicise them.  All italicised fields are skipped.</t>
  </si>
  <si>
    <t>Light yellow input fields are included in the NCBI Biosample submission table.  Other fields (in beige) are stored in this spreadsheet only - they are NOT included in the Biosample submission data.</t>
  </si>
  <si>
    <t>UBERON_0001988</t>
  </si>
  <si>
    <t>Column1</t>
  </si>
  <si>
    <t>UBERON_0001268</t>
  </si>
  <si>
    <t>UBERON_0001836</t>
  </si>
  <si>
    <t>UBERON_0000479</t>
  </si>
  <si>
    <t>UBERON_2000084</t>
  </si>
  <si>
    <t>UBERON_0008291</t>
  </si>
  <si>
    <t>UBERON_0002048</t>
  </si>
  <si>
    <t>UBERON_0000948</t>
  </si>
  <si>
    <t>UBERON_0000945</t>
  </si>
  <si>
    <t>UBERON_0002385</t>
  </si>
  <si>
    <t>UBERON_0000029</t>
  </si>
  <si>
    <t>UBERON_0000178</t>
  </si>
  <si>
    <t>UBERON_0000062</t>
  </si>
  <si>
    <t>UBERON_0004765</t>
  </si>
  <si>
    <t>UBERON_0001359</t>
  </si>
  <si>
    <t>animal - bronchoalveolar lavage</t>
  </si>
  <si>
    <t>animal - organ</t>
  </si>
  <si>
    <t>animal - organ - gut</t>
  </si>
  <si>
    <t>animal - organ - heart</t>
  </si>
  <si>
    <t>animal - organ - lung</t>
  </si>
  <si>
    <t>animal - part - spine</t>
  </si>
  <si>
    <t>animal - part - bone</t>
  </si>
  <si>
    <t>animal - part (unknown)</t>
  </si>
  <si>
    <t>animal manure - composted</t>
  </si>
  <si>
    <t>ENVO_00003860</t>
  </si>
  <si>
    <t>animal manure - horse</t>
  </si>
  <si>
    <t>ENVO_00003859</t>
  </si>
  <si>
    <t>animal manure - porcine (pig slurry)</t>
  </si>
  <si>
    <t xml:space="preserve">animal manure product (commercial/retail, heat treated) </t>
  </si>
  <si>
    <t>animal manure - bovine (dairy liquid)</t>
  </si>
  <si>
    <t>animal manure - poultry</t>
  </si>
  <si>
    <t>animal manure - poultry (heat treated)</t>
  </si>
  <si>
    <t>plant - compost (green)</t>
  </si>
  <si>
    <t xml:space="preserve"> Biome</t>
  </si>
  <si>
    <t>terrestrial - anthropogenic - dense settlement - urban</t>
  </si>
  <si>
    <t>terrestrial - anthropogenic - rangeland (rural)</t>
  </si>
  <si>
    <t>terrestrial - anthropogenic - village (mixed urban)</t>
  </si>
  <si>
    <t>Precipitation</t>
  </si>
  <si>
    <t>Temperature (sample)</t>
  </si>
  <si>
    <t>Average daily temp. (site)</t>
  </si>
  <si>
    <t>animal - feed (fish meal)</t>
  </si>
  <si>
    <t>animal - feed (pet food)</t>
  </si>
  <si>
    <t>edit (not really ingredient)</t>
  </si>
  <si>
    <t>env_sample_temperature</t>
  </si>
  <si>
    <t>env_site_temperature</t>
  </si>
  <si>
    <t>env_precipitation</t>
  </si>
  <si>
    <t>water - waste water - industrial</t>
  </si>
  <si>
    <t>sediment - lake</t>
  </si>
  <si>
    <t>sediment - stream</t>
  </si>
  <si>
    <t>sediment - marine</t>
  </si>
  <si>
    <t>ENVO_00000546</t>
  </si>
  <si>
    <t>ENVO_00002113</t>
  </si>
  <si>
    <t>ENVO_00002127</t>
  </si>
  <si>
    <t>soil - loam</t>
  </si>
  <si>
    <t>ENVO_00002258</t>
  </si>
  <si>
    <t>soil - compost</t>
  </si>
  <si>
    <t>ENVO_00005747</t>
  </si>
  <si>
    <t>soil - garden</t>
  </si>
  <si>
    <t>ENVO_00002263</t>
  </si>
  <si>
    <t>soil - agricultural</t>
  </si>
  <si>
    <t>ENVO_00002259</t>
  </si>
  <si>
    <t>Water velocity</t>
  </si>
  <si>
    <t>millimetres per day</t>
  </si>
  <si>
    <t>env_water_velocity</t>
  </si>
  <si>
    <t>agricultural - storage - manure</t>
  </si>
  <si>
    <t>formazin turbidity / nephelometric unit(s)</t>
  </si>
  <si>
    <t xml:space="preserve">
  Record</t>
  </si>
  <si>
    <t>*isol_growth_medium</t>
  </si>
  <si>
    <t>*ploidy</t>
  </si>
  <si>
    <t>*propagation_method</t>
  </si>
  <si>
    <t>Past id 1</t>
  </si>
  <si>
    <t>Past id 2</t>
  </si>
  <si>
    <t>Internal Isolate ID</t>
  </si>
  <si>
    <r>
      <rPr>
        <u/>
        <sz val="10"/>
        <rFont val="Arial"/>
        <family val="2"/>
      </rPr>
      <t xml:space="preserve">Keyword </t>
    </r>
    <r>
      <rPr>
        <sz val="10"/>
        <rFont val="Arial"/>
        <family val="2"/>
      </rPr>
      <t xml:space="preserve">      
"missing" 
"not collected"
"not applicable"</t>
    </r>
  </si>
  <si>
    <r>
      <t xml:space="preserve">PC / Mac Key Shortcut
</t>
    </r>
    <r>
      <rPr>
        <sz val="10"/>
        <rFont val="Arial"/>
        <family val="2"/>
      </rPr>
      <t>Alt/Option + Right arrow
Alt/Option + Down arrow
Alt/Option + Left arrow</t>
    </r>
  </si>
  <si>
    <t>lookup animal</t>
  </si>
  <si>
    <t>and sub-category</t>
  </si>
  <si>
    <t xml:space="preserve">NCBI Contributing organization / project </t>
  </si>
  <si>
    <t>Alt. Facility id</t>
  </si>
  <si>
    <t>Alt. Isolate id</t>
  </si>
  <si>
    <t>4b</t>
  </si>
  <si>
    <t>4a</t>
  </si>
  <si>
    <t>Food</t>
  </si>
  <si>
    <t>Coturnix coturnix</t>
  </si>
  <si>
    <t>Meleagris gallopavo</t>
  </si>
  <si>
    <t>Anas platyrhynchos</t>
  </si>
  <si>
    <t>Cavia porcellus</t>
  </si>
  <si>
    <t>Capra aegagrus </t>
  </si>
  <si>
    <t>animal - bird - common quail</t>
  </si>
  <si>
    <t>animal - bird - wild/domesticated turkey</t>
  </si>
  <si>
    <t>animal, domestic - guinea pig</t>
  </si>
  <si>
    <t>9091</t>
  </si>
  <si>
    <t>9103</t>
  </si>
  <si>
    <t>8839</t>
  </si>
  <si>
    <t>9923</t>
  </si>
  <si>
    <t>Serotype</t>
  </si>
  <si>
    <t>E. coli</t>
  </si>
  <si>
    <t>1/2a</t>
  </si>
  <si>
    <t>1/2c</t>
  </si>
  <si>
    <t>3a</t>
  </si>
  <si>
    <t>3c</t>
  </si>
  <si>
    <t>1/2b</t>
  </si>
  <si>
    <t>3b</t>
  </si>
  <si>
    <t>4d</t>
  </si>
  <si>
    <t>4e</t>
  </si>
  <si>
    <t>4c</t>
  </si>
  <si>
    <t>Listera Serotypes</t>
  </si>
  <si>
    <t>listeria_antigen</t>
  </si>
  <si>
    <t>Fluid - Sputum</t>
  </si>
  <si>
    <t>Solid - Food</t>
  </si>
  <si>
    <t>Solid - Stool</t>
  </si>
  <si>
    <t>Solid - Other</t>
  </si>
  <si>
    <t>Solid - Tissue</t>
  </si>
  <si>
    <t>animal - invasive</t>
  </si>
  <si>
    <t>collection_matrix</t>
  </si>
  <si>
    <t>Collection matrix</t>
  </si>
  <si>
    <t>Bacon</t>
  </si>
  <si>
    <t>Charcuterie</t>
  </si>
  <si>
    <t>Fruit and Vegetable-based Products</t>
  </si>
  <si>
    <t>Raw and raw-processed</t>
  </si>
  <si>
    <t>Zucchini</t>
  </si>
  <si>
    <t>Potatoes</t>
  </si>
  <si>
    <t>Legumes</t>
  </si>
  <si>
    <t>Lentils</t>
  </si>
  <si>
    <t>Leafy greens - Spinach</t>
  </si>
  <si>
    <t>Cured/smoked - Bacon</t>
  </si>
  <si>
    <t>Raw fish and crustaceans - Octopus</t>
  </si>
  <si>
    <t>Raw fish and crustaceans - Squid</t>
  </si>
  <si>
    <t>Raw and raw-processed - Zucchini</t>
  </si>
  <si>
    <t>Raw and raw-processed - Potatoes</t>
  </si>
  <si>
    <t>Legumes - Lentils</t>
  </si>
  <si>
    <t>Raw and raw-processed - Leafy greens - Spinach</t>
  </si>
  <si>
    <t>Clinical</t>
  </si>
  <si>
    <t>Cooked</t>
  </si>
  <si>
    <t>Eaten cold</t>
  </si>
  <si>
    <t>Dried</t>
  </si>
  <si>
    <t>Smoked</t>
  </si>
  <si>
    <t>Undercooked</t>
  </si>
  <si>
    <t>preservation_method</t>
  </si>
  <si>
    <t>J0003</t>
  </si>
  <si>
    <t>J0136</t>
  </si>
  <si>
    <t>J0104</t>
  </si>
  <si>
    <t>J0153</t>
  </si>
  <si>
    <t>J0106</t>
  </si>
  <si>
    <t>J0103</t>
  </si>
  <si>
    <t>J0174</t>
  </si>
  <si>
    <t>J0116</t>
  </si>
  <si>
    <t>J0120</t>
  </si>
  <si>
    <t>and preservation method</t>
  </si>
  <si>
    <t>source_material_category</t>
  </si>
  <si>
    <t>* has lab test implications</t>
  </si>
  <si>
    <t>* This would replace attribute_package</t>
  </si>
  <si>
    <t>Source material category</t>
  </si>
  <si>
    <t>PFGE enzyme pattern</t>
  </si>
  <si>
    <t>clonal_complex</t>
  </si>
  <si>
    <t>pfge_enzyme_1_pattern</t>
  </si>
  <si>
    <t>pfge_enzyme_2_pattern</t>
  </si>
  <si>
    <t>Fluid - Aspirate</t>
  </si>
  <si>
    <t>animal, domestic - bird - duck (mallard)</t>
  </si>
  <si>
    <t>animal, domestic - goat</t>
  </si>
  <si>
    <t>isolation_source_text</t>
  </si>
  <si>
    <t>E111</t>
  </si>
  <si>
    <t>Clonal  complex</t>
  </si>
  <si>
    <t xml:space="preserve">Isolation source
</t>
  </si>
  <si>
    <t>1/2</t>
  </si>
  <si>
    <t>Salmonella Serovars</t>
  </si>
  <si>
    <t>Fluid - Cerebral spinal fluid</t>
  </si>
  <si>
    <t>Fluid - Bronchoalveolar lavage</t>
  </si>
  <si>
    <t>Fluid - Unspecified</t>
  </si>
  <si>
    <t>Swab - Tissue</t>
  </si>
  <si>
    <t>Solid - Placental (fetal) tissue</t>
  </si>
  <si>
    <t>Fluid - Peritoneal</t>
  </si>
  <si>
    <t>Fluid - Blood</t>
  </si>
  <si>
    <t>Fluid - Plasma</t>
  </si>
  <si>
    <t>Fluid - Serum</t>
  </si>
  <si>
    <t>Unspecified clinical material, Invasive</t>
  </si>
  <si>
    <t>Environmental, Swab or Sampling</t>
  </si>
  <si>
    <t>Domesticated, Livestock</t>
  </si>
  <si>
    <t>Domesticated, Avian</t>
  </si>
  <si>
    <t>Wild, Animal</t>
  </si>
  <si>
    <t>Wild, Avian</t>
  </si>
  <si>
    <t>Laboratory Animal Model</t>
  </si>
  <si>
    <t>building - fish processing</t>
  </si>
  <si>
    <t>building - abattoir or meat processing</t>
  </si>
  <si>
    <t>building - dairy processing</t>
  </si>
  <si>
    <t>Cooked pork</t>
  </si>
  <si>
    <t>Heat processed - Cooked pork</t>
  </si>
  <si>
    <t>Heat processed - Cooked pork (pork rinds)</t>
  </si>
  <si>
    <t>Prepared, marinated or RTE fish</t>
  </si>
  <si>
    <t>Salted or acidified - Pickled fishes</t>
  </si>
  <si>
    <t>Prepared,marinated or RTE fish</t>
  </si>
  <si>
    <t>Salted or acidified - Salted octopus</t>
  </si>
  <si>
    <t>Salted or acidified - Pickled fishes - Herring - Rolmops</t>
  </si>
  <si>
    <t>Salted or acidified - Salted salmon roe</t>
  </si>
  <si>
    <t>Frozen - Prepared,marinated or RTE fish - Octopus</t>
  </si>
  <si>
    <t>Frozen - Prepared,marinated or RTE fish- Squid</t>
  </si>
  <si>
    <t>Cooked crab meat</t>
  </si>
  <si>
    <t>Heat processed - Cooked crab meat</t>
  </si>
  <si>
    <t>Cooked Seafood salad</t>
  </si>
  <si>
    <t>Cooked Seafood salad - Tuna</t>
  </si>
  <si>
    <t>Heat processed - Cooked Seafood salad</t>
  </si>
  <si>
    <t>Heat processed - Cooked Seafood salad - Tuna</t>
  </si>
  <si>
    <t>Raw Crab</t>
  </si>
  <si>
    <t>Raw Crayfish</t>
  </si>
  <si>
    <t>Raw Fish/fish fillets</t>
  </si>
  <si>
    <t>Raw Imitation crab</t>
  </si>
  <si>
    <t>Raw Lobster</t>
  </si>
  <si>
    <t>Raw Octopus</t>
  </si>
  <si>
    <t>Raw Shrimp/prawns</t>
  </si>
  <si>
    <t>Raw Squid</t>
  </si>
  <si>
    <t>Raw Surimi</t>
  </si>
  <si>
    <t>Raw Sushi</t>
  </si>
  <si>
    <t>Cooked Shrimp/prawns</t>
  </si>
  <si>
    <t>Heat processed -  Cooked fish and crustaceans - Shrimp/prawns</t>
  </si>
  <si>
    <t xml:space="preserve">Acidified  </t>
  </si>
  <si>
    <t>Pickled</t>
  </si>
  <si>
    <t>Pasteurized</t>
  </si>
  <si>
    <t>Ready-to-eat (RTE)</t>
  </si>
  <si>
    <t>Fluid - Urine</t>
  </si>
  <si>
    <t>Tree nuts - almonds</t>
  </si>
  <si>
    <t>Nuts/nut meats - Tree nuts - almonds</t>
  </si>
  <si>
    <t>Tree nuts - unspecified</t>
  </si>
  <si>
    <t>Raw Meat (unprocessed) - Raw meat or fish - Carpaccio</t>
  </si>
  <si>
    <t>Salted or acidified fish</t>
  </si>
  <si>
    <t>Raw meat or fish - Carpaccio</t>
  </si>
  <si>
    <t>Frozen - Frozen fish filet</t>
  </si>
  <si>
    <t>Frozen fish filet</t>
  </si>
  <si>
    <t>Animal feed</t>
  </si>
  <si>
    <t>Prepared poultry - Turkey</t>
  </si>
  <si>
    <t>Frozen poultry (raw or raw processed) - Prepared Turkey</t>
  </si>
  <si>
    <t>Heat processed - Charcuterie - cooked meat</t>
  </si>
  <si>
    <t>Frozen - Prepared,marinated or RTE fish - Unspecified</t>
  </si>
  <si>
    <t>Salted fish</t>
  </si>
  <si>
    <t>Salted or acidified - Salted fish</t>
  </si>
  <si>
    <t>Nuts/nut meats - Tree nuts</t>
  </si>
  <si>
    <t>Chicken salad</t>
  </si>
  <si>
    <t>Heat processed - Cooked chicken salad</t>
  </si>
  <si>
    <t>Salted - Meat and Poultry</t>
  </si>
  <si>
    <t>swab - inanimate object surface</t>
  </si>
  <si>
    <t>building</t>
  </si>
  <si>
    <t>agricultural - storage - feed</t>
  </si>
  <si>
    <t>Salami - Italian sausage</t>
  </si>
  <si>
    <t>Spreadable -Sausage</t>
  </si>
  <si>
    <t>Raw-fermented</t>
  </si>
  <si>
    <t>Raw-fermented - Dried sausage</t>
  </si>
  <si>
    <t>Raw-fermented - Salami - winter sausage</t>
  </si>
  <si>
    <t>Raw-fermented - Salami - hard salami</t>
  </si>
  <si>
    <t>Raw-fermented - Salami - summer sausage</t>
  </si>
  <si>
    <t>Raw-fermented - Salami - Italian sausage</t>
  </si>
  <si>
    <t>Raw-fermented - Salami - pork and beef</t>
  </si>
  <si>
    <t>Raw-fermented - Spreadable -Sausage</t>
  </si>
  <si>
    <t>Sausage - French pork sausage (e.g. Rosette de Lyon_</t>
  </si>
  <si>
    <t>Salami- hard salami</t>
  </si>
  <si>
    <t>Salami - pork and beef</t>
  </si>
  <si>
    <t>Heat processed - Deli meat - Ham sausage</t>
  </si>
  <si>
    <t>Deli meat - Ham sausage</t>
  </si>
  <si>
    <t>Heat processed - Cooked sausage</t>
  </si>
  <si>
    <t>Cooked sausage</t>
  </si>
  <si>
    <t>Cooked meatloaf</t>
  </si>
  <si>
    <t>Cooked canned meat</t>
  </si>
  <si>
    <t xml:space="preserve">Heat processed - Cooked meat loaf </t>
  </si>
  <si>
    <t>Heat processed - Cooked canned meat (frankfurter and luncheon meat</t>
  </si>
  <si>
    <t>Other - Canned Meat or Poultry</t>
  </si>
  <si>
    <t>Dry sausage</t>
  </si>
  <si>
    <t>Semi-dry sausage</t>
  </si>
  <si>
    <t>Heat-processed  - Salami - Hungarian</t>
  </si>
  <si>
    <t>Raw-fermented - Dry sausage</t>
  </si>
  <si>
    <t>Raw-fermented - Semi-dry sausage</t>
  </si>
  <si>
    <t>Ham</t>
  </si>
  <si>
    <t>Cured/smoked - Ham</t>
  </si>
  <si>
    <t>Dried - Dried sausage (Chinese sausage)</t>
  </si>
  <si>
    <t>Jerky</t>
  </si>
  <si>
    <t>Dried - Jerky</t>
  </si>
  <si>
    <t>Raw-fermented - Salami - pepper salami</t>
  </si>
  <si>
    <t>Salami - pepper salami</t>
  </si>
  <si>
    <t>Salami - summer sausage</t>
  </si>
  <si>
    <t>Fresh</t>
  </si>
  <si>
    <t>E80</t>
  </si>
  <si>
    <t>Raw molluscan shellfish</t>
  </si>
  <si>
    <t>Raw molluscan shellfish - Raw clams</t>
  </si>
  <si>
    <t>Raw molluscan shellfish - Raw oysters</t>
  </si>
  <si>
    <t>Raw molluscan shellfish - Raw mussels</t>
  </si>
  <si>
    <t>Swab - Meat</t>
  </si>
  <si>
    <t>Raw-fermented - Sausage - French pork sausage (e.g. Rosette de Lyon; saucisse de Morteau)</t>
  </si>
  <si>
    <t>sewage - raw sewage</t>
  </si>
  <si>
    <t>drain</t>
  </si>
  <si>
    <t>Escherichia (genus)</t>
  </si>
  <si>
    <t>Cured</t>
  </si>
  <si>
    <t>Curried</t>
  </si>
  <si>
    <t>Blood meal</t>
  </si>
  <si>
    <t>Animal feeds - Blood meal</t>
  </si>
  <si>
    <t>Molluscan shellfish</t>
  </si>
  <si>
    <t>Cooked clams</t>
  </si>
  <si>
    <t>Molluscan shellfish - Cooked clams</t>
  </si>
  <si>
    <t>Cooked mussels</t>
  </si>
  <si>
    <t>Molluscan shellfish - Cooked mussels</t>
  </si>
  <si>
    <t>Cooked oysters</t>
  </si>
  <si>
    <t>Molluscan shellfish - Cooked oysters</t>
  </si>
  <si>
    <t>animal - body excretion, unspecified</t>
  </si>
  <si>
    <t>Fluid - Body excretion, Unspecified</t>
  </si>
  <si>
    <t>Solid - Rectal</t>
  </si>
  <si>
    <t>Pork</t>
  </si>
  <si>
    <t>Cured/smoked - Pork</t>
  </si>
  <si>
    <t>Beef</t>
  </si>
  <si>
    <t>Cured/smoked - Beef</t>
  </si>
  <si>
    <t>Ground/minced meat - beef</t>
  </si>
  <si>
    <t>Ground/minced meat - lamb</t>
  </si>
  <si>
    <t>Ground/minced meat - pork</t>
  </si>
  <si>
    <t>Ground/minced meat - rabbit</t>
  </si>
  <si>
    <t>Ground/minced meat - venison</t>
  </si>
  <si>
    <t>Raw Meat (unprocessed) - Meat cuts or trim - beef</t>
  </si>
  <si>
    <t>Raw Meat (unprocessed) - Meat cuts or trim - lamb</t>
  </si>
  <si>
    <t>Raw Meat (unprocessed) - Meat cuts or trim - pork</t>
  </si>
  <si>
    <t>Meat cuts or trim - roast - beef</t>
  </si>
  <si>
    <t>Meat cuts or trim - roast - pork</t>
  </si>
  <si>
    <t>Meat cuts or trim - steak - beef</t>
  </si>
  <si>
    <t>Frozen Meat (raw or raw processed) - Meat cuts or trim - roast - beef</t>
  </si>
  <si>
    <t>Frozen Meat (raw or raw processed) - Meat cuts or trim - roast  - pork</t>
  </si>
  <si>
    <t>Frozen Meat (raw or raw processed) - Meat cuts or trim - steak - beef</t>
  </si>
  <si>
    <t>Raw Meat (processed) - Ground/minced meat - beef</t>
  </si>
  <si>
    <t>Raw Meat (processed) - Ground/minced meat - lamb</t>
  </si>
  <si>
    <t>Raw Meat (processed) - Ground/minced meat - pork</t>
  </si>
  <si>
    <t>Raw Meat (processed) - Ground/minced meat - rabbit</t>
  </si>
  <si>
    <t>Raw Meat (processed) - Ground/minced meat - venison</t>
  </si>
  <si>
    <t>Raw duck parts - breast</t>
  </si>
  <si>
    <t>Poultry (raw unprocessed) - Raw  duck parts - breast</t>
  </si>
  <si>
    <t>non-monocytogenes</t>
  </si>
  <si>
    <t>Submittor ID</t>
  </si>
  <si>
    <t>original_submittor_id</t>
  </si>
  <si>
    <t>Unknown Source</t>
  </si>
  <si>
    <t>Cheese made from pasteurized milk - Brined -  Feta</t>
  </si>
  <si>
    <t>Cheese made from pasteurized milk - Soft-ripened -  Brie, Camembert</t>
  </si>
  <si>
    <t>Cheese made from pasteurized milk - Hard cheese - Cheddar, Jack</t>
  </si>
  <si>
    <t>Cheese made from pasteurized milk - Semi-soft - Mexican-style</t>
  </si>
  <si>
    <t>Cheese made from pasteurized milk - Semi-soft - Mozzarrella, Bocconcini</t>
  </si>
  <si>
    <t>Cheese made from pasteurized milk - Semi-soft - Ricotta</t>
  </si>
  <si>
    <t>Cheese made from pasteurized milk - Blue style</t>
  </si>
  <si>
    <t>Cheese made from pasteurized milk - Washed rind - Limberger, Appenzeller</t>
  </si>
  <si>
    <t>Cheese made from pasteurized milk - Processed/Process Cheese product</t>
  </si>
  <si>
    <t>Cheese made from pasteurized milk - Semi-soft - Goat</t>
  </si>
  <si>
    <t>Cheese made from pasteurized milk - Soft - Cottage</t>
  </si>
  <si>
    <t>Cheese made from pasteurized milk - Soft - Cream cheese</t>
  </si>
  <si>
    <t>Cheese made from pasteurized milk - Semi-soft - Sheep</t>
  </si>
  <si>
    <t>Cheese made from pasteurized milk - hard - Sheep</t>
  </si>
  <si>
    <t>Raw - Raw milk cheese (unpasteurized) - Brined - Feta</t>
  </si>
  <si>
    <t>Raw - Raw milk cheese (unpasteurized) - Semi-Soft - Goat</t>
  </si>
  <si>
    <t>Raw - Raw milk cheese (unpasteurized) - Hard - Cheddar, Jack</t>
  </si>
  <si>
    <t>Raw - Raw milk cheese (unpasteurized) - Hard - Unspecified, Artisan</t>
  </si>
  <si>
    <t>Raw - Raw milk cheese (unpasteurized) - Semi-Soft - Unspecified, Artisan</t>
  </si>
  <si>
    <t>Raw milk cheese (unpasteurized) - Hard - Cheddar, Jack</t>
  </si>
  <si>
    <t>Raw milk cheese (unpasteurized) - Brined - Feta</t>
  </si>
  <si>
    <t>Raw milk cheese (unpasteurized) - Semi-soft - Goat</t>
  </si>
  <si>
    <t>Raw milk cheese (unpasteurized) - Hard - Unspecified, Artisan</t>
  </si>
  <si>
    <t>Raw milk cheese (unpasteurized) - Brined - Unspecified</t>
  </si>
  <si>
    <t>Raw milk cheese (unpasteurized) - Semi-Soft - Unspecified, Artisan</t>
  </si>
  <si>
    <t>Raw - Raw milk cheese (unpasteurized) - Semi-Soft - Cow</t>
  </si>
  <si>
    <t>Raw - Raw milk cheese (unpasteurized) - Semi-Soft - Sheep</t>
  </si>
  <si>
    <t>Raw milk cheese (unpasteurized)  - Semi-Soft - Sheep</t>
  </si>
  <si>
    <t>Raw milk cheese (unpasteurized)  - Semi-Soft - Cow</t>
  </si>
  <si>
    <t>Cheese made from pasteurized milk -  Hard  - Parmesan, Muenster</t>
  </si>
  <si>
    <t>Ripened</t>
  </si>
  <si>
    <t>Raw - Raw milk cheese (unpasteurized) - Unspecified</t>
  </si>
  <si>
    <t>Heat processed (pasteurized) - Ripened</t>
  </si>
  <si>
    <t>Heat processed (pasterized) - Ripened - Cheese made from pasteurized milk - Blue style - Blue, Gorgonzola, Roquefort, Stilton</t>
  </si>
  <si>
    <t>Heat processed (pasterized) - Ripened - Cheese made from pasteurized milk - Brined  - Feta</t>
  </si>
  <si>
    <t>Heat processed (pasterized) - Ripened - Cheese made from pasteurized milk - Hard - cheddar, jack</t>
  </si>
  <si>
    <t>Heat processed (pasterized) - Ripened - Cheese made from pasteurized milk - Hard - Parmesan, Muenster</t>
  </si>
  <si>
    <t>Heat processed (pasterized) - Ripened - Cheese made from pasteurized milk - Hard - Sheep</t>
  </si>
  <si>
    <t>Heat processed (pasterized) - Ripened - Cheese made from pasteurized milk - Processed/Process Cheese product</t>
  </si>
  <si>
    <t>Heat processed (pasterized) - Ripened - Cheese made from pasteurized milk - Semi-soft  - Mozzarella, Bocconcini</t>
  </si>
  <si>
    <t>Heat processed (pasterized) - Ripened - Cheese made from pasteurized milk - Semi-soft - Goat</t>
  </si>
  <si>
    <t>Heat processed (pasterized) - Ripened - Cheese made from pasteurized milk - Semi-soft - Mexican-style</t>
  </si>
  <si>
    <t>Heat processed (pasterized) - Ripened - Cheese made from pasteurized milk - Semi-soft - Ricotta</t>
  </si>
  <si>
    <t>Heat processed (pasterized) - Ripened - Cheese made from pasteurized milk - Semi-soft - Sheep</t>
  </si>
  <si>
    <t>Heat processed (pasterized) - Ripened - Cheese made from pasteurized milk - Soft - Cottage</t>
  </si>
  <si>
    <t>Heat processed (pasterized) - Ripened - Cheese made from pasteurized milk - Soft-ripened - Brie, Camembert</t>
  </si>
  <si>
    <t>Heat processed (pasterized) - Ripened - Cheese made from pasteurized milk - Unspecified</t>
  </si>
  <si>
    <t>Heat processed (pasterized) - Ripened - Cheese made from pasteurized milk - Washed rind - Limberger, Appenzeller</t>
  </si>
  <si>
    <t>Raw - Raw milk cheese (unpasteurized) - Blue style - Blue, Gorgonzola, Roquefort, Stilton</t>
  </si>
  <si>
    <t>Heat processed (pasterized) - Ripened - Cheese made from pasteurized milk - Soft - Cream cheese</t>
  </si>
  <si>
    <t>Heat processed (pasterized) - Ripened - Cheese made from pasteurized milk - Soft - Cheese curds</t>
  </si>
  <si>
    <t>Cheese made from pasteurized milk - Soft - Cheese curds</t>
  </si>
  <si>
    <t>1 (Asc1) LMAAI pattern</t>
  </si>
  <si>
    <t>2 (ApaI) LMACI pattern</t>
  </si>
  <si>
    <t xml:space="preserve">Subtype </t>
  </si>
  <si>
    <t>Subgroup</t>
  </si>
  <si>
    <t>Isolate Source Location</t>
  </si>
  <si>
    <r>
      <t xml:space="preserve">OR </t>
    </r>
    <r>
      <rPr>
        <sz val="10"/>
        <color theme="1"/>
        <rFont val="Franklin Gothic Book"/>
        <family val="2"/>
        <scheme val="minor"/>
      </rPr>
      <t>environmental sample</t>
    </r>
  </si>
  <si>
    <t>Additional free text, required for environmental isolate; selections above will be added to the isolate source description.</t>
  </si>
  <si>
    <t>metres cubed per second</t>
  </si>
  <si>
    <t>metres</t>
  </si>
  <si>
    <t>micromole per litre</t>
  </si>
  <si>
    <t>original_facility_id</t>
  </si>
  <si>
    <t>curator1_facility_id</t>
  </si>
  <si>
    <t>curator1_isolate_id</t>
  </si>
  <si>
    <t>curator2_facility_id</t>
  </si>
  <si>
    <t>curator2_isolate_id</t>
  </si>
  <si>
    <t>animal - caecum contents</t>
  </si>
  <si>
    <t>swab - food contact surface</t>
  </si>
  <si>
    <t>swab - meat</t>
  </si>
  <si>
    <t>Unspecified clinical material</t>
  </si>
  <si>
    <t>animal - shellfish</t>
  </si>
  <si>
    <t>Gastroenteritis</t>
  </si>
  <si>
    <t>Febrile gastroenteritis</t>
  </si>
  <si>
    <t>UTI, Urinary tract infection</t>
  </si>
  <si>
    <t>Asymptomatic</t>
  </si>
  <si>
    <t>Skin infection</t>
  </si>
  <si>
    <t>Odontogenic infection (an infection that originates within a tooth or in the closely surrounding tissues)</t>
  </si>
  <si>
    <t>Reproductive tract infection</t>
  </si>
  <si>
    <t>Invasive - HUS, Hemolytic uremic syndrome</t>
  </si>
  <si>
    <t>Invasive - meningitis/encephalitis</t>
  </si>
  <si>
    <t>Neonatal - invasive - meningitis</t>
  </si>
  <si>
    <t>Acute respiratory distress syndrome</t>
  </si>
  <si>
    <t>Ulcerative colitis </t>
  </si>
  <si>
    <t>Acute respiratory tract infection - lower respiratory tract - pneumonia/lung edema</t>
  </si>
  <si>
    <t>Acute respiratory tract infection - upper respiratory tract</t>
  </si>
  <si>
    <t>Food poisoning - Botulism</t>
  </si>
  <si>
    <t>Food poisoning - Infant botulism</t>
  </si>
  <si>
    <t xml:space="preserve">Host disease </t>
  </si>
  <si>
    <t>host_disease</t>
  </si>
  <si>
    <t>animal, domestic - rabbit</t>
  </si>
  <si>
    <t>Fluid - Food</t>
  </si>
  <si>
    <t>Swab - Food contact surface</t>
  </si>
  <si>
    <t>Swab - Inanimate object surface</t>
  </si>
  <si>
    <t>Swab - Rectal swab</t>
  </si>
  <si>
    <t>Swab - Unspecified</t>
  </si>
  <si>
    <t>Fetal/Intra-amniotic infection</t>
  </si>
  <si>
    <t>Invasive - systemic infection</t>
  </si>
  <si>
    <t>animal - fluid, carcass</t>
  </si>
  <si>
    <t>(Strain/Metadata) Contributor</t>
  </si>
  <si>
    <t>*attribute_package</t>
  </si>
  <si>
    <t>*host_disease</t>
  </si>
  <si>
    <t>*host</t>
  </si>
  <si>
    <t>*collected_by</t>
  </si>
  <si>
    <t>*bioproject_accession</t>
  </si>
  <si>
    <t>OBI_0001616</t>
  </si>
  <si>
    <t>Lagomorpha</t>
  </si>
  <si>
    <t>9986</t>
  </si>
  <si>
    <t>TRANS_0000006</t>
  </si>
  <si>
    <t>PATO_0001869</t>
  </si>
  <si>
    <t>SIO_001012</t>
  </si>
  <si>
    <t>SIO_010059</t>
  </si>
  <si>
    <t>EFO_0000409</t>
  </si>
  <si>
    <t>recurring</t>
  </si>
  <si>
    <t>PATO_0000383</t>
  </si>
  <si>
    <t>PATO_0000384</t>
  </si>
  <si>
    <t>PATO_0001340</t>
  </si>
  <si>
    <t>GenEpiO_0001615</t>
  </si>
  <si>
    <t>GenEpiO_0001616</t>
  </si>
  <si>
    <t>GenEpiO_0001610</t>
  </si>
  <si>
    <t>GenEpiO_0001617</t>
  </si>
  <si>
    <t>GenEpiO_0001212</t>
  </si>
  <si>
    <t>GenEpiO_0001625</t>
  </si>
  <si>
    <t>host_health_status: ExO_0000038</t>
  </si>
  <si>
    <t>ExO_0000038</t>
  </si>
  <si>
    <t>PATO_0001894</t>
  </si>
  <si>
    <t>GenEpiO_0001614</t>
  </si>
  <si>
    <t>OBI_0001891</t>
  </si>
  <si>
    <t>Sequencing Platform: ERO_0001183</t>
  </si>
  <si>
    <t>GenEpiO_0000029</t>
  </si>
  <si>
    <t>UBERON_0001130</t>
  </si>
  <si>
    <t>UBERON_0001153</t>
  </si>
  <si>
    <t>animal - caecum</t>
  </si>
  <si>
    <t>UBERON_0000174</t>
  </si>
  <si>
    <t>ENVO_00005749</t>
  </si>
  <si>
    <t>ENVO_00002173</t>
  </si>
  <si>
    <t>OBI_0000651</t>
  </si>
  <si>
    <t>OBI_0000655</t>
  </si>
  <si>
    <t>Swab - Nasal</t>
  </si>
  <si>
    <t>OBI_0000917</t>
  </si>
  <si>
    <t>UBERON_0007311</t>
  </si>
  <si>
    <t>UBERON_0001090</t>
  </si>
  <si>
    <t>Fluid - Joint (sinovial)</t>
  </si>
  <si>
    <t>UBERON_0000922</t>
  </si>
  <si>
    <t>UBERON_0001969</t>
  </si>
  <si>
    <t>UBERON_0001977</t>
  </si>
  <si>
    <t>CHMO_0002743</t>
  </si>
  <si>
    <t>OGMS_0000064</t>
  </si>
  <si>
    <t>CHEBI_33290</t>
  </si>
  <si>
    <t>GenEpiO_0001179</t>
  </si>
  <si>
    <t>DOID_13148</t>
  </si>
  <si>
    <t>DOID_8577</t>
  </si>
  <si>
    <t>DOID_12554</t>
  </si>
  <si>
    <t>DOID_2326</t>
  </si>
  <si>
    <t>DOID_11976</t>
  </si>
  <si>
    <t>DOID_0050354</t>
  </si>
  <si>
    <t>DOID_2945</t>
  </si>
  <si>
    <t>DOID_11247</t>
  </si>
  <si>
    <t>Bacteremia/sepsis/septic shock/</t>
  </si>
  <si>
    <t>disseminated intravascular coagulation</t>
  </si>
  <si>
    <t>DOID_14115</t>
  </si>
  <si>
    <t>toxic shock syndrome</t>
  </si>
  <si>
    <t>severe acute respiratory syndrome</t>
  </si>
  <si>
    <t>adult respiratory distress syndrome</t>
  </si>
  <si>
    <t>DOID_11394</t>
  </si>
  <si>
    <t>DOID_12716</t>
  </si>
  <si>
    <t>newborn respiratory distress syndrome</t>
  </si>
  <si>
    <t>GenEpiO_0001239</t>
  </si>
  <si>
    <t>GenEpiO_0001639</t>
  </si>
  <si>
    <t>GenEpiO_0001640</t>
  </si>
  <si>
    <t>GenEpiO_0001545</t>
  </si>
  <si>
    <t>SIO_000136</t>
  </si>
  <si>
    <t>GenEpiO_0001429</t>
  </si>
  <si>
    <t>GenEpiO_0001642</t>
  </si>
  <si>
    <t>GenEpiO_0001649</t>
  </si>
  <si>
    <r>
      <t>GenEpiO_00016</t>
    </r>
    <r>
      <rPr>
        <sz val="10"/>
        <color theme="1"/>
        <rFont val="Franklin Gothic Book"/>
        <family val="2"/>
        <scheme val="minor"/>
      </rPr>
      <t>50</t>
    </r>
  </si>
  <si>
    <t>GenEpiO_0001651</t>
  </si>
  <si>
    <t>SIO_000665</t>
  </si>
  <si>
    <t>SIO_000664</t>
  </si>
  <si>
    <t>GenEpiO_0001657</t>
  </si>
  <si>
    <t>GenEpiO_0001656</t>
  </si>
  <si>
    <t>n/a</t>
  </si>
  <si>
    <t>J1035</t>
  </si>
  <si>
    <t>H0190</t>
  </si>
  <si>
    <t>H0235</t>
  </si>
  <si>
    <t>H0200</t>
  </si>
  <si>
    <t>castrated male</t>
  </si>
  <si>
    <t>PATO_0002367</t>
  </si>
  <si>
    <t>GenEpiO_0001660</t>
  </si>
  <si>
    <t>GenEpiO_0001661</t>
  </si>
  <si>
    <t>GenEpiO_0001662</t>
  </si>
  <si>
    <t>GenEpiO_0001702</t>
  </si>
  <si>
    <t>GenEpiO_0001700</t>
  </si>
  <si>
    <t>GenEpiO_0001701</t>
  </si>
  <si>
    <t>GenEpiO_0001697</t>
  </si>
  <si>
    <t>GenEpiO_0001698</t>
  </si>
  <si>
    <t>GenEpiO_0001699</t>
  </si>
  <si>
    <t>GenEpiO_0001618</t>
  </si>
  <si>
    <t>GenEpiO_0001691</t>
  </si>
  <si>
    <t>GenEpiO_0001692</t>
  </si>
  <si>
    <t>GenEpiO_0001693</t>
  </si>
  <si>
    <t>GenEpiO_0001694</t>
  </si>
  <si>
    <t>GenEpiO_0001695</t>
  </si>
  <si>
    <t>GenEpiO_0001703</t>
  </si>
  <si>
    <t>GenEpiO_0001696</t>
  </si>
  <si>
    <t>SO_0001027</t>
  </si>
  <si>
    <t>GenEpiO_0001076</t>
  </si>
  <si>
    <t>GenEpiO_0001077</t>
  </si>
  <si>
    <t>GenEpiO_0001684</t>
  </si>
  <si>
    <t>GenEpiO_0001685</t>
  </si>
  <si>
    <t>GenEpiO_0001689</t>
  </si>
  <si>
    <t>GenEpiO_0001081</t>
  </si>
  <si>
    <t>GenEpiO_0001082</t>
  </si>
  <si>
    <t>OMP_0000207</t>
  </si>
  <si>
    <t>GenEpiO_0001641</t>
  </si>
  <si>
    <t>GenEpiO_0000046</t>
  </si>
  <si>
    <t>GenEpiO_0000048</t>
  </si>
  <si>
    <t>GenEpiO_0001292</t>
  </si>
  <si>
    <t>GenEpiO_0001291</t>
  </si>
  <si>
    <t>GenEpiO_0001718</t>
  </si>
  <si>
    <t>GenEpiO_0001719</t>
  </si>
  <si>
    <t>GenEpiO_0001716</t>
  </si>
  <si>
    <t>GenEpiO_0001717</t>
  </si>
  <si>
    <t>GenEpiO_0001706</t>
  </si>
  <si>
    <t>GenEpiO_0001723</t>
  </si>
  <si>
    <t>GenEpiO_0001724</t>
  </si>
  <si>
    <t>GenEpi__0001228</t>
  </si>
  <si>
    <t>GenEpiO_0001553</t>
  </si>
  <si>
    <t>GenEpiO_0001627</t>
  </si>
  <si>
    <t>GenEpiO_0000033</t>
  </si>
  <si>
    <r>
      <t>GenEpiO_00000</t>
    </r>
    <r>
      <rPr>
        <sz val="10"/>
        <color theme="1"/>
        <rFont val="Franklin Gothic Book"/>
        <family val="2"/>
        <scheme val="minor"/>
      </rPr>
      <t>40</t>
    </r>
  </si>
  <si>
    <t>GenEpiO_0000037</t>
  </si>
  <si>
    <t>GenEpiO_0000038</t>
  </si>
  <si>
    <t>GenEpiO_0000041</t>
  </si>
  <si>
    <t>GenEpiO_0000039</t>
  </si>
  <si>
    <t>GenEpiO_0000035</t>
  </si>
  <si>
    <t>FIX_0000278</t>
  </si>
  <si>
    <t>GenEpiO_0000034</t>
  </si>
  <si>
    <t>EVS#C74723</t>
  </si>
  <si>
    <t>GenEpiO_0000042</t>
  </si>
  <si>
    <t>GenEpiO_0001725</t>
  </si>
  <si>
    <t>ENVO_01000703</t>
  </si>
  <si>
    <t>GEO_000000035</t>
  </si>
  <si>
    <t>GEO_000000039</t>
  </si>
  <si>
    <t>GEO_000000064</t>
  </si>
  <si>
    <t>GEO_000000088</t>
  </si>
  <si>
    <t>GEO_000000112</t>
  </si>
  <si>
    <t>GEO_000000140</t>
  </si>
  <si>
    <t>GEO_000000243</t>
  </si>
  <si>
    <t>GEO_000000264</t>
  </si>
  <si>
    <t>GenEpiO_0001589</t>
  </si>
  <si>
    <t>GenEpiO_0001262</t>
  </si>
  <si>
    <t>GenEpiO_0001708</t>
  </si>
  <si>
    <t>GenEpiO_0001675</t>
  </si>
  <si>
    <t>GenEpiO_0001260</t>
  </si>
  <si>
    <t>UBERON_0001052</t>
  </si>
  <si>
    <t>GenEpiO_0001726</t>
  </si>
  <si>
    <t>GenEpiO_0001720</t>
  </si>
  <si>
    <t>GenEpiO_0001727</t>
  </si>
  <si>
    <t>GenEpiO_0001728</t>
  </si>
  <si>
    <t>GenEpiO_0001729</t>
  </si>
  <si>
    <t>GenEpiO_0001730</t>
  </si>
  <si>
    <t>MESH/D000835</t>
  </si>
  <si>
    <t>GenEpiO_0001731</t>
  </si>
  <si>
    <t>MESH/D000830</t>
  </si>
  <si>
    <t>GenEpiO_0001732</t>
  </si>
  <si>
    <t>GenEpiO_0001733</t>
  </si>
  <si>
    <t>GenEpiO_0001734</t>
  </si>
  <si>
    <t>Laboratory Animal</t>
  </si>
  <si>
    <t>EVS/Thesaurus.owl#C71164</t>
  </si>
  <si>
    <t>GenEpiO_0001735</t>
  </si>
  <si>
    <t>OAE_0000633</t>
  </si>
  <si>
    <t>GenEpiO_0001548</t>
  </si>
  <si>
    <t>GenEpiO_0001549</t>
  </si>
  <si>
    <t>NDF-RT.owl#N0000002583</t>
  </si>
  <si>
    <t>GenEpiO_0001550</t>
  </si>
  <si>
    <t>GenEpiO_0001690</t>
  </si>
  <si>
    <t>GenEpiO_0001736</t>
  </si>
  <si>
    <t>Add your sequencing facility here</t>
  </si>
  <si>
    <t>Add your contributing agency here</t>
  </si>
  <si>
    <t>AddCodeToo</t>
  </si>
  <si>
    <t>Note that contributors must be signed up and listed in NCBI's contributor  table:  http://ftp.ncbi.nlm.nih.gov/pub/taxonomy/coll_dump.txt</t>
  </si>
  <si>
    <r>
      <rPr>
        <b/>
        <sz val="11"/>
        <color theme="1"/>
        <rFont val="Arial"/>
        <family val="2"/>
      </rPr>
      <t>Label</t>
    </r>
  </si>
  <si>
    <t>listeria serotype</t>
  </si>
  <si>
    <t>IDO_0000569</t>
  </si>
  <si>
    <t>GenEpiO_0001738</t>
  </si>
  <si>
    <t>Environmetal</t>
  </si>
  <si>
    <t>stufola</t>
  </si>
  <si>
    <t/>
  </si>
  <si>
    <t>::</t>
  </si>
  <si>
    <t>0 N 0 E</t>
  </si>
  <si>
    <t>New record …</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</si>
</sst>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8" formatCode="&quot;$&quot;#,##0.00;[Red]\-&quot;$&quot;#,##0.00"/>
    <numFmt numFmtId="164" formatCode="0.000000"/>
    <numFmt numFmtId="165" formatCode="yyyy/mm/dd;@"/>
    <numFmt numFmtId="166" formatCode="0.0000"/>
    <numFmt numFmtId="167" formatCode="mmm\-yyyy"/>
  </numFmts>
  <fonts count="114" x14ac:knownFonts="1">
    <font>
      <sz val="11"/>
      <color theme="1"/>
      <name val="Franklin Gothic Book"/>
      <family val="2"/>
      <scheme val="minor"/>
    </font>
    <font>
      <b/>
      <sz val="11"/>
      <color theme="1"/>
      <name val="Franklin Gothic Book"/>
      <family val="2"/>
      <scheme val="minor"/>
    </font>
    <font>
      <u/>
      <sz val="11"/>
      <color theme="10"/>
      <name val="Franklin Gothic Book"/>
      <family val="2"/>
      <scheme val="minor"/>
    </font>
    <font>
      <u/>
      <sz val="11"/>
      <color theme="11"/>
      <name val="Franklin Gothic Book"/>
      <family val="2"/>
      <scheme val="minor"/>
    </font>
    <font>
      <sz val="11"/>
      <color rgb="FFFF0000"/>
      <name val="Franklin Gothic Book"/>
      <family val="2"/>
      <scheme val="minor"/>
    </font>
    <font>
      <sz val="10"/>
      <name val="Arial"/>
      <family val="2"/>
    </font>
    <font>
      <b/>
      <sz val="15"/>
      <color theme="3"/>
      <name val="Franklin Gothic Book"/>
      <family val="2"/>
      <scheme val="minor"/>
    </font>
    <font>
      <b/>
      <sz val="11"/>
      <color theme="3"/>
      <name val="Franklin Gothic Book"/>
      <family val="2"/>
      <scheme val="minor"/>
    </font>
    <font>
      <sz val="12"/>
      <color rgb="FF3F3F76"/>
      <name val="Franklin Gothic Book"/>
      <family val="2"/>
      <scheme val="minor"/>
    </font>
    <font>
      <sz val="8"/>
      <name val="Franklin Gothic Book"/>
      <family val="2"/>
      <scheme val="minor"/>
    </font>
    <font>
      <sz val="12"/>
      <color rgb="FF000000"/>
      <name val="Arial"/>
      <family val="2"/>
    </font>
    <font>
      <sz val="11"/>
      <color theme="1"/>
      <name val="Arial"/>
      <family val="2"/>
    </font>
    <font>
      <sz val="12"/>
      <color theme="1"/>
      <name val="Arial"/>
      <family val="2"/>
    </font>
    <font>
      <sz val="12"/>
      <name val="Arial"/>
      <family val="2"/>
    </font>
    <font>
      <sz val="11"/>
      <color theme="0" tint="-0.34998626667073579"/>
      <name val="Franklin Gothic Book"/>
      <family val="2"/>
      <scheme val="minor"/>
    </font>
    <font>
      <b/>
      <sz val="12"/>
      <color theme="0"/>
      <name val="Arial"/>
      <family val="2"/>
    </font>
    <font>
      <sz val="12"/>
      <color rgb="FFFF0000"/>
      <name val="Franklin Gothic Book"/>
      <family val="2"/>
      <scheme val="minor"/>
    </font>
    <font>
      <b/>
      <sz val="12"/>
      <color theme="1"/>
      <name val="Arial"/>
      <family val="2"/>
    </font>
    <font>
      <sz val="10"/>
      <color theme="1"/>
      <name val="Franklin Gothic Book"/>
      <family val="2"/>
      <scheme val="minor"/>
    </font>
    <font>
      <sz val="9"/>
      <color indexed="81"/>
      <name val="Franklin Gothic Book"/>
      <family val="2"/>
    </font>
    <font>
      <b/>
      <sz val="9"/>
      <color indexed="81"/>
      <name val="Franklin Gothic Book"/>
      <family val="2"/>
    </font>
    <font>
      <sz val="8"/>
      <color theme="1"/>
      <name val="Franklin Gothic Book"/>
      <family val="2"/>
      <scheme val="minor"/>
    </font>
    <font>
      <sz val="8"/>
      <color theme="0" tint="-0.249977111117893"/>
      <name val="Franklin Gothic Book"/>
      <family val="2"/>
      <scheme val="minor"/>
    </font>
    <font>
      <u/>
      <sz val="11"/>
      <color theme="10"/>
      <name val="Arial"/>
      <family val="2"/>
    </font>
    <font>
      <sz val="11"/>
      <name val="Arial"/>
      <family val="2"/>
    </font>
    <font>
      <sz val="11"/>
      <color rgb="FF000000"/>
      <name val="Arial"/>
      <family val="2"/>
    </font>
    <font>
      <sz val="12"/>
      <color rgb="FF000000"/>
      <name val="Lucida Grande"/>
    </font>
    <font>
      <b/>
      <sz val="11"/>
      <color theme="1"/>
      <name val="Arial"/>
      <family val="2"/>
    </font>
    <font>
      <b/>
      <sz val="13"/>
      <color theme="3"/>
      <name val="Franklin Gothic Book"/>
      <family val="2"/>
      <scheme val="minor"/>
    </font>
    <font>
      <b/>
      <sz val="11"/>
      <color rgb="FFFFFFFF"/>
      <name val="Arial"/>
      <family val="2"/>
    </font>
    <font>
      <sz val="10"/>
      <color theme="1"/>
      <name val="Arial"/>
      <family val="2"/>
    </font>
    <font>
      <sz val="11"/>
      <color theme="0" tint="-0.249977111117893"/>
      <name val="Franklin Gothic Book"/>
      <family val="2"/>
      <scheme val="minor"/>
    </font>
    <font>
      <sz val="13"/>
      <color theme="1"/>
      <name val="Arial"/>
      <family val="2"/>
    </font>
    <font>
      <i/>
      <sz val="11"/>
      <color rgb="FF7F7F7F"/>
      <name val="Franklin Gothic Book"/>
      <family val="2"/>
      <scheme val="minor"/>
    </font>
    <font>
      <sz val="9"/>
      <name val="Arial"/>
      <family val="2"/>
    </font>
    <font>
      <sz val="8"/>
      <color theme="1"/>
      <name val="Arial"/>
      <family val="2"/>
    </font>
    <font>
      <sz val="10"/>
      <color theme="1"/>
      <name val="Franklin Gothic Book"/>
      <family val="2"/>
      <scheme val="minor"/>
    </font>
    <font>
      <b/>
      <sz val="10"/>
      <color theme="3"/>
      <name val="Franklin Gothic Book"/>
      <family val="2"/>
      <scheme val="minor"/>
    </font>
    <font>
      <sz val="10"/>
      <color theme="5" tint="-0.249977111117893"/>
      <name val="Arial"/>
      <family val="2"/>
    </font>
    <font>
      <u/>
      <sz val="10"/>
      <color theme="10"/>
      <name val="Franklin Gothic Book"/>
      <family val="2"/>
      <scheme val="minor"/>
    </font>
    <font>
      <sz val="10"/>
      <color rgb="FFFF6600"/>
      <name val="Arial"/>
      <family val="2"/>
    </font>
    <font>
      <u/>
      <sz val="11"/>
      <color rgb="FF0000FF"/>
      <name val="Franklin Gothic Book"/>
      <family val="2"/>
      <scheme val="minor"/>
    </font>
    <font>
      <sz val="11"/>
      <color theme="1"/>
      <name val="Franklin Gothic Book"/>
      <family val="2"/>
      <scheme val="minor"/>
    </font>
    <font>
      <sz val="9"/>
      <color theme="1"/>
      <name val="Arial"/>
      <family val="2"/>
    </font>
    <font>
      <b/>
      <sz val="9"/>
      <color theme="1"/>
      <name val="Arial"/>
      <family val="2"/>
    </font>
    <font>
      <sz val="12"/>
      <color rgb="FF000000"/>
      <name val="Calibri"/>
      <family val="2"/>
    </font>
    <font>
      <b/>
      <sz val="12"/>
      <color rgb="FFFA7D00"/>
      <name val="Franklin Gothic Book"/>
      <family val="2"/>
      <scheme val="minor"/>
    </font>
    <font>
      <sz val="12"/>
      <color rgb="FF006600"/>
      <name val="Arial"/>
      <family val="2"/>
    </font>
    <font>
      <sz val="12"/>
      <color theme="0"/>
      <name val="Arial"/>
      <family val="2"/>
    </font>
    <font>
      <sz val="11"/>
      <color theme="0"/>
      <name val="Arial"/>
      <family val="2"/>
    </font>
    <font>
      <sz val="11"/>
      <color theme="0"/>
      <name val="Franklin Gothic Book"/>
      <family val="2"/>
      <scheme val="minor"/>
    </font>
    <font>
      <sz val="13"/>
      <color rgb="FF000000"/>
      <name val="Arial"/>
      <family val="2"/>
    </font>
    <font>
      <i/>
      <sz val="13"/>
      <color theme="0"/>
      <name val="Arial"/>
      <family val="2"/>
    </font>
    <font>
      <i/>
      <sz val="13"/>
      <color theme="1"/>
      <name val="Arial"/>
      <family val="2"/>
    </font>
    <font>
      <i/>
      <sz val="11"/>
      <color theme="1"/>
      <name val="Franklin Gothic Book"/>
      <family val="2"/>
      <scheme val="minor"/>
    </font>
    <font>
      <b/>
      <sz val="11"/>
      <color theme="0"/>
      <name val="Arial"/>
      <family val="2"/>
    </font>
    <font>
      <sz val="11"/>
      <color rgb="FF234979"/>
      <name val="Arial"/>
      <family val="2"/>
    </font>
    <font>
      <b/>
      <sz val="11"/>
      <color rgb="FFFF6600"/>
      <name val="Arial"/>
      <family val="2"/>
    </font>
    <font>
      <sz val="11"/>
      <color rgb="FFFF6600"/>
      <name val="Arial"/>
      <family val="2"/>
    </font>
    <font>
      <b/>
      <sz val="10"/>
      <color rgb="FFFF6600"/>
      <name val="Arial"/>
      <family val="2"/>
    </font>
    <font>
      <sz val="13"/>
      <color theme="5" tint="0.39997558519241921"/>
      <name val="Arial"/>
      <family val="2"/>
    </font>
    <font>
      <sz val="11"/>
      <color rgb="FFFF0000"/>
      <name val="Arial"/>
      <family val="2"/>
    </font>
    <font>
      <b/>
      <sz val="10"/>
      <name val="Arial"/>
      <family val="2"/>
    </font>
    <font>
      <sz val="9"/>
      <color rgb="FF000000"/>
      <name val="Arial"/>
      <family val="2"/>
    </font>
    <font>
      <sz val="13"/>
      <color theme="7" tint="0.39997558519241921"/>
      <name val="Arial"/>
      <family val="2"/>
    </font>
    <font>
      <sz val="10"/>
      <color rgb="FFFF0000"/>
      <name val="Arial"/>
      <family val="2"/>
    </font>
    <font>
      <sz val="10"/>
      <color rgb="FF000000"/>
      <name val="Arial"/>
      <family val="2"/>
    </font>
    <font>
      <sz val="10"/>
      <color rgb="FF000000"/>
      <name val="Franklin Gothic Book"/>
      <family val="2"/>
      <scheme val="minor"/>
    </font>
    <font>
      <u/>
      <sz val="10"/>
      <color rgb="FF5F5F5F"/>
      <name val="Franklin Gothic Book"/>
      <family val="2"/>
      <scheme val="minor"/>
    </font>
    <font>
      <sz val="10"/>
      <color rgb="FFC94905"/>
      <name val="Arial"/>
      <family val="2"/>
    </font>
    <font>
      <sz val="9"/>
      <color indexed="81"/>
      <name val="Tahoma"/>
      <family val="2"/>
    </font>
    <font>
      <b/>
      <sz val="9"/>
      <color indexed="81"/>
      <name val="Tahoma"/>
      <family val="2"/>
    </font>
    <font>
      <b/>
      <sz val="11"/>
      <color theme="7" tint="-0.249977111117893"/>
      <name val="Arial"/>
      <family val="2"/>
    </font>
    <font>
      <b/>
      <sz val="14"/>
      <color theme="7" tint="-0.499984740745262"/>
      <name val="Franklin Gothic Book"/>
      <family val="2"/>
      <scheme val="minor"/>
    </font>
    <font>
      <u/>
      <sz val="10"/>
      <name val="Arial"/>
      <family val="2"/>
    </font>
    <font>
      <b/>
      <sz val="11"/>
      <color rgb="FFFF0000"/>
      <name val="Franklin Gothic Book"/>
      <family val="2"/>
      <scheme val="minor"/>
    </font>
    <font>
      <b/>
      <u/>
      <sz val="9"/>
      <color indexed="81"/>
      <name val="Tahoma"/>
      <family val="2"/>
    </font>
    <font>
      <sz val="11"/>
      <color rgb="FF3F3F76"/>
      <name val="Franklin Gothic Book"/>
      <family val="2"/>
      <scheme val="minor"/>
    </font>
    <font>
      <sz val="11"/>
      <color indexed="8"/>
      <name val="Calibri"/>
      <family val="2"/>
    </font>
    <font>
      <u/>
      <sz val="11"/>
      <color theme="10"/>
      <name val="Calibri"/>
      <family val="2"/>
    </font>
    <font>
      <b/>
      <sz val="11"/>
      <color rgb="FFFF6600"/>
      <name val="Franklin Gothic Book"/>
      <family val="2"/>
      <scheme val="minor"/>
    </font>
    <font>
      <b/>
      <i/>
      <sz val="9"/>
      <color indexed="81"/>
      <name val="Tahoma"/>
      <family val="2"/>
    </font>
    <font>
      <sz val="13"/>
      <color rgb="FFFF0000"/>
      <name val="Arial"/>
      <family val="2"/>
    </font>
    <font>
      <i/>
      <sz val="13"/>
      <color rgb="FFFF0000"/>
      <name val="Arial"/>
      <family val="2"/>
    </font>
    <font>
      <sz val="8"/>
      <color rgb="FF3F3F76"/>
      <name val="Franklin Gothic Book"/>
      <family val="2"/>
      <scheme val="minor"/>
    </font>
    <font>
      <sz val="10"/>
      <color rgb="FFFF3300"/>
      <name val="Arial"/>
      <family val="2"/>
    </font>
    <font>
      <sz val="11"/>
      <color rgb="FF002060"/>
      <name val="Calibri"/>
      <family val="2"/>
    </font>
    <font>
      <b/>
      <sz val="12"/>
      <color rgb="FF000000"/>
      <name val="Lucida Grande"/>
    </font>
    <font>
      <b/>
      <u/>
      <sz val="9"/>
      <color indexed="81"/>
      <name val="Franklin Gothic Book"/>
      <family val="2"/>
    </font>
    <font>
      <sz val="12"/>
      <name val="Franklin Gothic Book"/>
      <family val="2"/>
      <scheme val="minor"/>
    </font>
    <font>
      <sz val="9"/>
      <color theme="1"/>
      <name val="Franklin Gothic Book"/>
      <family val="2"/>
      <scheme val="minor"/>
    </font>
    <font>
      <sz val="9"/>
      <color rgb="FF3F3F76"/>
      <name val="Franklin Gothic Book"/>
      <family val="2"/>
      <scheme val="minor"/>
    </font>
    <font>
      <sz val="10"/>
      <color rgb="FF3F3F76"/>
      <name val="Arial"/>
      <family val="2"/>
    </font>
    <font>
      <b/>
      <i/>
      <sz val="9"/>
      <color indexed="81"/>
      <name val="Franklin Gothic Book"/>
    </font>
    <font>
      <b/>
      <i/>
      <sz val="11"/>
      <color theme="3"/>
      <name val="Franklin Gothic Book"/>
      <scheme val="minor"/>
    </font>
    <font>
      <b/>
      <i/>
      <sz val="14"/>
      <color theme="3"/>
      <name val="Franklin Gothic Book"/>
      <scheme val="minor"/>
    </font>
    <font>
      <sz val="9.5"/>
      <color theme="1"/>
      <name val="Franklin Gothic Book"/>
      <family val="2"/>
      <scheme val="minor"/>
    </font>
    <font>
      <sz val="10"/>
      <name val="Arial"/>
      <family val="2"/>
    </font>
    <font>
      <u/>
      <sz val="10"/>
      <color indexed="12"/>
      <name val="Arial"/>
      <family val="2"/>
    </font>
    <font>
      <sz val="10"/>
      <color theme="5" tint="-0.499984740745262"/>
      <name val="Arial"/>
      <family val="2"/>
    </font>
    <font>
      <b/>
      <sz val="10"/>
      <color theme="0"/>
      <name val="Arial"/>
      <family val="2"/>
    </font>
    <font>
      <i/>
      <sz val="13"/>
      <color theme="7" tint="0.39997558519241921"/>
      <name val="Arial"/>
      <family val="2"/>
    </font>
    <font>
      <sz val="10"/>
      <color rgb="FFC94905"/>
      <name val="Franklin Gothic Book"/>
      <family val="2"/>
      <scheme val="minor"/>
    </font>
    <font>
      <sz val="13"/>
      <color theme="0"/>
      <name val="Arial"/>
      <family val="2"/>
    </font>
    <font>
      <sz val="10"/>
      <color rgb="FF234979"/>
      <name val="Arial"/>
    </font>
    <font>
      <sz val="10"/>
      <color rgb="FF333333"/>
      <name val="Arial"/>
    </font>
    <font>
      <sz val="10"/>
      <color theme="10"/>
      <name val="Arial"/>
    </font>
    <font>
      <b/>
      <sz val="14"/>
      <color theme="1"/>
      <name val="Arial"/>
    </font>
    <font>
      <b/>
      <sz val="12"/>
      <color rgb="FF000000"/>
      <name val="Arial"/>
    </font>
    <font>
      <sz val="12"/>
      <color rgb="FF234979"/>
      <name val="Arial"/>
    </font>
    <font>
      <sz val="14"/>
      <color rgb="FF000000"/>
      <name val="Arial"/>
    </font>
    <font>
      <b/>
      <sz val="11"/>
      <color rgb="FF000000"/>
      <name val="Arial"/>
      <family val="2"/>
    </font>
    <font>
      <b/>
      <sz val="14"/>
      <color rgb="FF000000"/>
      <name val="Arial"/>
    </font>
    <font>
      <b/>
      <sz val="14"/>
      <name val="Arial"/>
    </font>
  </fonts>
  <fills count="22">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8" tint="0.79998168889431442"/>
        <bgColor theme="8" tint="-0.249977111117893"/>
      </patternFill>
    </fill>
    <fill>
      <patternFill patternType="solid">
        <fgColor rgb="FFE3E4E6"/>
        <bgColor rgb="FFE3E4E6"/>
      </patternFill>
    </fill>
    <fill>
      <patternFill patternType="solid">
        <fgColor rgb="FF797B7E"/>
        <bgColor rgb="FF797B7E"/>
      </patternFill>
    </fill>
    <fill>
      <patternFill patternType="solid">
        <fgColor theme="8" tint="0.59999389629810485"/>
        <bgColor indexed="64"/>
      </patternFill>
    </fill>
    <fill>
      <patternFill patternType="solid">
        <fgColor rgb="FFFFFFCC"/>
      </patternFill>
    </fill>
    <fill>
      <patternFill patternType="solid">
        <fgColor rgb="FFF2F2F2"/>
      </patternFill>
    </fill>
    <fill>
      <patternFill patternType="solid">
        <fgColor theme="7" tint="0.59999389629810485"/>
        <bgColor indexed="64"/>
      </patternFill>
    </fill>
    <fill>
      <patternFill patternType="solid">
        <fgColor rgb="FFE7DED1"/>
        <bgColor rgb="FF000000"/>
      </patternFill>
    </fill>
    <fill>
      <patternFill patternType="solid">
        <fgColor theme="4" tint="0.79998168889431442"/>
        <bgColor indexed="64"/>
      </patternFill>
    </fill>
    <fill>
      <patternFill patternType="solid">
        <fgColor theme="7" tint="0.39997558519241921"/>
        <bgColor indexed="65"/>
      </patternFill>
    </fill>
    <fill>
      <patternFill patternType="solid">
        <fgColor theme="1" tint="0.499984740745262"/>
        <bgColor indexed="64"/>
      </patternFill>
    </fill>
    <fill>
      <patternFill patternType="solid">
        <fgColor theme="8" tint="0.79998168889431442"/>
        <bgColor indexed="64"/>
      </patternFill>
    </fill>
    <fill>
      <patternFill patternType="solid">
        <fgColor rgb="FFFFC000"/>
        <bgColor indexed="64"/>
      </patternFill>
    </fill>
    <fill>
      <patternFill patternType="solid">
        <fgColor theme="0" tint="-0.499984740745262"/>
        <bgColor indexed="64"/>
      </patternFill>
    </fill>
    <fill>
      <patternFill patternType="solid">
        <fgColor rgb="FF92D050"/>
        <bgColor indexed="64"/>
      </patternFill>
    </fill>
    <fill>
      <patternFill patternType="solid">
        <fgColor theme="0"/>
        <bgColor indexed="64"/>
      </patternFill>
    </fill>
    <fill>
      <patternFill patternType="solid">
        <fgColor theme="4"/>
        <bgColor theme="4"/>
      </patternFill>
    </fill>
    <fill>
      <patternFill patternType="solid">
        <fgColor rgb="FFFFFFFF"/>
        <bgColor rgb="FF000000"/>
      </patternFill>
    </fill>
  </fills>
  <borders count="57">
    <border>
      <left/>
      <right/>
      <top/>
      <bottom/>
      <diagonal/>
    </border>
    <border>
      <left/>
      <right/>
      <top/>
      <bottom style="thick">
        <color theme="4"/>
      </bottom>
      <diagonal/>
    </border>
    <border>
      <left/>
      <right/>
      <top/>
      <bottom style="medium">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right/>
      <top/>
      <bottom style="thin">
        <color rgb="FF95B3D7"/>
      </bottom>
      <diagonal/>
    </border>
    <border>
      <left/>
      <right style="thin">
        <color rgb="FF95B3D7"/>
      </right>
      <top/>
      <bottom style="thin">
        <color rgb="FF95B3D7"/>
      </bottom>
      <diagonal/>
    </border>
    <border>
      <left/>
      <right style="thin">
        <color auto="1"/>
      </right>
      <top/>
      <bottom/>
      <diagonal/>
    </border>
    <border>
      <left style="hair">
        <color rgb="FF7F7F7F"/>
      </left>
      <right style="hair">
        <color rgb="FF7F7F7F"/>
      </right>
      <top style="hair">
        <color rgb="FF7F7F7F"/>
      </top>
      <bottom style="hair">
        <color rgb="FF7F7F7F"/>
      </bottom>
      <diagonal/>
    </border>
    <border>
      <left style="hair">
        <color rgb="FF7F7F7F"/>
      </left>
      <right/>
      <top style="hair">
        <color rgb="FF7F7F7F"/>
      </top>
      <bottom style="hair">
        <color rgb="FF7F7F7F"/>
      </bottom>
      <diagonal/>
    </border>
    <border>
      <left/>
      <right/>
      <top style="hair">
        <color rgb="FF7F7F7F"/>
      </top>
      <bottom style="hair">
        <color rgb="FF7F7F7F"/>
      </bottom>
      <diagonal/>
    </border>
    <border>
      <left style="thin">
        <color rgb="FFADAFB1"/>
      </left>
      <right/>
      <top style="thin">
        <color rgb="FFADAFB1"/>
      </top>
      <bottom style="thin">
        <color rgb="FFADAFB1"/>
      </bottom>
      <diagonal/>
    </border>
    <border>
      <left/>
      <right style="thin">
        <color rgb="FFADAFB1"/>
      </right>
      <top style="thin">
        <color rgb="FFADAFB1"/>
      </top>
      <bottom style="thin">
        <color rgb="FFADAFB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auto="1"/>
      </left>
      <right/>
      <top/>
      <bottom/>
      <diagonal/>
    </border>
    <border>
      <left/>
      <right/>
      <top/>
      <bottom style="thick">
        <color theme="4" tint="0.499984740745262"/>
      </bottom>
      <diagonal/>
    </border>
    <border>
      <left/>
      <right/>
      <top/>
      <bottom style="thin">
        <color rgb="FFADAFB1"/>
      </bottom>
      <diagonal/>
    </border>
    <border>
      <left style="thin">
        <color rgb="FFADAFB1"/>
      </left>
      <right/>
      <top/>
      <bottom style="thin">
        <color rgb="FFADAFB1"/>
      </bottom>
      <diagonal/>
    </border>
    <border>
      <left/>
      <right style="thin">
        <color rgb="FFADAFB1"/>
      </right>
      <top/>
      <bottom style="thin">
        <color rgb="FFADAFB1"/>
      </bottom>
      <diagonal/>
    </border>
    <border>
      <left/>
      <right/>
      <top/>
      <bottom style="medium">
        <color auto="1"/>
      </bottom>
      <diagonal/>
    </border>
    <border>
      <left style="thin">
        <color auto="1"/>
      </left>
      <right style="thin">
        <color auto="1"/>
      </right>
      <top/>
      <bottom/>
      <diagonal/>
    </border>
    <border>
      <left style="thin">
        <color rgb="FFB2B2B2"/>
      </left>
      <right style="thin">
        <color rgb="FFB2B2B2"/>
      </right>
      <top style="thin">
        <color rgb="FFB2B2B2"/>
      </top>
      <bottom style="thin">
        <color rgb="FFB2B2B2"/>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style="thin">
        <color rgb="FFB2B2B2"/>
      </top>
      <bottom style="thin">
        <color rgb="FFB2B2B2"/>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auto="1"/>
      </left>
      <right style="thick">
        <color auto="1"/>
      </right>
      <top style="thin">
        <color auto="1"/>
      </top>
      <bottom style="thin">
        <color auto="1"/>
      </bottom>
      <diagonal/>
    </border>
    <border>
      <left/>
      <right style="thick">
        <color auto="1"/>
      </right>
      <top style="thin">
        <color rgb="FFB2B2B2"/>
      </top>
      <bottom style="thin">
        <color rgb="FFB2B2B2"/>
      </bottom>
      <diagonal/>
    </border>
    <border>
      <left/>
      <right style="thick">
        <color theme="1"/>
      </right>
      <top style="hair">
        <color rgb="FF7F7F7F"/>
      </top>
      <bottom style="hair">
        <color rgb="FF7F7F7F"/>
      </bottom>
      <diagonal/>
    </border>
    <border>
      <left/>
      <right/>
      <top style="thin">
        <color rgb="FF95B3D7"/>
      </top>
      <bottom style="thin">
        <color rgb="FF95B3D7"/>
      </bottom>
      <diagonal/>
    </border>
    <border>
      <left/>
      <right style="hair">
        <color rgb="FF7F7F7F"/>
      </right>
      <top style="hair">
        <color rgb="FF7F7F7F"/>
      </top>
      <bottom style="hair">
        <color rgb="FF7F7F7F"/>
      </bottom>
      <diagonal/>
    </border>
    <border>
      <left/>
      <right style="thick">
        <color theme="1"/>
      </right>
      <top style="thin">
        <color rgb="FFB2B2B2"/>
      </top>
      <bottom style="thin">
        <color rgb="FFB2B2B2"/>
      </bottom>
      <diagonal/>
    </border>
    <border>
      <left style="thick">
        <color auto="1"/>
      </left>
      <right/>
      <top/>
      <bottom/>
      <diagonal/>
    </border>
    <border>
      <left style="thin">
        <color rgb="FFB2B2B2"/>
      </left>
      <right/>
      <top/>
      <bottom/>
      <diagonal/>
    </border>
    <border>
      <left style="double">
        <color auto="1"/>
      </left>
      <right/>
      <top/>
      <bottom/>
      <diagonal/>
    </border>
    <border>
      <left style="thick">
        <color theme="7" tint="0.79998168889431442"/>
      </left>
      <right/>
      <top/>
      <bottom/>
      <diagonal/>
    </border>
    <border>
      <left/>
      <right style="thin">
        <color rgb="FF95B3D7"/>
      </right>
      <top style="thin">
        <color rgb="FF95B3D7"/>
      </top>
      <bottom style="thin">
        <color rgb="FF95B3D7"/>
      </bottom>
      <diagonal/>
    </border>
    <border>
      <left style="hair">
        <color rgb="FF7F7F7F"/>
      </left>
      <right style="thick">
        <color auto="1"/>
      </right>
      <top style="hair">
        <color rgb="FF7F7F7F"/>
      </top>
      <bottom style="hair">
        <color rgb="FF7F7F7F"/>
      </bottom>
      <diagonal/>
    </border>
    <border>
      <left/>
      <right style="thick">
        <color auto="1"/>
      </right>
      <top style="hair">
        <color rgb="FF7F7F7F"/>
      </top>
      <bottom style="hair">
        <color rgb="FF7F7F7F"/>
      </bottom>
      <diagonal/>
    </border>
    <border>
      <left style="hair">
        <color rgb="FF7F7F7F"/>
      </left>
      <right/>
      <top/>
      <bottom/>
      <diagonal/>
    </border>
    <border>
      <left/>
      <right style="thick">
        <color theme="7" tint="0.79998168889431442"/>
      </right>
      <top/>
      <bottom/>
      <diagonal/>
    </border>
    <border>
      <left style="thin">
        <color rgb="FFB2B2B2"/>
      </left>
      <right style="thick">
        <color auto="1"/>
      </right>
      <top style="thin">
        <color rgb="FFB2B2B2"/>
      </top>
      <bottom style="thin">
        <color rgb="FFB2B2B2"/>
      </bottom>
      <diagonal/>
    </border>
    <border>
      <left style="hair">
        <color rgb="FF7F7F7F"/>
      </left>
      <right style="double">
        <color rgb="FF7F7F7F"/>
      </right>
      <top style="hair">
        <color rgb="FF7F7F7F"/>
      </top>
      <bottom style="hair">
        <color rgb="FF7F7F7F"/>
      </bottom>
      <diagonal/>
    </border>
    <border>
      <left/>
      <right style="double">
        <color rgb="FF7F7F7F"/>
      </right>
      <top/>
      <bottom/>
      <diagonal/>
    </border>
    <border>
      <left/>
      <right/>
      <top style="medium">
        <color theme="4" tint="0.39997558519241921"/>
      </top>
      <bottom/>
      <diagonal/>
    </border>
    <border>
      <left style="thin">
        <color rgb="FF7F7F7F"/>
      </left>
      <right/>
      <top/>
      <bottom/>
      <diagonal/>
    </border>
    <border>
      <left style="thick">
        <color theme="1"/>
      </left>
      <right/>
      <top/>
      <bottom/>
      <diagonal/>
    </border>
    <border>
      <left/>
      <right/>
      <top style="thick">
        <color theme="4" tint="0.499984740745262"/>
      </top>
      <bottom/>
      <diagonal/>
    </border>
    <border>
      <left/>
      <right style="thin">
        <color auto="1"/>
      </right>
      <top style="thick">
        <color theme="4" tint="0.499984740745262"/>
      </top>
      <bottom/>
      <diagonal/>
    </border>
    <border>
      <left style="thin">
        <color auto="1"/>
      </left>
      <right/>
      <top style="thin">
        <color auto="1"/>
      </top>
      <bottom/>
      <diagonal/>
    </border>
    <border>
      <left/>
      <right/>
      <top style="thin">
        <color auto="1"/>
      </top>
      <bottom/>
      <diagonal/>
    </border>
    <border>
      <left/>
      <right style="hair">
        <color rgb="FF7F7F7F"/>
      </right>
      <top/>
      <bottom/>
      <diagonal/>
    </border>
    <border>
      <left/>
      <right/>
      <top style="thin">
        <color rgb="FFADAFB1"/>
      </top>
      <bottom style="thin">
        <color rgb="FFADAFB1"/>
      </bottom>
      <diagonal/>
    </border>
    <border>
      <left/>
      <right style="thick">
        <color theme="1"/>
      </right>
      <top/>
      <bottom/>
      <diagonal/>
    </border>
  </borders>
  <cellStyleXfs count="39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5" fillId="0" borderId="0"/>
    <xf numFmtId="0" fontId="6" fillId="0" borderId="1" applyNumberFormat="0" applyFill="0" applyAlignment="0" applyProtection="0"/>
    <xf numFmtId="0" fontId="7" fillId="0" borderId="2" applyNumberFormat="0" applyFill="0" applyAlignment="0" applyProtection="0"/>
    <xf numFmtId="0" fontId="8" fillId="4" borderId="8" applyNumberFormat="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28" fillId="0" borderId="16" applyNumberFormat="0" applyFill="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2" fillId="8" borderId="22" applyNumberFormat="0" applyFont="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46" fillId="9" borderId="25" applyNumberFormat="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50" fillId="13" borderId="0" applyNumberFormat="0" applyBorder="0" applyAlignment="0" applyProtection="0"/>
    <xf numFmtId="0" fontId="78" fillId="0" borderId="0"/>
    <xf numFmtId="0" fontId="79" fillId="0" borderId="0" applyNumberFormat="0" applyFill="0" applyBorder="0" applyAlignment="0" applyProtection="0"/>
    <xf numFmtId="0" fontId="2" fillId="0" borderId="0" applyNumberFormat="0" applyFill="0" applyBorder="0" applyAlignment="0" applyProtection="0"/>
    <xf numFmtId="0" fontId="42"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97" fillId="0" borderId="0"/>
    <xf numFmtId="0" fontId="98" fillId="0" borderId="0" applyNumberFormat="0" applyFill="0" applyBorder="0" applyAlignment="0" applyProtection="0">
      <alignment vertical="top"/>
      <protection locked="0"/>
    </xf>
    <xf numFmtId="0" fontId="3" fillId="0" borderId="0" applyNumberFormat="0" applyFill="0" applyBorder="0" applyAlignment="0" applyProtection="0"/>
    <xf numFmtId="0" fontId="3" fillId="0" borderId="0" applyNumberFormat="0" applyFill="0" applyBorder="0" applyAlignment="0" applyProtection="0"/>
    <xf numFmtId="0" fontId="5"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534">
    <xf numFmtId="0" fontId="0" fillId="0" borderId="0" xfId="0"/>
    <xf numFmtId="0" fontId="0" fillId="0" borderId="0" xfId="0" applyAlignment="1">
      <alignment wrapText="1"/>
    </xf>
    <xf numFmtId="0" fontId="0" fillId="0" borderId="0" xfId="0" applyFont="1" applyAlignment="1">
      <alignment wrapText="1"/>
    </xf>
    <xf numFmtId="0" fontId="0" fillId="0" borderId="0" xfId="0" applyFill="1"/>
    <xf numFmtId="0" fontId="4" fillId="0" borderId="0" xfId="0" applyFont="1" applyAlignment="1">
      <alignment wrapText="1"/>
    </xf>
    <xf numFmtId="0" fontId="4" fillId="0" borderId="0" xfId="0" applyFont="1"/>
    <xf numFmtId="0" fontId="0" fillId="0" borderId="0" xfId="0" applyAlignment="1"/>
    <xf numFmtId="0" fontId="0" fillId="0" borderId="0" xfId="0" applyAlignment="1">
      <alignment vertical="top"/>
    </xf>
    <xf numFmtId="0" fontId="0" fillId="0" borderId="0" xfId="0" applyFont="1" applyAlignment="1">
      <alignment horizontal="right" wrapText="1"/>
    </xf>
    <xf numFmtId="0" fontId="0" fillId="0" borderId="0" xfId="0" applyFont="1" applyAlignment="1">
      <alignment horizontal="right" vertical="top" wrapText="1"/>
    </xf>
    <xf numFmtId="0" fontId="12" fillId="0" borderId="0" xfId="0" applyFont="1" applyAlignment="1">
      <alignment horizontal="left" vertical="top"/>
    </xf>
    <xf numFmtId="0" fontId="13" fillId="0" borderId="5" xfId="0" applyFont="1" applyBorder="1" applyAlignment="1">
      <alignment horizontal="left" vertical="top"/>
    </xf>
    <xf numFmtId="0" fontId="13" fillId="0" borderId="6" xfId="0" applyFont="1" applyBorder="1" applyAlignment="1">
      <alignment horizontal="left" vertical="top"/>
    </xf>
    <xf numFmtId="0" fontId="10" fillId="0" borderId="0" xfId="0" quotePrefix="1" applyFont="1" applyAlignment="1">
      <alignment horizontal="left" vertical="top"/>
    </xf>
    <xf numFmtId="0" fontId="12" fillId="0" borderId="0" xfId="0" applyFont="1" applyBorder="1" applyAlignment="1">
      <alignment horizontal="left" vertical="top"/>
    </xf>
    <xf numFmtId="0" fontId="13" fillId="0" borderId="0" xfId="0" applyFont="1" applyAlignment="1">
      <alignment horizontal="left" vertical="top"/>
    </xf>
    <xf numFmtId="0" fontId="13" fillId="3" borderId="3" xfId="0" applyFont="1" applyFill="1" applyBorder="1" applyAlignment="1">
      <alignment horizontal="left" vertical="top"/>
    </xf>
    <xf numFmtId="0" fontId="13" fillId="0" borderId="3" xfId="0" applyFont="1" applyBorder="1" applyAlignment="1">
      <alignment horizontal="left" vertical="top"/>
    </xf>
    <xf numFmtId="0" fontId="13" fillId="0" borderId="3" xfId="0" applyFont="1" applyFill="1" applyBorder="1" applyAlignment="1">
      <alignment horizontal="left" vertical="top"/>
    </xf>
    <xf numFmtId="0" fontId="2" fillId="0" borderId="0" xfId="11"/>
    <xf numFmtId="0" fontId="16" fillId="0" borderId="0" xfId="0" applyFont="1" applyAlignment="1">
      <alignment horizontal="right" vertical="top"/>
    </xf>
    <xf numFmtId="0" fontId="0" fillId="0" borderId="0" xfId="0" applyBorder="1"/>
    <xf numFmtId="0" fontId="21" fillId="0" borderId="0" xfId="0" applyFont="1"/>
    <xf numFmtId="0" fontId="22" fillId="0" borderId="0" xfId="0" applyFont="1" applyAlignment="1">
      <alignment horizontal="left" vertical="top"/>
    </xf>
    <xf numFmtId="0" fontId="24" fillId="0" borderId="0" xfId="15" applyNumberFormat="1" applyFont="1" applyFill="1" applyBorder="1" applyAlignment="1">
      <alignment horizontal="left" vertical="top"/>
    </xf>
    <xf numFmtId="0" fontId="11" fillId="0" borderId="0" xfId="0" applyFont="1" applyFill="1" applyBorder="1"/>
    <xf numFmtId="0" fontId="11" fillId="0" borderId="0" xfId="0" applyFont="1" applyFill="1"/>
    <xf numFmtId="0" fontId="11" fillId="0" borderId="0" xfId="0" applyFont="1"/>
    <xf numFmtId="0" fontId="25" fillId="0" borderId="0" xfId="0" applyFont="1" applyAlignment="1">
      <alignment horizontal="left" vertical="top"/>
    </xf>
    <xf numFmtId="0" fontId="25" fillId="0" borderId="0" xfId="0" applyFont="1" applyBorder="1" applyAlignment="1">
      <alignment horizontal="left" vertical="top"/>
    </xf>
    <xf numFmtId="0" fontId="29" fillId="6" borderId="18" xfId="0" applyFont="1" applyFill="1" applyBorder="1" applyAlignment="1">
      <alignment horizontal="left" vertical="top"/>
    </xf>
    <xf numFmtId="0" fontId="29" fillId="6" borderId="19" xfId="0" applyFont="1" applyFill="1" applyBorder="1" applyAlignment="1">
      <alignment horizontal="left" vertical="top"/>
    </xf>
    <xf numFmtId="0" fontId="24" fillId="0" borderId="0" xfId="15" applyFont="1" applyFill="1" applyBorder="1" applyAlignment="1">
      <alignment horizontal="left" vertical="top"/>
    </xf>
    <xf numFmtId="0" fontId="0" fillId="0" borderId="0" xfId="0" applyFont="1"/>
    <xf numFmtId="0" fontId="11" fillId="0" borderId="0" xfId="0" applyFont="1" applyFill="1" applyAlignment="1"/>
    <xf numFmtId="0" fontId="15" fillId="0" borderId="0" xfId="0" applyFont="1" applyFill="1" applyBorder="1" applyAlignment="1">
      <alignment horizontal="left"/>
    </xf>
    <xf numFmtId="0" fontId="15" fillId="0" borderId="1" xfId="16" applyFont="1" applyAlignment="1">
      <alignment horizontal="left"/>
    </xf>
    <xf numFmtId="0" fontId="17" fillId="0" borderId="0" xfId="0" applyFont="1" applyAlignment="1">
      <alignment horizontal="left"/>
    </xf>
    <xf numFmtId="0" fontId="15" fillId="0" borderId="1" xfId="0" applyFont="1" applyFill="1" applyBorder="1" applyAlignment="1" applyProtection="1">
      <alignment horizontal="left"/>
    </xf>
    <xf numFmtId="0" fontId="15" fillId="0" borderId="1" xfId="0" applyFont="1" applyFill="1" applyBorder="1" applyAlignment="1">
      <alignment horizontal="left"/>
    </xf>
    <xf numFmtId="0" fontId="27" fillId="0" borderId="0" xfId="0" applyFont="1" applyFill="1" applyAlignment="1"/>
    <xf numFmtId="49" fontId="30" fillId="7" borderId="7" xfId="15" applyNumberFormat="1" applyFont="1" applyFill="1" applyBorder="1" applyAlignment="1">
      <alignment horizontal="left" vertical="top"/>
    </xf>
    <xf numFmtId="49" fontId="30" fillId="7" borderId="0" xfId="15" applyNumberFormat="1" applyFont="1" applyFill="1" applyBorder="1" applyAlignment="1">
      <alignment horizontal="left" vertical="top"/>
    </xf>
    <xf numFmtId="0" fontId="1" fillId="0" borderId="0" xfId="0" applyFont="1" applyAlignment="1">
      <alignment horizontal="right" vertical="top"/>
    </xf>
    <xf numFmtId="0" fontId="36" fillId="0" borderId="0" xfId="0" applyFont="1"/>
    <xf numFmtId="0" fontId="37" fillId="0" borderId="16" xfId="55" applyFont="1"/>
    <xf numFmtId="0" fontId="36" fillId="7" borderId="0" xfId="0" applyFont="1" applyFill="1" applyAlignment="1">
      <alignment vertical="top"/>
    </xf>
    <xf numFmtId="0" fontId="38" fillId="0" borderId="7" xfId="15" applyFont="1" applyBorder="1" applyAlignment="1">
      <alignment horizontal="left" vertical="top"/>
    </xf>
    <xf numFmtId="0" fontId="38" fillId="0" borderId="7" xfId="15" quotePrefix="1" applyFont="1" applyBorder="1" applyAlignment="1">
      <alignment horizontal="left" vertical="top"/>
    </xf>
    <xf numFmtId="0" fontId="36" fillId="7" borderId="0" xfId="0" applyNumberFormat="1" applyFont="1" applyFill="1" applyAlignment="1">
      <alignment horizontal="left" vertical="top"/>
    </xf>
    <xf numFmtId="49" fontId="36" fillId="7" borderId="0" xfId="0" applyNumberFormat="1" applyFont="1" applyFill="1" applyAlignment="1">
      <alignment horizontal="left" vertical="top" wrapText="1"/>
    </xf>
    <xf numFmtId="165" fontId="36" fillId="7" borderId="0" xfId="0" applyNumberFormat="1" applyFont="1" applyFill="1" applyAlignment="1">
      <alignment horizontal="left" vertical="top"/>
    </xf>
    <xf numFmtId="0" fontId="38" fillId="0" borderId="7" xfId="0" applyFont="1" applyBorder="1"/>
    <xf numFmtId="49" fontId="36" fillId="7" borderId="0" xfId="0" applyNumberFormat="1" applyFont="1" applyFill="1" applyBorder="1" applyAlignment="1">
      <alignment horizontal="left" vertical="top"/>
    </xf>
    <xf numFmtId="0" fontId="36" fillId="7" borderId="0" xfId="0" applyFont="1" applyFill="1" applyBorder="1" applyAlignment="1">
      <alignment horizontal="left" vertical="top"/>
    </xf>
    <xf numFmtId="164" fontId="36" fillId="7" borderId="0" xfId="0" applyNumberFormat="1" applyFont="1" applyFill="1" applyAlignment="1">
      <alignment horizontal="right" vertical="top"/>
    </xf>
    <xf numFmtId="0" fontId="38" fillId="0" borderId="7" xfId="0" applyFont="1" applyBorder="1" applyAlignment="1">
      <alignment horizontal="left" vertical="top"/>
    </xf>
    <xf numFmtId="164" fontId="36" fillId="7" borderId="0" xfId="0" applyNumberFormat="1" applyFont="1" applyFill="1" applyBorder="1" applyAlignment="1">
      <alignment horizontal="left" vertical="top"/>
    </xf>
    <xf numFmtId="49" fontId="36" fillId="7" borderId="0" xfId="0" applyNumberFormat="1" applyFont="1" applyFill="1" applyAlignment="1">
      <alignment horizontal="left" vertical="top"/>
    </xf>
    <xf numFmtId="49" fontId="36" fillId="7" borderId="0" xfId="0" applyNumberFormat="1" applyFont="1" applyFill="1" applyAlignment="1">
      <alignment vertical="top" wrapText="1"/>
    </xf>
    <xf numFmtId="165" fontId="36" fillId="7" borderId="15" xfId="0" applyNumberFormat="1" applyFont="1" applyFill="1" applyBorder="1" applyAlignment="1">
      <alignment horizontal="left" vertical="top"/>
    </xf>
    <xf numFmtId="0" fontId="38" fillId="0" borderId="0" xfId="0" applyFont="1"/>
    <xf numFmtId="0" fontId="5" fillId="0" borderId="0" xfId="15" applyFont="1"/>
    <xf numFmtId="0" fontId="36" fillId="0" borderId="0" xfId="0" applyFont="1" applyBorder="1" applyAlignment="1">
      <alignment horizontal="left" vertical="top"/>
    </xf>
    <xf numFmtId="0" fontId="36" fillId="0" borderId="0" xfId="0" applyFont="1" applyBorder="1"/>
    <xf numFmtId="49" fontId="0" fillId="0" borderId="0" xfId="0" applyNumberFormat="1" applyFont="1" applyAlignment="1">
      <alignment horizontal="right" vertical="top" wrapText="1"/>
    </xf>
    <xf numFmtId="0" fontId="40" fillId="0" borderId="7" xfId="15" applyFont="1" applyBorder="1" applyAlignment="1">
      <alignment horizontal="left" vertical="top"/>
    </xf>
    <xf numFmtId="0" fontId="1" fillId="0" borderId="0" xfId="0" applyFont="1" applyAlignment="1" applyProtection="1">
      <alignment horizontal="left" vertical="top"/>
      <protection locked="0"/>
    </xf>
    <xf numFmtId="49" fontId="35" fillId="0" borderId="0" xfId="0" applyNumberFormat="1" applyFont="1" applyAlignment="1" applyProtection="1">
      <alignment horizontal="center" vertical="center"/>
    </xf>
    <xf numFmtId="0" fontId="8" fillId="8" borderId="22" xfId="95" applyFont="1"/>
    <xf numFmtId="0" fontId="24" fillId="0" borderId="0" xfId="0" applyFont="1"/>
    <xf numFmtId="0" fontId="30" fillId="7" borderId="0" xfId="15" applyNumberFormat="1" applyFont="1" applyFill="1" applyBorder="1" applyAlignment="1">
      <alignment horizontal="left" vertical="top"/>
    </xf>
    <xf numFmtId="49" fontId="35" fillId="0" borderId="0" xfId="0" applyNumberFormat="1" applyFont="1" applyAlignment="1" applyProtection="1">
      <alignment horizontal="left" vertical="center"/>
    </xf>
    <xf numFmtId="0" fontId="36" fillId="0" borderId="0" xfId="0" applyFont="1" applyAlignment="1">
      <alignment horizontal="left"/>
    </xf>
    <xf numFmtId="0" fontId="18" fillId="0" borderId="0" xfId="0" applyFont="1"/>
    <xf numFmtId="0" fontId="11" fillId="0" borderId="13" xfId="0" applyFont="1" applyBorder="1"/>
    <xf numFmtId="0" fontId="11" fillId="3" borderId="13" xfId="0" applyFont="1" applyFill="1" applyBorder="1"/>
    <xf numFmtId="0" fontId="47" fillId="0" borderId="0" xfId="0" applyFont="1"/>
    <xf numFmtId="0" fontId="5" fillId="0" borderId="7" xfId="15" applyFont="1" applyBorder="1" applyAlignment="1">
      <alignment horizontal="left" vertical="top"/>
    </xf>
    <xf numFmtId="0" fontId="48" fillId="0" borderId="0" xfId="0" applyFont="1" applyAlignment="1">
      <alignment horizontal="left" vertical="top"/>
    </xf>
    <xf numFmtId="0" fontId="49" fillId="0" borderId="0" xfId="0" applyFont="1" applyAlignment="1">
      <alignment horizontal="left" vertical="top"/>
    </xf>
    <xf numFmtId="0" fontId="11" fillId="0" borderId="0" xfId="0" applyFont="1" applyBorder="1"/>
    <xf numFmtId="0" fontId="12" fillId="0" borderId="0" xfId="0" applyFont="1"/>
    <xf numFmtId="0" fontId="11" fillId="3" borderId="14" xfId="0" applyFont="1" applyFill="1" applyBorder="1"/>
    <xf numFmtId="0" fontId="10" fillId="0" borderId="0" xfId="0" applyFont="1"/>
    <xf numFmtId="0" fontId="30" fillId="0" borderId="7" xfId="15" applyFont="1" applyBorder="1" applyAlignment="1">
      <alignment horizontal="left" vertical="top"/>
    </xf>
    <xf numFmtId="0" fontId="30" fillId="0" borderId="7" xfId="0" applyFont="1" applyBorder="1" applyAlignment="1">
      <alignment horizontal="left" vertical="top"/>
    </xf>
    <xf numFmtId="0" fontId="18" fillId="7" borderId="0" xfId="0" applyNumberFormat="1" applyFont="1" applyFill="1" applyAlignment="1">
      <alignment horizontal="left" vertical="top" wrapText="1"/>
    </xf>
    <xf numFmtId="0" fontId="36" fillId="7" borderId="0" xfId="0" applyFont="1" applyFill="1" applyAlignment="1">
      <alignment horizontal="right" vertical="top"/>
    </xf>
    <xf numFmtId="0" fontId="39" fillId="7" borderId="0" xfId="11" applyFont="1" applyFill="1" applyAlignment="1">
      <alignment horizontal="left" vertical="top"/>
    </xf>
    <xf numFmtId="0" fontId="36" fillId="7" borderId="0" xfId="0" applyFont="1" applyFill="1" applyAlignment="1">
      <alignment horizontal="left" vertical="top"/>
    </xf>
    <xf numFmtId="0" fontId="36" fillId="7" borderId="0" xfId="0" applyNumberFormat="1" applyFont="1" applyFill="1" applyAlignment="1">
      <alignment vertical="top" wrapText="1"/>
    </xf>
    <xf numFmtId="0" fontId="30" fillId="0" borderId="7" xfId="15" quotePrefix="1" applyFont="1" applyBorder="1" applyAlignment="1">
      <alignment horizontal="left" vertical="top"/>
    </xf>
    <xf numFmtId="0" fontId="30" fillId="0" borderId="7" xfId="0" applyFont="1" applyBorder="1" applyAlignment="1">
      <alignment vertical="top"/>
    </xf>
    <xf numFmtId="166" fontId="36" fillId="7" borderId="0" xfId="0" applyNumberFormat="1" applyFont="1" applyFill="1" applyAlignment="1">
      <alignment horizontal="left" vertical="top"/>
    </xf>
    <xf numFmtId="165" fontId="36" fillId="7" borderId="21" xfId="0" applyNumberFormat="1" applyFont="1" applyFill="1" applyBorder="1" applyAlignment="1">
      <alignment horizontal="left" vertical="top"/>
    </xf>
    <xf numFmtId="0" fontId="18" fillId="0" borderId="7" xfId="0" applyFont="1" applyBorder="1" applyAlignment="1">
      <alignment vertical="top"/>
    </xf>
    <xf numFmtId="0" fontId="18" fillId="0" borderId="7" xfId="0" applyFont="1" applyBorder="1" applyAlignment="1">
      <alignment horizontal="left" vertical="top"/>
    </xf>
    <xf numFmtId="0" fontId="51" fillId="0" borderId="0" xfId="0" applyFont="1"/>
    <xf numFmtId="0" fontId="0" fillId="0" borderId="29" xfId="0" applyBorder="1"/>
    <xf numFmtId="49" fontId="0" fillId="0" borderId="0" xfId="0" applyNumberFormat="1" applyFont="1" applyBorder="1" applyAlignment="1">
      <alignment horizontal="left" vertical="top" wrapText="1"/>
    </xf>
    <xf numFmtId="0" fontId="12" fillId="0" borderId="0" xfId="0" applyFont="1" applyAlignment="1">
      <alignment horizontal="left"/>
    </xf>
    <xf numFmtId="0" fontId="36" fillId="0" borderId="7" xfId="0" applyFont="1" applyBorder="1"/>
    <xf numFmtId="0" fontId="30" fillId="7" borderId="21" xfId="15" applyNumberFormat="1" applyFont="1" applyFill="1" applyBorder="1" applyAlignment="1">
      <alignment horizontal="left" vertical="top"/>
    </xf>
    <xf numFmtId="0" fontId="56" fillId="0" borderId="0" xfId="0" applyFont="1"/>
    <xf numFmtId="0" fontId="57" fillId="0" borderId="0" xfId="15" applyNumberFormat="1" applyFont="1" applyFill="1" applyBorder="1" applyAlignment="1">
      <alignment horizontal="left" vertical="top"/>
    </xf>
    <xf numFmtId="0" fontId="58" fillId="0" borderId="0" xfId="0" applyFont="1" applyFill="1" applyBorder="1"/>
    <xf numFmtId="0" fontId="40" fillId="0" borderId="0" xfId="15" applyFont="1"/>
    <xf numFmtId="0" fontId="59" fillId="0" borderId="0" xfId="15" applyFont="1"/>
    <xf numFmtId="0" fontId="40" fillId="0" borderId="0" xfId="15" quotePrefix="1" applyFont="1"/>
    <xf numFmtId="0" fontId="61" fillId="0" borderId="0" xfId="15" applyNumberFormat="1" applyFont="1" applyFill="1" applyBorder="1" applyAlignment="1">
      <alignment horizontal="left" vertical="top"/>
    </xf>
    <xf numFmtId="0" fontId="23" fillId="0" borderId="0" xfId="11" applyFont="1" applyFill="1" applyBorder="1"/>
    <xf numFmtId="0" fontId="0" fillId="0" borderId="0" xfId="0" applyAlignment="1">
      <alignment horizontal="center"/>
    </xf>
    <xf numFmtId="0" fontId="13" fillId="0" borderId="0" xfId="0" applyFont="1" applyBorder="1" applyAlignment="1">
      <alignment horizontal="left" vertical="top"/>
    </xf>
    <xf numFmtId="49" fontId="43" fillId="0" borderId="37" xfId="0" applyNumberFormat="1" applyFont="1" applyBorder="1" applyAlignment="1" applyProtection="1">
      <alignment horizontal="left" vertical="center"/>
    </xf>
    <xf numFmtId="49" fontId="43" fillId="0" borderId="37" xfId="0" applyNumberFormat="1" applyFont="1" applyBorder="1" applyAlignment="1" applyProtection="1">
      <alignment horizontal="left" vertical="top"/>
    </xf>
    <xf numFmtId="49" fontId="43" fillId="0" borderId="37" xfId="0" applyNumberFormat="1" applyFont="1" applyBorder="1" applyAlignment="1" applyProtection="1">
      <alignment horizontal="left"/>
    </xf>
    <xf numFmtId="49" fontId="30" fillId="7" borderId="0" xfId="15" applyNumberFormat="1" applyFont="1" applyFill="1" applyBorder="1" applyAlignment="1">
      <alignment horizontal="left"/>
    </xf>
    <xf numFmtId="49" fontId="36" fillId="7" borderId="0" xfId="0" applyNumberFormat="1" applyFont="1" applyFill="1" applyAlignment="1">
      <alignment horizontal="left" wrapText="1"/>
    </xf>
    <xf numFmtId="165" fontId="36" fillId="7" borderId="0" xfId="0" applyNumberFormat="1" applyFont="1" applyFill="1" applyBorder="1" applyAlignment="1">
      <alignment horizontal="left" vertical="top"/>
    </xf>
    <xf numFmtId="0" fontId="25" fillId="0" borderId="12" xfId="0" applyFont="1" applyFill="1" applyBorder="1" applyAlignment="1">
      <alignment horizontal="left" vertical="top"/>
    </xf>
    <xf numFmtId="49" fontId="25" fillId="0" borderId="0" xfId="0" applyNumberFormat="1" applyFont="1" applyFill="1" applyAlignment="1">
      <alignment horizontal="left" vertical="top"/>
    </xf>
    <xf numFmtId="49" fontId="11" fillId="0" borderId="0" xfId="0" applyNumberFormat="1" applyFont="1" applyFill="1" applyAlignment="1">
      <alignment horizontal="left" vertical="top"/>
    </xf>
    <xf numFmtId="0" fontId="11" fillId="0" borderId="12" xfId="0" applyFont="1" applyFill="1" applyBorder="1" applyAlignment="1">
      <alignment horizontal="left" vertical="top"/>
    </xf>
    <xf numFmtId="0" fontId="25" fillId="0" borderId="0" xfId="0" applyFont="1" applyFill="1" applyBorder="1" applyAlignment="1">
      <alignment horizontal="left" vertical="top"/>
    </xf>
    <xf numFmtId="0" fontId="0" fillId="0" borderId="0" xfId="0" applyAlignment="1">
      <alignment horizontal="left"/>
    </xf>
    <xf numFmtId="0" fontId="38" fillId="0" borderId="7" xfId="15" applyFont="1" applyBorder="1" applyAlignment="1">
      <alignment horizontal="left"/>
    </xf>
    <xf numFmtId="0" fontId="36" fillId="7" borderId="0" xfId="0" applyFont="1" applyFill="1" applyAlignment="1"/>
    <xf numFmtId="165" fontId="67" fillId="11" borderId="0" xfId="0" applyNumberFormat="1" applyFont="1" applyFill="1" applyAlignment="1">
      <alignment horizontal="left" vertical="top"/>
    </xf>
    <xf numFmtId="0" fontId="67" fillId="11" borderId="0" xfId="0" applyFont="1" applyFill="1" applyAlignment="1">
      <alignment horizontal="left" vertical="top"/>
    </xf>
    <xf numFmtId="0" fontId="69" fillId="0" borderId="7" xfId="0" applyFont="1" applyBorder="1" applyAlignment="1">
      <alignment horizontal="left" vertical="top"/>
    </xf>
    <xf numFmtId="49" fontId="66" fillId="11" borderId="0" xfId="0" applyNumberFormat="1" applyFont="1" applyFill="1" applyAlignment="1">
      <alignment horizontal="left" vertical="top"/>
    </xf>
    <xf numFmtId="49" fontId="67" fillId="11" borderId="0" xfId="0" applyNumberFormat="1" applyFont="1" applyFill="1" applyAlignment="1">
      <alignment vertical="top" wrapText="1"/>
    </xf>
    <xf numFmtId="49" fontId="34" fillId="0" borderId="0" xfId="15" applyNumberFormat="1" applyFont="1" applyBorder="1" applyAlignment="1">
      <alignment vertical="top" wrapText="1"/>
    </xf>
    <xf numFmtId="0" fontId="5" fillId="0" borderId="11" xfId="0" applyFont="1" applyBorder="1"/>
    <xf numFmtId="0" fontId="5" fillId="0" borderId="0" xfId="0" applyFont="1" applyBorder="1"/>
    <xf numFmtId="0" fontId="5" fillId="5" borderId="11" xfId="0" applyFont="1" applyFill="1" applyBorder="1"/>
    <xf numFmtId="49" fontId="43" fillId="0" borderId="0" xfId="0" applyNumberFormat="1" applyFont="1" applyBorder="1" applyAlignment="1" applyProtection="1">
      <alignment horizontal="left" vertical="center"/>
    </xf>
    <xf numFmtId="49" fontId="2" fillId="0" borderId="0" xfId="11" applyNumberFormat="1" applyAlignment="1">
      <alignment horizontal="left" vertical="top" wrapText="1"/>
    </xf>
    <xf numFmtId="49" fontId="0" fillId="0" borderId="0" xfId="0" applyNumberFormat="1" applyAlignment="1">
      <alignment vertical="top" wrapText="1"/>
    </xf>
    <xf numFmtId="49" fontId="0" fillId="0" borderId="0" xfId="0" applyNumberFormat="1" applyAlignment="1">
      <alignment wrapText="1"/>
    </xf>
    <xf numFmtId="0" fontId="2" fillId="0" borderId="0" xfId="11" applyAlignment="1"/>
    <xf numFmtId="49" fontId="2" fillId="0" borderId="0" xfId="11" applyNumberFormat="1" applyAlignment="1">
      <alignment vertical="top" wrapText="1"/>
    </xf>
    <xf numFmtId="0" fontId="4" fillId="0" borderId="0" xfId="0" applyFont="1" applyAlignment="1">
      <alignment horizontal="left"/>
    </xf>
    <xf numFmtId="49" fontId="5" fillId="0" borderId="0" xfId="15" applyNumberFormat="1" applyFont="1" applyBorder="1" applyAlignment="1">
      <alignment horizontal="right" vertical="top" wrapText="1"/>
    </xf>
    <xf numFmtId="0" fontId="0" fillId="0" borderId="0" xfId="0" applyFill="1" applyProtection="1">
      <protection locked="0"/>
    </xf>
    <xf numFmtId="0" fontId="54" fillId="0" borderId="0" xfId="0" applyFont="1" applyFill="1" applyProtection="1">
      <protection locked="0"/>
    </xf>
    <xf numFmtId="49" fontId="0" fillId="0" borderId="0" xfId="0" applyNumberFormat="1" applyFill="1"/>
    <xf numFmtId="49" fontId="63" fillId="0" borderId="0" xfId="0" applyNumberFormat="1" applyFont="1" applyBorder="1" applyAlignment="1" applyProtection="1">
      <alignment horizontal="left" vertical="top"/>
    </xf>
    <xf numFmtId="0" fontId="43" fillId="0" borderId="0" xfId="0" applyNumberFormat="1" applyFont="1" applyBorder="1" applyAlignment="1" applyProtection="1">
      <alignment horizontal="left" vertical="top"/>
    </xf>
    <xf numFmtId="49" fontId="43" fillId="0" borderId="0" xfId="0" applyNumberFormat="1" applyFont="1" applyBorder="1" applyAlignment="1" applyProtection="1">
      <alignment horizontal="left" vertical="top"/>
    </xf>
    <xf numFmtId="49" fontId="41" fillId="0" borderId="0" xfId="11" applyNumberFormat="1" applyFont="1" applyBorder="1" applyAlignment="1" applyProtection="1">
      <alignment horizontal="right" vertical="top" wrapText="1"/>
    </xf>
    <xf numFmtId="0" fontId="0" fillId="0" borderId="0" xfId="0" applyFont="1" applyAlignment="1">
      <alignment horizontal="right" vertical="center" wrapText="1"/>
    </xf>
    <xf numFmtId="0" fontId="21" fillId="0" borderId="0" xfId="0" applyFont="1" applyAlignment="1">
      <alignment wrapText="1"/>
    </xf>
    <xf numFmtId="0" fontId="22" fillId="0" borderId="0" xfId="0" applyFont="1" applyAlignment="1">
      <alignment horizontal="left" vertical="top" wrapText="1"/>
    </xf>
    <xf numFmtId="0" fontId="28" fillId="10" borderId="16" xfId="55" applyFill="1" applyAlignment="1">
      <alignment wrapText="1"/>
    </xf>
    <xf numFmtId="0" fontId="0" fillId="0" borderId="0" xfId="15" applyFont="1" applyAlignment="1">
      <alignment vertical="top" wrapText="1"/>
    </xf>
    <xf numFmtId="0" fontId="0" fillId="0" borderId="0" xfId="0" applyFont="1" applyBorder="1" applyAlignment="1">
      <alignment vertical="top" wrapText="1"/>
    </xf>
    <xf numFmtId="0" fontId="0" fillId="0" borderId="0" xfId="0" applyFont="1" applyAlignment="1">
      <alignment vertical="top" wrapText="1"/>
    </xf>
    <xf numFmtId="0" fontId="0" fillId="0" borderId="0" xfId="0" applyFont="1" applyBorder="1" applyAlignment="1">
      <alignment horizontal="right" vertical="top" wrapText="1"/>
    </xf>
    <xf numFmtId="0" fontId="0" fillId="0" borderId="0" xfId="15" applyFont="1" applyAlignment="1">
      <alignment horizontal="right" wrapText="1"/>
    </xf>
    <xf numFmtId="0" fontId="0" fillId="0" borderId="0" xfId="15" applyFont="1" applyAlignment="1">
      <alignment wrapText="1"/>
    </xf>
    <xf numFmtId="0" fontId="0" fillId="0" borderId="0" xfId="0" applyFont="1" applyAlignment="1">
      <alignment horizontal="left" vertical="top" wrapText="1"/>
    </xf>
    <xf numFmtId="0" fontId="0" fillId="0" borderId="0" xfId="0" applyFont="1" applyAlignment="1">
      <alignment horizontal="center" vertical="top" wrapText="1"/>
    </xf>
    <xf numFmtId="0" fontId="41" fillId="0" borderId="0" xfId="0" applyFont="1" applyBorder="1" applyAlignment="1">
      <alignment vertical="top" wrapText="1"/>
    </xf>
    <xf numFmtId="49" fontId="0" fillId="8" borderId="22" xfId="95" quotePrefix="1" applyNumberFormat="1" applyFont="1" applyAlignment="1" applyProtection="1">
      <alignment horizontal="left" vertical="top" wrapText="1"/>
      <protection locked="0"/>
    </xf>
    <xf numFmtId="165" fontId="41" fillId="0" borderId="0" xfId="0" applyNumberFormat="1" applyFont="1" applyBorder="1" applyAlignment="1">
      <alignment vertical="top" wrapText="1"/>
    </xf>
    <xf numFmtId="0" fontId="7" fillId="0" borderId="2" xfId="17" applyAlignment="1">
      <alignment wrapText="1"/>
    </xf>
    <xf numFmtId="0" fontId="7" fillId="0" borderId="2" xfId="17" applyAlignment="1">
      <alignment horizontal="right" wrapText="1"/>
    </xf>
    <xf numFmtId="0" fontId="7" fillId="0" borderId="2" xfId="17" applyAlignment="1">
      <alignment horizontal="center" wrapText="1"/>
    </xf>
    <xf numFmtId="0" fontId="0" fillId="0" borderId="0" xfId="0" applyFont="1" applyBorder="1" applyAlignment="1">
      <alignment horizontal="center" vertical="top" wrapText="1"/>
    </xf>
    <xf numFmtId="0" fontId="0" fillId="0" borderId="0" xfId="87" applyFont="1" applyAlignment="1">
      <alignment horizontal="right" vertical="top" wrapText="1"/>
    </xf>
    <xf numFmtId="0" fontId="0" fillId="0" borderId="0" xfId="0" applyFont="1" applyAlignment="1">
      <alignment horizontal="center" vertical="center" wrapText="1"/>
    </xf>
    <xf numFmtId="0" fontId="0" fillId="0" borderId="46" xfId="18" applyFont="1" applyFill="1" applyBorder="1" applyAlignment="1">
      <alignment horizontal="center" vertical="center" wrapText="1"/>
    </xf>
    <xf numFmtId="0" fontId="5" fillId="0" borderId="0" xfId="15" applyAlignment="1">
      <alignment wrapText="1"/>
    </xf>
    <xf numFmtId="0" fontId="5" fillId="0" borderId="0" xfId="15" applyBorder="1" applyAlignment="1">
      <alignment wrapText="1"/>
    </xf>
    <xf numFmtId="0" fontId="5" fillId="0" borderId="0" xfId="15" applyAlignment="1">
      <alignment horizontal="right" wrapText="1"/>
    </xf>
    <xf numFmtId="0" fontId="41" fillId="0" borderId="0" xfId="11" applyFont="1" applyBorder="1" applyAlignment="1" applyProtection="1">
      <alignment horizontal="right" vertical="top" wrapText="1"/>
    </xf>
    <xf numFmtId="0" fontId="0" fillId="0" borderId="0" xfId="15" applyFont="1" applyAlignment="1">
      <alignment horizontal="right" vertical="center" wrapText="1"/>
    </xf>
    <xf numFmtId="0" fontId="0" fillId="8" borderId="22" xfId="95" applyFont="1" applyAlignment="1" applyProtection="1">
      <alignment horizontal="left" vertical="top" wrapText="1"/>
      <protection locked="0"/>
    </xf>
    <xf numFmtId="0" fontId="0" fillId="0" borderId="0" xfId="0" applyFont="1" applyBorder="1" applyAlignment="1">
      <alignment wrapText="1"/>
    </xf>
    <xf numFmtId="0" fontId="0" fillId="0" borderId="0" xfId="0" applyAlignment="1">
      <alignment horizontal="center" wrapText="1"/>
    </xf>
    <xf numFmtId="0" fontId="0" fillId="0" borderId="0" xfId="18" applyFont="1" applyFill="1" applyBorder="1" applyAlignment="1">
      <alignment horizontal="right" vertical="center" wrapText="1"/>
    </xf>
    <xf numFmtId="0" fontId="0" fillId="0" borderId="0" xfId="18" applyFont="1" applyFill="1" applyBorder="1" applyAlignment="1">
      <alignment horizontal="center" vertical="top" wrapText="1"/>
    </xf>
    <xf numFmtId="0" fontId="0" fillId="8" borderId="22" xfId="95" applyFont="1" applyAlignment="1" applyProtection="1">
      <alignment vertical="top" wrapText="1"/>
      <protection locked="0"/>
    </xf>
    <xf numFmtId="0" fontId="0" fillId="8" borderId="22" xfId="95" applyFont="1" applyAlignment="1" applyProtection="1">
      <alignment horizontal="left" wrapText="1"/>
      <protection locked="0"/>
    </xf>
    <xf numFmtId="0" fontId="5" fillId="0" borderId="47" xfId="15" applyBorder="1" applyAlignment="1">
      <alignment wrapText="1"/>
    </xf>
    <xf numFmtId="0" fontId="41" fillId="0" borderId="0" xfId="0" applyFont="1" applyBorder="1" applyAlignment="1">
      <alignment horizontal="right" vertical="top" wrapText="1"/>
    </xf>
    <xf numFmtId="49" fontId="0" fillId="8" borderId="22" xfId="95" applyNumberFormat="1" applyFont="1" applyAlignment="1" applyProtection="1">
      <alignment horizontal="left" wrapText="1"/>
      <protection locked="0"/>
    </xf>
    <xf numFmtId="0" fontId="2" fillId="0" borderId="0" xfId="11" applyBorder="1" applyAlignment="1" applyProtection="1">
      <alignment horizontal="right" wrapText="1"/>
    </xf>
    <xf numFmtId="0" fontId="0" fillId="0" borderId="0" xfId="0" applyFont="1" applyAlignment="1">
      <alignment horizontal="center" wrapText="1"/>
    </xf>
    <xf numFmtId="0" fontId="41" fillId="0" borderId="0" xfId="0" applyFont="1" applyBorder="1" applyAlignment="1">
      <alignment wrapText="1"/>
    </xf>
    <xf numFmtId="0" fontId="2" fillId="0" borderId="0" xfId="11" applyBorder="1" applyAlignment="1" applyProtection="1">
      <alignment horizontal="right" vertical="top" wrapText="1"/>
    </xf>
    <xf numFmtId="0" fontId="0" fillId="0" borderId="0" xfId="15" applyFont="1" applyBorder="1" applyAlignment="1">
      <alignment wrapText="1"/>
    </xf>
    <xf numFmtId="0" fontId="0" fillId="0" borderId="0" xfId="11" applyFont="1" applyBorder="1" applyAlignment="1" applyProtection="1">
      <alignment horizontal="right" vertical="top" wrapText="1"/>
    </xf>
    <xf numFmtId="0" fontId="41" fillId="0" borderId="0" xfId="11" applyFont="1" applyBorder="1" applyAlignment="1">
      <alignment horizontal="right" wrapText="1"/>
    </xf>
    <xf numFmtId="0" fontId="0" fillId="0" borderId="2" xfId="17" applyFont="1" applyAlignment="1">
      <alignment horizontal="right" wrapText="1"/>
    </xf>
    <xf numFmtId="0" fontId="0" fillId="0" borderId="2" xfId="17" applyFont="1" applyAlignment="1">
      <alignment horizontal="center" wrapText="1"/>
    </xf>
    <xf numFmtId="0" fontId="0" fillId="0" borderId="2" xfId="17" applyFont="1" applyAlignment="1">
      <alignment wrapText="1"/>
    </xf>
    <xf numFmtId="0" fontId="8" fillId="4" borderId="40" xfId="18" applyBorder="1" applyAlignment="1" applyProtection="1">
      <alignment horizontal="left" vertical="top" wrapText="1"/>
      <protection locked="0"/>
    </xf>
    <xf numFmtId="0" fontId="0" fillId="4" borderId="8" xfId="18" applyFont="1" applyAlignment="1" applyProtection="1">
      <alignment horizontal="left" vertical="top" wrapText="1"/>
      <protection locked="0"/>
    </xf>
    <xf numFmtId="0" fontId="0" fillId="0" borderId="0" xfId="0" applyFont="1" applyAlignment="1">
      <alignment horizontal="left" wrapText="1"/>
    </xf>
    <xf numFmtId="17" fontId="0" fillId="0" borderId="0" xfId="0" quotePrefix="1" applyNumberFormat="1" applyFont="1" applyAlignment="1">
      <alignment wrapText="1"/>
    </xf>
    <xf numFmtId="0" fontId="0" fillId="0" borderId="0" xfId="0" applyFont="1" applyAlignment="1" applyProtection="1">
      <alignment horizontal="left" wrapText="1"/>
    </xf>
    <xf numFmtId="0" fontId="0" fillId="0" borderId="20" xfId="0" applyFont="1" applyBorder="1" applyAlignment="1">
      <alignment wrapText="1"/>
    </xf>
    <xf numFmtId="0" fontId="0" fillId="0" borderId="20" xfId="0" applyFont="1" applyBorder="1" applyAlignment="1">
      <alignment horizontal="center" wrapText="1"/>
    </xf>
    <xf numFmtId="14" fontId="0" fillId="0" borderId="0" xfId="0" applyNumberFormat="1" applyAlignment="1">
      <alignment horizontal="center" wrapText="1"/>
    </xf>
    <xf numFmtId="0" fontId="8" fillId="4" borderId="8" xfId="18" applyAlignment="1" applyProtection="1">
      <alignment horizontal="right" wrapText="1"/>
      <protection locked="0"/>
    </xf>
    <xf numFmtId="0" fontId="75" fillId="0" borderId="0" xfId="0" applyFont="1" applyAlignment="1">
      <alignment vertical="center" wrapText="1"/>
    </xf>
    <xf numFmtId="0" fontId="75" fillId="0" borderId="0" xfId="0" applyFont="1" applyAlignment="1">
      <alignment vertical="top" wrapText="1"/>
    </xf>
    <xf numFmtId="0" fontId="7" fillId="0" borderId="2" xfId="17" applyFont="1" applyAlignment="1">
      <alignment wrapText="1"/>
    </xf>
    <xf numFmtId="0" fontId="75" fillId="0" borderId="0" xfId="87" applyFont="1" applyAlignment="1">
      <alignment vertical="top" wrapText="1"/>
    </xf>
    <xf numFmtId="0" fontId="62" fillId="0" borderId="0" xfId="15" applyFont="1" applyAlignment="1">
      <alignment wrapText="1"/>
    </xf>
    <xf numFmtId="0" fontId="75" fillId="0" borderId="0" xfId="15" applyFont="1" applyAlignment="1">
      <alignment wrapText="1"/>
    </xf>
    <xf numFmtId="0" fontId="75" fillId="0" borderId="0" xfId="0" applyFont="1" applyAlignment="1">
      <alignment wrapText="1"/>
    </xf>
    <xf numFmtId="0" fontId="75" fillId="0" borderId="2" xfId="17" applyFont="1" applyAlignment="1">
      <alignment wrapText="1"/>
    </xf>
    <xf numFmtId="0" fontId="75" fillId="0" borderId="20" xfId="0" applyFont="1" applyBorder="1" applyAlignment="1">
      <alignment wrapText="1"/>
    </xf>
    <xf numFmtId="0" fontId="50" fillId="13" borderId="16" xfId="311" applyBorder="1" applyAlignment="1">
      <alignment wrapText="1"/>
    </xf>
    <xf numFmtId="0" fontId="22" fillId="0" borderId="0" xfId="0" applyFont="1" applyBorder="1" applyAlignment="1">
      <alignment horizontal="left" vertical="top" wrapText="1"/>
    </xf>
    <xf numFmtId="0" fontId="22" fillId="0" borderId="0" xfId="0" applyFont="1" applyBorder="1" applyAlignment="1">
      <alignment vertical="top" wrapText="1"/>
    </xf>
    <xf numFmtId="0" fontId="22" fillId="0" borderId="0" xfId="0" applyFont="1" applyBorder="1" applyAlignment="1">
      <alignment horizontal="center" vertical="top" wrapText="1"/>
    </xf>
    <xf numFmtId="0" fontId="43" fillId="0" borderId="0" xfId="0" applyNumberFormat="1" applyFont="1" applyBorder="1" applyAlignment="1" applyProtection="1">
      <alignment horizontal="left" vertical="center"/>
    </xf>
    <xf numFmtId="0" fontId="22" fillId="0" borderId="7" xfId="0" applyFont="1" applyBorder="1" applyAlignment="1">
      <alignment horizontal="left" vertical="top"/>
    </xf>
    <xf numFmtId="0" fontId="22" fillId="0" borderId="7" xfId="0" applyFont="1" applyBorder="1" applyAlignment="1">
      <alignment vertical="top"/>
    </xf>
    <xf numFmtId="0" fontId="22" fillId="0" borderId="7" xfId="0" applyFont="1" applyBorder="1" applyAlignment="1">
      <alignment horizontal="center" vertical="top"/>
    </xf>
    <xf numFmtId="0" fontId="28" fillId="13" borderId="16" xfId="55" applyFill="1"/>
    <xf numFmtId="0" fontId="7" fillId="0" borderId="2" xfId="17" applyAlignment="1"/>
    <xf numFmtId="0" fontId="0" fillId="0" borderId="48" xfId="0" applyFont="1" applyBorder="1" applyAlignment="1">
      <alignment vertical="top" wrapText="1"/>
    </xf>
    <xf numFmtId="0" fontId="14" fillId="0" borderId="7" xfId="0" applyFont="1" applyBorder="1" applyAlignment="1">
      <alignment horizontal="left" vertical="top"/>
    </xf>
    <xf numFmtId="0" fontId="22" fillId="0" borderId="0" xfId="0" applyNumberFormat="1" applyFont="1" applyBorder="1" applyAlignment="1">
      <alignment vertical="top" wrapText="1"/>
    </xf>
    <xf numFmtId="0" fontId="21" fillId="0" borderId="0" xfId="0" applyFont="1" applyBorder="1" applyAlignment="1">
      <alignment wrapText="1"/>
    </xf>
    <xf numFmtId="49" fontId="63" fillId="0" borderId="0" xfId="0" applyNumberFormat="1" applyFont="1" applyBorder="1" applyAlignment="1">
      <alignment horizontal="left" vertical="top"/>
    </xf>
    <xf numFmtId="0" fontId="22" fillId="0" borderId="7" xfId="0" applyNumberFormat="1" applyFont="1" applyBorder="1" applyAlignment="1">
      <alignment vertical="top"/>
    </xf>
    <xf numFmtId="0" fontId="21" fillId="0" borderId="7" xfId="0" applyFont="1" applyBorder="1"/>
    <xf numFmtId="0" fontId="21" fillId="0" borderId="0" xfId="0" applyFont="1" applyBorder="1" applyAlignment="1">
      <alignment vertical="top" wrapText="1"/>
    </xf>
    <xf numFmtId="0" fontId="31" fillId="0" borderId="0" xfId="0" applyFont="1" applyBorder="1" applyAlignment="1">
      <alignment horizontal="center" vertical="top" wrapText="1"/>
    </xf>
    <xf numFmtId="0" fontId="21" fillId="0" borderId="7" xfId="0" applyFont="1" applyBorder="1" applyAlignment="1">
      <alignment vertical="top"/>
    </xf>
    <xf numFmtId="0" fontId="31" fillId="0" borderId="7" xfId="0" applyFont="1" applyBorder="1" applyAlignment="1">
      <alignment horizontal="center" vertical="top"/>
    </xf>
    <xf numFmtId="0" fontId="7" fillId="0" borderId="2" xfId="17" applyAlignment="1">
      <alignment horizontal="center" vertical="top" wrapText="1"/>
    </xf>
    <xf numFmtId="0" fontId="7" fillId="0" borderId="2" xfId="17" applyAlignment="1">
      <alignment horizontal="center" vertical="top"/>
    </xf>
    <xf numFmtId="0" fontId="7" fillId="0" borderId="2" xfId="17" applyAlignment="1">
      <alignment horizontal="center"/>
    </xf>
    <xf numFmtId="0" fontId="0" fillId="0" borderId="49" xfId="0" applyBorder="1" applyAlignment="1">
      <alignment wrapText="1"/>
    </xf>
    <xf numFmtId="0" fontId="41" fillId="0" borderId="0" xfId="11" applyFont="1" applyBorder="1" applyAlignment="1" applyProtection="1">
      <alignment horizontal="right" wrapText="1"/>
      <protection locked="0"/>
    </xf>
    <xf numFmtId="0" fontId="0" fillId="0" borderId="42" xfId="0" applyFont="1" applyBorder="1" applyAlignment="1">
      <alignment horizontal="left" vertical="top" wrapText="1"/>
    </xf>
    <xf numFmtId="0" fontId="21" fillId="0" borderId="20" xfId="0" applyFont="1" applyBorder="1" applyAlignment="1">
      <alignment wrapText="1"/>
    </xf>
    <xf numFmtId="0" fontId="21" fillId="0" borderId="20" xfId="0" applyFont="1" applyBorder="1"/>
    <xf numFmtId="0" fontId="46" fillId="9" borderId="25" xfId="105" applyAlignment="1" applyProtection="1">
      <alignment vertical="center" wrapText="1"/>
    </xf>
    <xf numFmtId="0" fontId="0" fillId="0" borderId="0" xfId="0" applyFont="1" applyFill="1" applyAlignment="1">
      <alignment horizontal="right" vertical="top" wrapText="1"/>
    </xf>
    <xf numFmtId="14" fontId="0" fillId="8" borderId="22" xfId="95" applyNumberFormat="1" applyFont="1" applyAlignment="1" applyProtection="1">
      <alignment horizontal="left" vertical="top" wrapText="1"/>
      <protection locked="0"/>
    </xf>
    <xf numFmtId="49" fontId="18" fillId="7" borderId="7" xfId="0" applyNumberFormat="1" applyFont="1" applyFill="1" applyBorder="1" applyAlignment="1">
      <alignment horizontal="left" vertical="center"/>
    </xf>
    <xf numFmtId="0" fontId="8" fillId="4" borderId="8" xfId="18" applyProtection="1">
      <protection locked="0"/>
    </xf>
    <xf numFmtId="0" fontId="25" fillId="0" borderId="0" xfId="0" applyFont="1"/>
    <xf numFmtId="0" fontId="25" fillId="0" borderId="0" xfId="0" applyFont="1" applyAlignment="1">
      <alignment horizontal="left"/>
    </xf>
    <xf numFmtId="0" fontId="8" fillId="4" borderId="8" xfId="18" applyAlignment="1" applyProtection="1">
      <alignment horizontal="left" vertical="top" wrapText="1"/>
      <protection locked="0"/>
    </xf>
    <xf numFmtId="0" fontId="5" fillId="0" borderId="0" xfId="15" applyAlignment="1">
      <alignment horizontal="right" vertical="center" wrapText="1"/>
    </xf>
    <xf numFmtId="0" fontId="0" fillId="0" borderId="15" xfId="0" applyBorder="1" applyAlignment="1">
      <alignment horizontal="left" wrapText="1"/>
    </xf>
    <xf numFmtId="0" fontId="0" fillId="0" borderId="53" xfId="0" applyFont="1" applyBorder="1" applyAlignment="1">
      <alignment horizontal="right" wrapText="1"/>
    </xf>
    <xf numFmtId="0" fontId="0" fillId="0" borderId="0" xfId="15" applyFont="1" applyBorder="1" applyAlignment="1">
      <alignment horizontal="right" wrapText="1"/>
    </xf>
    <xf numFmtId="0" fontId="0" fillId="0" borderId="52" xfId="0" applyBorder="1" applyAlignment="1">
      <alignment horizontal="left" vertical="center" wrapText="1"/>
    </xf>
    <xf numFmtId="0" fontId="0" fillId="0" borderId="15" xfId="0" applyBorder="1" applyAlignment="1">
      <alignment horizontal="left" vertical="center" wrapText="1"/>
    </xf>
    <xf numFmtId="0" fontId="0" fillId="0" borderId="0" xfId="0" applyAlignment="1">
      <alignment horizontal="left" vertical="center" wrapText="1"/>
    </xf>
    <xf numFmtId="0" fontId="0" fillId="0" borderId="0" xfId="0" applyFont="1" applyAlignment="1">
      <alignment horizontal="left" vertical="center" wrapText="1"/>
    </xf>
    <xf numFmtId="0" fontId="0" fillId="0" borderId="0" xfId="0" applyFont="1" applyBorder="1" applyAlignment="1">
      <alignment horizontal="right" wrapText="1"/>
    </xf>
    <xf numFmtId="0" fontId="0" fillId="0" borderId="53" xfId="0" applyFont="1" applyBorder="1" applyAlignment="1">
      <alignment horizontal="right" vertical="top" wrapText="1"/>
    </xf>
    <xf numFmtId="0" fontId="0" fillId="0" borderId="54" xfId="0" applyFont="1" applyBorder="1" applyAlignment="1">
      <alignment horizontal="right" vertical="top" wrapText="1"/>
    </xf>
    <xf numFmtId="0" fontId="0" fillId="0" borderId="0" xfId="0" applyFont="1" applyFill="1" applyAlignment="1">
      <alignment horizontal="right" vertical="center" wrapText="1"/>
    </xf>
    <xf numFmtId="0" fontId="0" fillId="0" borderId="0" xfId="0" applyFont="1" applyFill="1" applyAlignment="1">
      <alignment horizontal="right" wrapText="1"/>
    </xf>
    <xf numFmtId="0" fontId="0" fillId="0" borderId="15" xfId="0" applyBorder="1"/>
    <xf numFmtId="0" fontId="0" fillId="0" borderId="15" xfId="0" applyFont="1" applyBorder="1" applyAlignment="1">
      <alignment horizontal="center" vertical="top" wrapText="1"/>
    </xf>
    <xf numFmtId="0" fontId="0" fillId="0" borderId="52" xfId="0" applyBorder="1"/>
    <xf numFmtId="0" fontId="0" fillId="0" borderId="53" xfId="0" applyBorder="1" applyAlignment="1">
      <alignment horizontal="right"/>
    </xf>
    <xf numFmtId="0" fontId="5" fillId="0" borderId="7" xfId="15" quotePrefix="1" applyFont="1" applyBorder="1" applyAlignment="1">
      <alignment horizontal="left" vertical="top"/>
    </xf>
    <xf numFmtId="49" fontId="43" fillId="0" borderId="0" xfId="0" applyNumberFormat="1" applyFont="1" applyAlignment="1" applyProtection="1">
      <alignment horizontal="left" vertical="top"/>
    </xf>
    <xf numFmtId="49" fontId="5" fillId="0" borderId="32" xfId="0" applyNumberFormat="1" applyFont="1" applyFill="1" applyBorder="1" applyAlignment="1">
      <alignment horizontal="left"/>
    </xf>
    <xf numFmtId="0" fontId="5" fillId="0" borderId="32" xfId="0" applyFont="1" applyFill="1" applyBorder="1" applyAlignment="1">
      <alignment horizontal="left"/>
    </xf>
    <xf numFmtId="0" fontId="5" fillId="0" borderId="0" xfId="0" applyFont="1" applyFill="1" applyAlignment="1">
      <alignment horizontal="center" vertical="center"/>
    </xf>
    <xf numFmtId="0" fontId="30" fillId="0" borderId="0" xfId="0" applyFont="1" applyFill="1" applyProtection="1">
      <protection locked="0"/>
    </xf>
    <xf numFmtId="49" fontId="30" fillId="0" borderId="0" xfId="0" applyNumberFormat="1" applyFont="1" applyFill="1" applyProtection="1">
      <protection locked="0"/>
    </xf>
    <xf numFmtId="49" fontId="77" fillId="4" borderId="8" xfId="18" applyNumberFormat="1" applyFont="1" applyAlignment="1" applyProtection="1">
      <alignment horizontal="right" vertical="top" wrapText="1"/>
      <protection locked="0"/>
    </xf>
    <xf numFmtId="0" fontId="0" fillId="0" borderId="0" xfId="0" applyFill="1" applyAlignment="1" applyProtection="1">
      <alignment horizontal="center"/>
      <protection locked="0"/>
    </xf>
    <xf numFmtId="0" fontId="0" fillId="0" borderId="0" xfId="0" applyFill="1" applyAlignment="1" applyProtection="1">
      <alignment horizontal="left"/>
      <protection locked="0"/>
    </xf>
    <xf numFmtId="0" fontId="65" fillId="2" borderId="0" xfId="15" applyFont="1" applyFill="1"/>
    <xf numFmtId="0" fontId="0" fillId="0" borderId="0" xfId="0"/>
    <xf numFmtId="0" fontId="65" fillId="0" borderId="0" xfId="15" applyFont="1"/>
    <xf numFmtId="0" fontId="65" fillId="0" borderId="0" xfId="15" applyFont="1" applyFill="1"/>
    <xf numFmtId="0" fontId="65" fillId="0" borderId="0" xfId="15" applyFont="1" applyFill="1" applyBorder="1"/>
    <xf numFmtId="0" fontId="85" fillId="2" borderId="0" xfId="15" applyFont="1" applyFill="1"/>
    <xf numFmtId="0" fontId="36" fillId="7" borderId="15" xfId="0" applyFont="1" applyFill="1" applyBorder="1" applyAlignment="1">
      <alignment horizontal="left" vertical="top"/>
    </xf>
    <xf numFmtId="0" fontId="90" fillId="0" borderId="0" xfId="0" applyFont="1" applyAlignment="1">
      <alignment horizontal="right" vertical="center" wrapText="1"/>
    </xf>
    <xf numFmtId="0" fontId="90" fillId="0" borderId="0" xfId="15" applyFont="1" applyAlignment="1">
      <alignment horizontal="right" vertical="center" wrapText="1"/>
    </xf>
    <xf numFmtId="0" fontId="18" fillId="7" borderId="0" xfId="0" applyNumberFormat="1" applyFont="1" applyFill="1" applyAlignment="1">
      <alignment horizontal="left" vertical="top"/>
    </xf>
    <xf numFmtId="0" fontId="92" fillId="15" borderId="0" xfId="15" applyFont="1" applyFill="1" applyAlignment="1">
      <alignment wrapText="1"/>
    </xf>
    <xf numFmtId="0" fontId="30" fillId="0" borderId="0" xfId="0" applyNumberFormat="1" applyFont="1" applyFill="1" applyAlignment="1" applyProtection="1">
      <alignment horizontal="center"/>
      <protection locked="0"/>
    </xf>
    <xf numFmtId="0" fontId="0" fillId="0" borderId="0" xfId="0" applyFill="1" applyAlignment="1">
      <alignment horizontal="right"/>
    </xf>
    <xf numFmtId="0" fontId="0" fillId="0" borderId="0" xfId="0" applyFill="1" applyAlignment="1" applyProtection="1">
      <alignment horizontal="right"/>
      <protection locked="0"/>
    </xf>
    <xf numFmtId="49" fontId="53" fillId="0" borderId="0" xfId="0" applyNumberFormat="1" applyFont="1" applyFill="1" applyAlignment="1" applyProtection="1">
      <alignment horizontal="center" shrinkToFit="1"/>
      <protection locked="0"/>
    </xf>
    <xf numFmtId="49" fontId="60" fillId="0" borderId="0" xfId="0" applyNumberFormat="1" applyFont="1" applyFill="1" applyAlignment="1" applyProtection="1">
      <alignment shrinkToFit="1"/>
      <protection locked="0"/>
    </xf>
    <xf numFmtId="49" fontId="53" fillId="0" borderId="0" xfId="0" applyNumberFormat="1" applyFont="1" applyFill="1" applyAlignment="1" applyProtection="1">
      <alignment horizontal="left" shrinkToFit="1"/>
      <protection locked="0"/>
    </xf>
    <xf numFmtId="49" fontId="53" fillId="0" borderId="0" xfId="0" applyNumberFormat="1" applyFont="1" applyFill="1" applyAlignment="1" applyProtection="1">
      <alignment horizontal="right" shrinkToFit="1"/>
      <protection locked="0"/>
    </xf>
    <xf numFmtId="49" fontId="52" fillId="0" borderId="7" xfId="15" applyNumberFormat="1" applyFont="1" applyFill="1" applyBorder="1" applyAlignment="1" applyProtection="1">
      <alignment horizontal="left" shrinkToFit="1"/>
      <protection locked="0"/>
    </xf>
    <xf numFmtId="49" fontId="64" fillId="0" borderId="0" xfId="0" applyNumberFormat="1" applyFont="1" applyFill="1" applyBorder="1" applyAlignment="1" applyProtection="1">
      <alignment horizontal="right" shrinkToFit="1"/>
      <protection locked="0"/>
    </xf>
    <xf numFmtId="49" fontId="64" fillId="0" borderId="0" xfId="0" applyNumberFormat="1" applyFont="1" applyFill="1" applyAlignment="1" applyProtection="1">
      <alignment shrinkToFit="1"/>
      <protection locked="0"/>
    </xf>
    <xf numFmtId="49" fontId="53" fillId="0" borderId="0" xfId="0" applyNumberFormat="1" applyFont="1" applyFill="1" applyAlignment="1" applyProtection="1">
      <alignment shrinkToFit="1"/>
      <protection locked="0"/>
    </xf>
    <xf numFmtId="49" fontId="64" fillId="0" borderId="0" xfId="0" applyNumberFormat="1" applyFont="1" applyFill="1" applyAlignment="1" applyProtection="1">
      <alignment horizontal="left" shrinkToFit="1"/>
      <protection locked="0"/>
    </xf>
    <xf numFmtId="49" fontId="32" fillId="0" borderId="0" xfId="0" applyNumberFormat="1" applyFont="1" applyFill="1" applyAlignment="1" applyProtection="1">
      <alignment shrinkToFit="1"/>
      <protection locked="0"/>
    </xf>
    <xf numFmtId="49" fontId="82" fillId="14" borderId="0" xfId="0" applyNumberFormat="1" applyFont="1" applyFill="1" applyAlignment="1" applyProtection="1">
      <alignment horizontal="left" shrinkToFit="1"/>
      <protection locked="0"/>
    </xf>
    <xf numFmtId="49" fontId="82" fillId="14" borderId="0" xfId="0" applyNumberFormat="1" applyFont="1" applyFill="1" applyAlignment="1" applyProtection="1">
      <alignment horizontal="center" shrinkToFit="1"/>
      <protection locked="0"/>
    </xf>
    <xf numFmtId="49" fontId="52" fillId="0" borderId="0" xfId="0" applyNumberFormat="1" applyFont="1" applyFill="1" applyAlignment="1" applyProtection="1">
      <alignment shrinkToFit="1"/>
      <protection locked="0"/>
    </xf>
    <xf numFmtId="49" fontId="83" fillId="0" borderId="0" xfId="0" applyNumberFormat="1" applyFont="1" applyFill="1" applyAlignment="1" applyProtection="1">
      <alignment shrinkToFit="1"/>
      <protection locked="0"/>
    </xf>
    <xf numFmtId="49" fontId="82" fillId="0" borderId="0" xfId="0" applyNumberFormat="1" applyFont="1" applyFill="1" applyAlignment="1" applyProtection="1">
      <alignment shrinkToFit="1"/>
      <protection locked="0"/>
    </xf>
    <xf numFmtId="49" fontId="64" fillId="0" borderId="7" xfId="0" applyNumberFormat="1" applyFont="1" applyFill="1" applyBorder="1" applyAlignment="1" applyProtection="1">
      <alignment horizontal="left" shrinkToFit="1"/>
      <protection locked="0"/>
    </xf>
    <xf numFmtId="49" fontId="52" fillId="0" borderId="0" xfId="15" applyNumberFormat="1" applyFont="1" applyFill="1" applyBorder="1" applyAlignment="1" applyProtection="1">
      <alignment horizontal="left" shrinkToFit="1"/>
      <protection locked="0"/>
    </xf>
    <xf numFmtId="49" fontId="52" fillId="0" borderId="4" xfId="15" applyNumberFormat="1" applyFont="1" applyFill="1" applyBorder="1" applyAlignment="1" applyProtection="1">
      <alignment horizontal="left" shrinkToFit="1"/>
      <protection locked="0"/>
    </xf>
    <xf numFmtId="49" fontId="32" fillId="0" borderId="0" xfId="0" applyNumberFormat="1" applyFont="1" applyFill="1" applyAlignment="1" applyProtection="1">
      <alignment horizontal="left" shrinkToFit="1"/>
      <protection locked="0"/>
    </xf>
    <xf numFmtId="0" fontId="5" fillId="0" borderId="0" xfId="15" applyBorder="1" applyAlignment="1">
      <alignment horizontal="right" wrapText="1"/>
    </xf>
    <xf numFmtId="49" fontId="0" fillId="4" borderId="45" xfId="18" applyNumberFormat="1" applyFont="1" applyBorder="1" applyAlignment="1" applyProtection="1">
      <alignment horizontal="right" vertical="top" wrapText="1"/>
      <protection locked="0"/>
    </xf>
    <xf numFmtId="49" fontId="18" fillId="4" borderId="33" xfId="18" applyNumberFormat="1" applyFont="1" applyBorder="1" applyAlignment="1" applyProtection="1">
      <alignment horizontal="right" vertical="top" wrapText="1"/>
      <protection locked="0"/>
    </xf>
    <xf numFmtId="0" fontId="77" fillId="4" borderId="8" xfId="18" applyFont="1" applyAlignment="1" applyProtection="1">
      <alignment horizontal="right" wrapText="1"/>
      <protection locked="0"/>
    </xf>
    <xf numFmtId="0" fontId="0" fillId="0" borderId="0" xfId="0" applyBorder="1" applyAlignment="1">
      <alignment horizontal="right"/>
    </xf>
    <xf numFmtId="0" fontId="18" fillId="0" borderId="0" xfId="0" applyFont="1" applyAlignment="1">
      <alignment horizontal="center" vertical="center" wrapText="1"/>
    </xf>
    <xf numFmtId="49" fontId="94" fillId="0" borderId="2" xfId="17" applyNumberFormat="1" applyFont="1" applyAlignment="1"/>
    <xf numFmtId="0" fontId="94" fillId="0" borderId="2" xfId="17" applyFont="1" applyAlignment="1">
      <alignment wrapText="1"/>
    </xf>
    <xf numFmtId="0" fontId="86" fillId="15" borderId="0" xfId="0" applyFont="1" applyFill="1"/>
    <xf numFmtId="0" fontId="94" fillId="0" borderId="2" xfId="17" applyFont="1" applyAlignment="1">
      <alignment horizontal="left" wrapText="1"/>
    </xf>
    <xf numFmtId="0" fontId="18" fillId="0" borderId="0" xfId="0" applyFont="1" applyAlignment="1">
      <alignment horizontal="right" vertical="top" wrapText="1"/>
    </xf>
    <xf numFmtId="0" fontId="18" fillId="0" borderId="0" xfId="0" applyFont="1" applyAlignment="1">
      <alignment horizontal="right" vertical="center" wrapText="1"/>
    </xf>
    <xf numFmtId="0" fontId="96" fillId="0" borderId="53" xfId="0" applyFont="1" applyBorder="1" applyAlignment="1">
      <alignment horizontal="right" wrapText="1"/>
    </xf>
    <xf numFmtId="0" fontId="100" fillId="0" borderId="0" xfId="0" applyFont="1" applyFill="1"/>
    <xf numFmtId="8" fontId="100" fillId="17" borderId="0" xfId="0" applyNumberFormat="1" applyFont="1" applyFill="1"/>
    <xf numFmtId="0" fontId="38" fillId="0" borderId="7" xfId="0" quotePrefix="1" applyFont="1" applyBorder="1" applyAlignment="1">
      <alignment horizontal="left" vertical="top"/>
    </xf>
    <xf numFmtId="8" fontId="11" fillId="0" borderId="0" xfId="0" applyNumberFormat="1" applyFont="1" applyFill="1"/>
    <xf numFmtId="0" fontId="11" fillId="18" borderId="0" xfId="0" applyFont="1" applyFill="1"/>
    <xf numFmtId="0" fontId="25" fillId="18" borderId="0" xfId="0" applyFont="1" applyFill="1"/>
    <xf numFmtId="0" fontId="11" fillId="0" borderId="0" xfId="0" applyFont="1" applyAlignment="1">
      <alignment horizontal="left" vertical="top"/>
    </xf>
    <xf numFmtId="0" fontId="11" fillId="0" borderId="0" xfId="0" applyFont="1" applyBorder="1" applyAlignment="1">
      <alignment horizontal="left" vertical="top"/>
    </xf>
    <xf numFmtId="0" fontId="27" fillId="0" borderId="0" xfId="0" applyFont="1" applyAlignment="1">
      <alignment horizontal="left"/>
    </xf>
    <xf numFmtId="0" fontId="11" fillId="0" borderId="0" xfId="0" applyFont="1" applyFill="1" applyAlignment="1">
      <alignment horizontal="left" vertical="top"/>
    </xf>
    <xf numFmtId="0" fontId="11" fillId="0" borderId="0" xfId="0" applyFont="1" applyFill="1" applyBorder="1" applyAlignment="1">
      <alignment horizontal="left" vertical="top"/>
    </xf>
    <xf numFmtId="0" fontId="11" fillId="18" borderId="0" xfId="0" applyFont="1" applyFill="1" applyBorder="1" applyAlignment="1">
      <alignment horizontal="left" vertical="top"/>
    </xf>
    <xf numFmtId="0" fontId="38" fillId="0" borderId="7" xfId="15" quotePrefix="1" applyFont="1" applyBorder="1" applyAlignment="1">
      <alignment horizontal="left" vertical="center"/>
    </xf>
    <xf numFmtId="0" fontId="5" fillId="0" borderId="0" xfId="0" applyNumberFormat="1" applyFont="1" applyFill="1" applyBorder="1" applyAlignment="1" applyProtection="1">
      <alignment horizontal="left" vertical="center"/>
    </xf>
    <xf numFmtId="49" fontId="5" fillId="0" borderId="32" xfId="0" applyNumberFormat="1" applyFont="1" applyFill="1" applyBorder="1" applyAlignment="1">
      <alignment horizontal="right" vertical="center"/>
    </xf>
    <xf numFmtId="0" fontId="5" fillId="0" borderId="5" xfId="0" applyFont="1" applyFill="1" applyBorder="1" applyAlignment="1" applyProtection="1">
      <alignment horizontal="left" vertical="center"/>
      <protection locked="0"/>
    </xf>
    <xf numFmtId="0" fontId="5" fillId="0" borderId="5" xfId="0" applyFont="1" applyFill="1" applyBorder="1" applyAlignment="1" applyProtection="1">
      <alignment horizontal="left"/>
      <protection locked="0"/>
    </xf>
    <xf numFmtId="0" fontId="5" fillId="0" borderId="39" xfId="0" applyFont="1" applyFill="1" applyBorder="1" applyAlignment="1">
      <alignment horizontal="right" vertical="center"/>
    </xf>
    <xf numFmtId="49" fontId="5" fillId="0" borderId="32" xfId="0" applyNumberFormat="1" applyFont="1" applyFill="1" applyBorder="1" applyAlignment="1">
      <alignment horizontal="left" vertical="center"/>
    </xf>
    <xf numFmtId="0" fontId="5" fillId="0" borderId="32" xfId="0" applyFont="1" applyFill="1" applyBorder="1" applyAlignment="1">
      <alignment horizontal="left" vertical="center"/>
    </xf>
    <xf numFmtId="0" fontId="5" fillId="0" borderId="32" xfId="0" applyFont="1" applyFill="1" applyBorder="1" applyAlignment="1">
      <alignment horizontal="center" vertical="center"/>
    </xf>
    <xf numFmtId="0" fontId="30" fillId="0" borderId="0" xfId="0" applyFont="1" applyFill="1" applyProtection="1">
      <protection locked="0"/>
    </xf>
    <xf numFmtId="49" fontId="30" fillId="0" borderId="0" xfId="0" applyNumberFormat="1" applyFont="1" applyFill="1" applyAlignment="1" applyProtection="1">
      <alignment horizontal="left" vertical="center" shrinkToFit="1"/>
      <protection locked="0"/>
    </xf>
    <xf numFmtId="49" fontId="30" fillId="0" borderId="0" xfId="0" applyNumberFormat="1" applyFont="1" applyFill="1" applyAlignment="1" applyProtection="1">
      <alignment vertical="center" shrinkToFit="1"/>
      <protection locked="0"/>
    </xf>
    <xf numFmtId="0" fontId="5" fillId="0" borderId="0" xfId="0" applyFont="1" applyFill="1" applyBorder="1" applyAlignment="1">
      <alignment horizontal="left" vertical="center"/>
    </xf>
    <xf numFmtId="49" fontId="30" fillId="0" borderId="0" xfId="15" applyNumberFormat="1" applyFont="1" applyFill="1" applyBorder="1" applyAlignment="1" applyProtection="1">
      <alignment horizontal="left" vertical="center" shrinkToFit="1"/>
      <protection locked="0"/>
    </xf>
    <xf numFmtId="49" fontId="5" fillId="0" borderId="0" xfId="0" applyNumberFormat="1" applyFont="1" applyFill="1" applyAlignment="1">
      <alignment horizontal="center"/>
    </xf>
    <xf numFmtId="0" fontId="30" fillId="0" borderId="0" xfId="0" applyFont="1"/>
    <xf numFmtId="49" fontId="30" fillId="0" borderId="0" xfId="0" applyNumberFormat="1" applyFont="1" applyFill="1" applyAlignment="1" applyProtection="1">
      <alignment horizontal="center" vertical="center" shrinkToFit="1"/>
      <protection locked="0"/>
    </xf>
    <xf numFmtId="0" fontId="5" fillId="0" borderId="0" xfId="0" applyNumberFormat="1" applyFont="1" applyFill="1" applyBorder="1" applyAlignment="1" applyProtection="1">
      <alignment horizontal="right" vertical="center"/>
    </xf>
    <xf numFmtId="49" fontId="30" fillId="0" borderId="0" xfId="15" applyNumberFormat="1" applyFont="1" applyFill="1" applyAlignment="1" applyProtection="1">
      <alignment horizontal="right" vertical="center" shrinkToFit="1"/>
      <protection locked="0"/>
    </xf>
    <xf numFmtId="0" fontId="30" fillId="0" borderId="0" xfId="0" applyFont="1" applyFill="1" applyAlignment="1" applyProtection="1">
      <alignment horizontal="right"/>
      <protection locked="0"/>
    </xf>
    <xf numFmtId="0" fontId="5" fillId="0" borderId="0" xfId="0" applyFont="1" applyFill="1" applyAlignment="1">
      <alignment horizontal="center"/>
    </xf>
    <xf numFmtId="0" fontId="99" fillId="0" borderId="0" xfId="0" applyFont="1" applyFill="1" applyProtection="1">
      <protection locked="0"/>
    </xf>
    <xf numFmtId="49" fontId="83" fillId="0" borderId="0" xfId="0" applyNumberFormat="1" applyFont="1" applyFill="1" applyAlignment="1" applyProtection="1">
      <alignment horizontal="left" shrinkToFit="1"/>
      <protection locked="0"/>
    </xf>
    <xf numFmtId="49" fontId="101" fillId="0" borderId="0" xfId="0" applyNumberFormat="1" applyFont="1" applyFill="1" applyAlignment="1" applyProtection="1">
      <alignment horizontal="left" shrinkToFit="1"/>
      <protection locked="0"/>
    </xf>
    <xf numFmtId="49" fontId="101" fillId="0" borderId="0" xfId="0" applyNumberFormat="1" applyFont="1" applyFill="1" applyAlignment="1" applyProtection="1">
      <alignment shrinkToFit="1"/>
      <protection locked="0"/>
    </xf>
    <xf numFmtId="49" fontId="101" fillId="0" borderId="7" xfId="0" applyNumberFormat="1" applyFont="1" applyFill="1" applyBorder="1" applyAlignment="1" applyProtection="1">
      <alignment horizontal="left" shrinkToFit="1"/>
      <protection locked="0"/>
    </xf>
    <xf numFmtId="49" fontId="101" fillId="0" borderId="7" xfId="0" applyNumberFormat="1" applyFont="1" applyFill="1" applyBorder="1" applyAlignment="1" applyProtection="1">
      <alignment shrinkToFit="1"/>
      <protection locked="0"/>
    </xf>
    <xf numFmtId="0" fontId="102" fillId="0" borderId="7" xfId="0" applyFont="1" applyBorder="1" applyAlignment="1">
      <alignment horizontal="left" vertical="top"/>
    </xf>
    <xf numFmtId="49" fontId="103" fillId="0" borderId="0" xfId="15" applyNumberFormat="1" applyFont="1" applyFill="1" applyBorder="1" applyAlignment="1" applyProtection="1">
      <alignment horizontal="left" shrinkToFit="1"/>
      <protection locked="0"/>
    </xf>
    <xf numFmtId="0" fontId="18" fillId="19" borderId="21" xfId="0" applyFont="1" applyFill="1" applyBorder="1" applyAlignment="1">
      <alignment vertical="top"/>
    </xf>
    <xf numFmtId="0" fontId="36" fillId="19" borderId="21" xfId="0" applyFont="1" applyFill="1" applyBorder="1"/>
    <xf numFmtId="0" fontId="18" fillId="19" borderId="21" xfId="0" applyFont="1" applyFill="1" applyBorder="1"/>
    <xf numFmtId="0" fontId="0" fillId="19" borderId="0" xfId="0" applyFill="1"/>
    <xf numFmtId="0" fontId="36" fillId="19" borderId="21" xfId="0" applyFont="1" applyFill="1" applyBorder="1" applyAlignment="1">
      <alignment horizontal="left" vertical="top"/>
    </xf>
    <xf numFmtId="0" fontId="39" fillId="19" borderId="21" xfId="11" applyFont="1" applyFill="1" applyBorder="1" applyAlignment="1">
      <alignment horizontal="left" vertical="top"/>
    </xf>
    <xf numFmtId="0" fontId="36" fillId="19" borderId="21" xfId="0" applyFont="1" applyFill="1" applyBorder="1" applyAlignment="1">
      <alignment horizontal="left"/>
    </xf>
    <xf numFmtId="0" fontId="18" fillId="19" borderId="21" xfId="0" applyFont="1" applyFill="1" applyBorder="1" applyAlignment="1">
      <alignment horizontal="left" vertical="top"/>
    </xf>
    <xf numFmtId="0" fontId="67" fillId="19" borderId="21" xfId="0" applyFont="1" applyFill="1" applyBorder="1" applyAlignment="1">
      <alignment horizontal="left" vertical="top"/>
    </xf>
    <xf numFmtId="0" fontId="36" fillId="19" borderId="15" xfId="0" applyFont="1" applyFill="1" applyBorder="1" applyAlignment="1">
      <alignment horizontal="left" vertical="top"/>
    </xf>
    <xf numFmtId="0" fontId="68" fillId="19" borderId="21" xfId="0" applyFont="1" applyFill="1" applyBorder="1" applyAlignment="1">
      <alignment horizontal="left" vertical="top"/>
    </xf>
    <xf numFmtId="49" fontId="39" fillId="19" borderId="21" xfId="11" applyNumberFormat="1" applyFont="1" applyFill="1" applyBorder="1" applyAlignment="1">
      <alignment horizontal="left" vertical="top"/>
    </xf>
    <xf numFmtId="0" fontId="0" fillId="19" borderId="21" xfId="0" applyFill="1" applyBorder="1" applyAlignment="1">
      <alignment vertical="top"/>
    </xf>
    <xf numFmtId="0" fontId="55" fillId="20" borderId="4" xfId="0" applyFont="1" applyFill="1" applyBorder="1" applyAlignment="1">
      <alignment horizontal="left"/>
    </xf>
    <xf numFmtId="0" fontId="58" fillId="0" borderId="4" xfId="15" applyNumberFormat="1" applyFont="1" applyBorder="1" applyAlignment="1">
      <alignment horizontal="left" vertical="top"/>
    </xf>
    <xf numFmtId="0" fontId="5" fillId="0" borderId="0" xfId="15" applyFont="1" applyFill="1"/>
    <xf numFmtId="0" fontId="5" fillId="0" borderId="0" xfId="15" applyFont="1" applyFill="1" applyBorder="1"/>
    <xf numFmtId="0" fontId="104" fillId="0" borderId="0" xfId="0" applyFont="1"/>
    <xf numFmtId="0" fontId="67" fillId="21" borderId="21" xfId="0" applyFont="1" applyFill="1" applyBorder="1" applyAlignment="1">
      <alignment horizontal="left" vertical="top"/>
    </xf>
    <xf numFmtId="0" fontId="27" fillId="0" borderId="0" xfId="0" applyFont="1" applyAlignment="1">
      <alignment horizontal="center" vertical="center"/>
    </xf>
    <xf numFmtId="0" fontId="5" fillId="0" borderId="0" xfId="15" quotePrefix="1" applyFont="1" applyFill="1"/>
    <xf numFmtId="0" fontId="105" fillId="0" borderId="0" xfId="0" applyFont="1"/>
    <xf numFmtId="0" fontId="106" fillId="0" borderId="0" xfId="11" applyFont="1"/>
    <xf numFmtId="49" fontId="30" fillId="0" borderId="0" xfId="0" applyNumberFormat="1" applyFont="1"/>
    <xf numFmtId="49" fontId="66" fillId="0" borderId="0" xfId="0" applyNumberFormat="1" applyFont="1"/>
    <xf numFmtId="49" fontId="66" fillId="0" borderId="12" xfId="0" applyNumberFormat="1" applyFont="1" applyBorder="1"/>
    <xf numFmtId="0" fontId="11" fillId="0" borderId="0" xfId="0" applyFont="1" applyAlignment="1">
      <alignment horizontal="center" vertical="center"/>
    </xf>
    <xf numFmtId="0" fontId="107" fillId="0" borderId="0" xfId="0" applyFont="1" applyAlignment="1">
      <alignment horizontal="center" vertical="center"/>
    </xf>
    <xf numFmtId="0" fontId="27" fillId="0" borderId="0" xfId="0" applyFont="1" applyAlignment="1"/>
    <xf numFmtId="0" fontId="11" fillId="0" borderId="0" xfId="0" applyFont="1" applyFill="1" applyBorder="1" applyAlignment="1"/>
    <xf numFmtId="0" fontId="11" fillId="0" borderId="0" xfId="0" applyFont="1" applyFill="1" applyBorder="1" applyAlignment="1">
      <alignment horizontal="left"/>
    </xf>
    <xf numFmtId="0" fontId="25" fillId="0" borderId="0" xfId="0" applyFont="1" applyAlignment="1">
      <alignment horizontal="center"/>
    </xf>
    <xf numFmtId="0" fontId="25" fillId="2" borderId="0" xfId="0" applyFont="1" applyFill="1" applyBorder="1" applyAlignment="1" applyProtection="1">
      <alignment horizontal="left"/>
    </xf>
    <xf numFmtId="0" fontId="25" fillId="2" borderId="0" xfId="0" applyFont="1" applyFill="1"/>
    <xf numFmtId="49" fontId="25" fillId="0" borderId="0" xfId="0" applyNumberFormat="1" applyFont="1"/>
    <xf numFmtId="0" fontId="11" fillId="2" borderId="0" xfId="0" applyFont="1" applyFill="1"/>
    <xf numFmtId="0" fontId="11" fillId="0" borderId="0" xfId="15" applyNumberFormat="1" applyFont="1" applyFill="1" applyBorder="1" applyAlignment="1">
      <alignment horizontal="left" vertical="top"/>
    </xf>
    <xf numFmtId="0" fontId="11" fillId="16" borderId="0" xfId="0" applyFont="1" applyFill="1" applyBorder="1"/>
    <xf numFmtId="16" fontId="11" fillId="0" borderId="0" xfId="0" quotePrefix="1" applyNumberFormat="1" applyFont="1"/>
    <xf numFmtId="0" fontId="61" fillId="0" borderId="0" xfId="0" applyFont="1"/>
    <xf numFmtId="0" fontId="5" fillId="2" borderId="0" xfId="15" applyFont="1" applyFill="1"/>
    <xf numFmtId="0" fontId="5" fillId="18" borderId="0" xfId="15" applyFont="1" applyFill="1"/>
    <xf numFmtId="0" fontId="61" fillId="0" borderId="0" xfId="0" applyFont="1" applyBorder="1"/>
    <xf numFmtId="0" fontId="23" fillId="0" borderId="0" xfId="11" applyFont="1"/>
    <xf numFmtId="0" fontId="11" fillId="0" borderId="0" xfId="11" applyFont="1" applyFill="1" applyBorder="1"/>
    <xf numFmtId="0" fontId="5" fillId="0" borderId="0" xfId="15" quotePrefix="1" applyFont="1"/>
    <xf numFmtId="49" fontId="61" fillId="0" borderId="0" xfId="0" applyNumberFormat="1" applyFont="1" applyBorder="1"/>
    <xf numFmtId="8" fontId="11" fillId="0" borderId="0" xfId="0" applyNumberFormat="1" applyFont="1"/>
    <xf numFmtId="0" fontId="58" fillId="0" borderId="0" xfId="0" applyFont="1"/>
    <xf numFmtId="0" fontId="27" fillId="0" borderId="0" xfId="0" applyFont="1"/>
    <xf numFmtId="0" fontId="58" fillId="0" borderId="0" xfId="0" applyFont="1" applyAlignment="1">
      <alignment horizontal="center"/>
    </xf>
    <xf numFmtId="0" fontId="108" fillId="0" borderId="0" xfId="0" applyFont="1"/>
    <xf numFmtId="0" fontId="25" fillId="16" borderId="0" xfId="0" applyFont="1" applyFill="1"/>
    <xf numFmtId="0" fontId="5" fillId="0" borderId="11" xfId="15" applyFont="1" applyBorder="1"/>
    <xf numFmtId="0" fontId="109" fillId="0" borderId="0" xfId="0" applyFont="1"/>
    <xf numFmtId="49" fontId="25" fillId="2" borderId="0" xfId="0" applyNumberFormat="1" applyFont="1" applyFill="1"/>
    <xf numFmtId="0" fontId="110" fillId="0" borderId="0" xfId="0" applyFont="1" applyAlignment="1">
      <alignment horizontal="left" vertical="top"/>
    </xf>
    <xf numFmtId="0" fontId="11" fillId="0" borderId="0" xfId="0" applyFont="1" applyAlignment="1">
      <alignment horizontal="center"/>
    </xf>
    <xf numFmtId="0" fontId="10" fillId="0" borderId="0" xfId="0" applyFont="1" applyAlignment="1">
      <alignment horizontal="center"/>
    </xf>
    <xf numFmtId="0" fontId="48" fillId="0" borderId="0" xfId="0" applyFont="1"/>
    <xf numFmtId="0" fontId="13" fillId="0" borderId="0" xfId="0" applyFont="1"/>
    <xf numFmtId="49" fontId="25" fillId="16" borderId="0" xfId="0" applyNumberFormat="1" applyFont="1" applyFill="1"/>
    <xf numFmtId="0" fontId="27" fillId="0" borderId="0" xfId="0" applyFont="1" applyFill="1"/>
    <xf numFmtId="0" fontId="11" fillId="18" borderId="0" xfId="0" applyFont="1" applyFill="1" applyAlignment="1">
      <alignment wrapText="1"/>
    </xf>
    <xf numFmtId="0" fontId="49" fillId="0" borderId="0" xfId="0" applyFont="1"/>
    <xf numFmtId="0" fontId="30" fillId="2" borderId="0" xfId="0" applyFont="1" applyFill="1"/>
    <xf numFmtId="0" fontId="25" fillId="0" borderId="0" xfId="0" applyFont="1" applyFill="1"/>
    <xf numFmtId="49" fontId="25" fillId="0" borderId="0" xfId="0" applyNumberFormat="1" applyFont="1" applyFill="1"/>
    <xf numFmtId="0" fontId="25" fillId="0" borderId="0" xfId="0" applyFont="1" applyBorder="1"/>
    <xf numFmtId="0" fontId="25" fillId="0" borderId="0" xfId="0" applyFont="1" applyFill="1" applyBorder="1"/>
    <xf numFmtId="0" fontId="25" fillId="2" borderId="0" xfId="0" applyFont="1" applyFill="1" applyBorder="1"/>
    <xf numFmtId="0" fontId="25" fillId="0" borderId="11" xfId="0" applyFont="1" applyBorder="1"/>
    <xf numFmtId="0" fontId="25" fillId="0" borderId="55" xfId="0" applyFont="1" applyBorder="1"/>
    <xf numFmtId="0" fontId="107" fillId="0" borderId="0" xfId="0" applyFont="1" applyAlignment="1">
      <alignment horizontal="left" vertical="center"/>
    </xf>
    <xf numFmtId="0" fontId="112" fillId="0" borderId="0" xfId="0" applyFont="1" applyAlignment="1">
      <alignment horizontal="center"/>
    </xf>
    <xf numFmtId="0" fontId="107" fillId="0" borderId="0" xfId="0" applyFont="1"/>
    <xf numFmtId="0" fontId="107" fillId="0" borderId="0" xfId="0" applyFont="1" applyAlignment="1">
      <alignment vertical="center"/>
    </xf>
    <xf numFmtId="0" fontId="111" fillId="0" borderId="0" xfId="0" applyFont="1" applyAlignment="1">
      <alignment horizontal="left" vertical="top"/>
    </xf>
    <xf numFmtId="0" fontId="27" fillId="16" borderId="0" xfId="0" applyFont="1" applyFill="1" applyBorder="1"/>
    <xf numFmtId="0" fontId="37" fillId="0" borderId="0" xfId="55" applyFont="1" applyFill="1" applyBorder="1"/>
    <xf numFmtId="0" fontId="0" fillId="0" borderId="0" xfId="15" applyFont="1" applyAlignment="1" applyProtection="1">
      <alignment vertical="top" wrapText="1"/>
    </xf>
    <xf numFmtId="0" fontId="8" fillId="4" borderId="8" xfId="18" applyBorder="1" applyAlignment="1" applyProtection="1">
      <alignment horizontal="left" vertical="top" wrapText="1"/>
      <protection locked="0"/>
    </xf>
    <xf numFmtId="0" fontId="8" fillId="4" borderId="40" xfId="18" applyBorder="1" applyAlignment="1" applyProtection="1">
      <alignment horizontal="left" vertical="top" wrapText="1"/>
      <protection locked="0"/>
    </xf>
    <xf numFmtId="0" fontId="0" fillId="8" borderId="23" xfId="95" applyFont="1" applyBorder="1" applyAlignment="1" applyProtection="1">
      <alignment horizontal="left" vertical="top" wrapText="1"/>
      <protection locked="0"/>
    </xf>
    <xf numFmtId="0" fontId="0" fillId="8" borderId="30" xfId="95" applyFont="1" applyBorder="1" applyAlignment="1" applyProtection="1">
      <alignment horizontal="left" vertical="top" wrapText="1"/>
      <protection locked="0"/>
    </xf>
    <xf numFmtId="49" fontId="0" fillId="0" borderId="0" xfId="0" applyNumberFormat="1" applyAlignment="1">
      <alignment horizontal="left" wrapText="1"/>
    </xf>
    <xf numFmtId="0" fontId="2" fillId="0" borderId="0" xfId="11" applyAlignment="1">
      <alignment horizontal="left"/>
    </xf>
    <xf numFmtId="0" fontId="0" fillId="0" borderId="0" xfId="0" applyAlignment="1">
      <alignment horizontal="left"/>
    </xf>
    <xf numFmtId="49" fontId="2" fillId="0" borderId="0" xfId="11" applyNumberFormat="1" applyAlignment="1">
      <alignment horizontal="left" vertical="top" wrapText="1"/>
    </xf>
    <xf numFmtId="0" fontId="0" fillId="0" borderId="42" xfId="0" applyFont="1" applyBorder="1" applyAlignment="1">
      <alignment horizontal="left" wrapText="1"/>
    </xf>
    <xf numFmtId="0" fontId="0" fillId="0" borderId="0" xfId="0" applyFont="1" applyAlignment="1">
      <alignment horizontal="left" wrapText="1"/>
    </xf>
    <xf numFmtId="0" fontId="0" fillId="0" borderId="0" xfId="0" applyFont="1" applyBorder="1" applyAlignment="1">
      <alignment horizontal="left" wrapText="1"/>
    </xf>
    <xf numFmtId="49" fontId="0" fillId="0" borderId="0" xfId="0" applyNumberFormat="1" applyAlignment="1">
      <alignment horizontal="left" vertical="top" wrapText="1"/>
    </xf>
    <xf numFmtId="0" fontId="5" fillId="0" borderId="0" xfId="15" applyAlignment="1">
      <alignment horizontal="left" vertical="top" wrapText="1"/>
    </xf>
    <xf numFmtId="0" fontId="5" fillId="0" borderId="0" xfId="15" applyAlignment="1">
      <alignment horizontal="left" vertical="top"/>
    </xf>
    <xf numFmtId="0" fontId="0" fillId="8" borderId="26" xfId="95" applyFont="1" applyBorder="1" applyAlignment="1" applyProtection="1">
      <alignment horizontal="left" vertical="top" wrapText="1"/>
      <protection locked="0"/>
    </xf>
    <xf numFmtId="49" fontId="0" fillId="8" borderId="23" xfId="95" applyNumberFormat="1" applyFont="1" applyBorder="1" applyAlignment="1" applyProtection="1">
      <alignment horizontal="left" vertical="top" wrapText="1"/>
      <protection locked="0"/>
    </xf>
    <xf numFmtId="49" fontId="0" fillId="8" borderId="26" xfId="95" applyNumberFormat="1" applyFont="1" applyBorder="1" applyAlignment="1" applyProtection="1">
      <alignment horizontal="left" vertical="top" wrapText="1"/>
      <protection locked="0"/>
    </xf>
    <xf numFmtId="49" fontId="0" fillId="8" borderId="24" xfId="95" applyNumberFormat="1" applyFont="1" applyBorder="1" applyAlignment="1" applyProtection="1">
      <alignment horizontal="left" vertical="top" wrapText="1"/>
      <protection locked="0"/>
    </xf>
    <xf numFmtId="0" fontId="0" fillId="8" borderId="24" xfId="95" applyFont="1" applyBorder="1" applyAlignment="1" applyProtection="1">
      <alignment horizontal="left" vertical="top" wrapText="1"/>
      <protection locked="0"/>
    </xf>
    <xf numFmtId="0" fontId="46" fillId="9" borderId="27" xfId="105" applyBorder="1" applyAlignment="1">
      <alignment horizontal="left" vertical="top" wrapText="1"/>
    </xf>
    <xf numFmtId="0" fontId="46" fillId="9" borderId="28" xfId="105" applyBorder="1" applyAlignment="1">
      <alignment horizontal="left" vertical="top" wrapText="1"/>
    </xf>
    <xf numFmtId="49" fontId="0" fillId="8" borderId="30" xfId="95" applyNumberFormat="1" applyFont="1" applyBorder="1" applyAlignment="1" applyProtection="1">
      <alignment horizontal="left" vertical="top" wrapText="1"/>
      <protection locked="0"/>
    </xf>
    <xf numFmtId="0" fontId="5" fillId="0" borderId="0" xfId="15" applyAlignment="1">
      <alignment horizontal="right" wrapText="1"/>
    </xf>
    <xf numFmtId="167" fontId="84" fillId="4" borderId="8" xfId="18" applyNumberFormat="1" applyFont="1" applyAlignment="1" applyProtection="1">
      <alignment horizontal="right" vertical="top" wrapText="1"/>
      <protection locked="0"/>
    </xf>
    <xf numFmtId="0" fontId="84" fillId="4" borderId="8" xfId="18" applyFont="1" applyAlignment="1" applyProtection="1">
      <alignment horizontal="right" vertical="top" wrapText="1"/>
      <protection locked="0"/>
    </xf>
    <xf numFmtId="49" fontId="0" fillId="8" borderId="23" xfId="95" applyNumberFormat="1" applyFont="1" applyBorder="1" applyAlignment="1" applyProtection="1">
      <alignment horizontal="left" vertical="center" wrapText="1"/>
      <protection locked="0"/>
    </xf>
    <xf numFmtId="49" fontId="0" fillId="8" borderId="24" xfId="95" applyNumberFormat="1" applyFont="1" applyBorder="1" applyAlignment="1" applyProtection="1">
      <alignment horizontal="left" vertical="center" wrapText="1"/>
      <protection locked="0"/>
    </xf>
    <xf numFmtId="0" fontId="8" fillId="4" borderId="42" xfId="18" applyBorder="1" applyAlignment="1" applyProtection="1">
      <alignment horizontal="left" vertical="top" wrapText="1"/>
      <protection locked="0"/>
    </xf>
    <xf numFmtId="0" fontId="8" fillId="4" borderId="56" xfId="18" applyBorder="1" applyAlignment="1" applyProtection="1">
      <alignment horizontal="left" vertical="top" wrapText="1"/>
      <protection locked="0"/>
    </xf>
    <xf numFmtId="49" fontId="73" fillId="10" borderId="0" xfId="0" applyNumberFormat="1" applyFont="1" applyFill="1" applyBorder="1" applyAlignment="1">
      <alignment horizontal="left" vertical="top" wrapText="1"/>
    </xf>
    <xf numFmtId="0" fontId="73" fillId="10" borderId="0" xfId="0" applyNumberFormat="1" applyFont="1" applyFill="1" applyBorder="1" applyAlignment="1">
      <alignment horizontal="left" vertical="top" wrapText="1"/>
    </xf>
    <xf numFmtId="0" fontId="73" fillId="10" borderId="43" xfId="0" applyNumberFormat="1" applyFont="1" applyFill="1" applyBorder="1" applyAlignment="1">
      <alignment horizontal="left" vertical="top" wrapText="1"/>
    </xf>
    <xf numFmtId="49" fontId="0" fillId="8" borderId="26" xfId="95" applyNumberFormat="1" applyFont="1" applyBorder="1" applyAlignment="1" applyProtection="1">
      <alignment horizontal="left" vertical="center" wrapText="1"/>
      <protection locked="0"/>
    </xf>
    <xf numFmtId="49" fontId="72" fillId="10" borderId="38" xfId="0" applyNumberFormat="1" applyFont="1" applyFill="1" applyBorder="1" applyAlignment="1">
      <alignment horizontal="center" vertical="top" wrapText="1"/>
    </xf>
    <xf numFmtId="49" fontId="72" fillId="10" borderId="0" xfId="0" applyNumberFormat="1" applyFont="1" applyFill="1" applyBorder="1" applyAlignment="1">
      <alignment horizontal="center" vertical="top" wrapText="1"/>
    </xf>
    <xf numFmtId="49" fontId="43" fillId="0" borderId="36" xfId="0" applyNumberFormat="1" applyFont="1" applyBorder="1" applyAlignment="1">
      <alignment horizontal="left" vertical="top" wrapText="1"/>
    </xf>
    <xf numFmtId="49" fontId="43" fillId="0" borderId="0" xfId="0" applyNumberFormat="1" applyFont="1" applyAlignment="1">
      <alignment horizontal="left" vertical="top" wrapText="1"/>
    </xf>
    <xf numFmtId="49" fontId="44" fillId="0" borderId="35" xfId="0" applyNumberFormat="1" applyFont="1" applyBorder="1" applyAlignment="1">
      <alignment horizontal="left" vertical="top" wrapText="1"/>
    </xf>
    <xf numFmtId="49" fontId="44" fillId="0" borderId="0" xfId="0" applyNumberFormat="1" applyFont="1" applyAlignment="1">
      <alignment horizontal="left" vertical="top" wrapText="1"/>
    </xf>
    <xf numFmtId="49" fontId="34" fillId="0" borderId="0" xfId="0" applyNumberFormat="1" applyFont="1" applyBorder="1" applyAlignment="1">
      <alignment horizontal="left" vertical="center" wrapText="1"/>
    </xf>
    <xf numFmtId="49" fontId="34" fillId="0" borderId="0" xfId="15" applyNumberFormat="1" applyFont="1" applyBorder="1" applyAlignment="1">
      <alignment horizontal="left" vertical="top" wrapText="1"/>
    </xf>
    <xf numFmtId="0" fontId="80" fillId="12" borderId="16" xfId="55" applyNumberFormat="1" applyFont="1" applyFill="1" applyAlignment="1">
      <alignment horizontal="right" vertical="center" wrapText="1"/>
    </xf>
    <xf numFmtId="49" fontId="74" fillId="0" borderId="15" xfId="15" applyNumberFormat="1" applyFont="1" applyBorder="1" applyAlignment="1">
      <alignment horizontal="left" vertical="top" wrapText="1"/>
    </xf>
    <xf numFmtId="49" fontId="74" fillId="0" borderId="0" xfId="15" applyNumberFormat="1" applyFont="1" applyBorder="1" applyAlignment="1">
      <alignment horizontal="left" vertical="top" wrapText="1"/>
    </xf>
    <xf numFmtId="0" fontId="95" fillId="0" borderId="16" xfId="55" applyFont="1" applyAlignment="1">
      <alignment wrapText="1"/>
    </xf>
    <xf numFmtId="0" fontId="77" fillId="4" borderId="42" xfId="18" applyFont="1" applyBorder="1" applyAlignment="1" applyProtection="1">
      <alignment horizontal="center" vertical="top" wrapText="1"/>
      <protection locked="0"/>
    </xf>
    <xf numFmtId="0" fontId="77" fillId="4" borderId="0" xfId="18" applyFont="1" applyBorder="1" applyAlignment="1" applyProtection="1">
      <alignment horizontal="center" vertical="top" wrapText="1"/>
      <protection locked="0"/>
    </xf>
    <xf numFmtId="0" fontId="0" fillId="4" borderId="9" xfId="18" applyFont="1" applyBorder="1" applyAlignment="1" applyProtection="1">
      <alignment horizontal="left" vertical="top" wrapText="1"/>
      <protection locked="0"/>
    </xf>
    <xf numFmtId="0" fontId="0" fillId="4" borderId="10" xfId="18" applyFont="1" applyBorder="1" applyAlignment="1" applyProtection="1">
      <alignment horizontal="left" vertical="top" wrapText="1"/>
      <protection locked="0"/>
    </xf>
    <xf numFmtId="0" fontId="0" fillId="4" borderId="31" xfId="18" applyFont="1" applyBorder="1" applyAlignment="1" applyProtection="1">
      <alignment horizontal="left" vertical="top" wrapText="1"/>
      <protection locked="0"/>
    </xf>
    <xf numFmtId="0" fontId="46" fillId="9" borderId="25" xfId="105" applyAlignment="1" applyProtection="1">
      <alignment horizontal="left" vertical="top" wrapText="1"/>
    </xf>
    <xf numFmtId="0" fontId="8" fillId="4" borderId="9" xfId="18" applyBorder="1" applyAlignment="1" applyProtection="1">
      <alignment horizontal="left" vertical="top" wrapText="1"/>
      <protection locked="0"/>
    </xf>
    <xf numFmtId="0" fontId="8" fillId="4" borderId="10" xfId="18" applyBorder="1" applyAlignment="1" applyProtection="1">
      <alignment horizontal="left" vertical="top" wrapText="1"/>
      <protection locked="0"/>
    </xf>
    <xf numFmtId="0" fontId="8" fillId="4" borderId="41" xfId="18" applyBorder="1" applyAlignment="1" applyProtection="1">
      <alignment horizontal="left" vertical="top" wrapText="1"/>
      <protection locked="0"/>
    </xf>
    <xf numFmtId="0" fontId="0" fillId="8" borderId="34" xfId="95" applyFont="1" applyBorder="1" applyAlignment="1" applyProtection="1">
      <alignment horizontal="left" vertical="top" wrapText="1"/>
      <protection locked="0"/>
    </xf>
    <xf numFmtId="0" fontId="0" fillId="8" borderId="22" xfId="95" applyFont="1" applyBorder="1" applyAlignment="1" applyProtection="1">
      <alignment horizontal="left" vertical="top" wrapText="1"/>
      <protection locked="0"/>
    </xf>
    <xf numFmtId="0" fontId="0" fillId="8" borderId="44" xfId="95" applyFont="1" applyBorder="1" applyAlignment="1" applyProtection="1">
      <alignment horizontal="left" vertical="top" wrapText="1"/>
      <protection locked="0"/>
    </xf>
    <xf numFmtId="0" fontId="0" fillId="0" borderId="35" xfId="0" applyFont="1" applyBorder="1" applyAlignment="1">
      <alignment horizontal="center" vertical="top" wrapText="1"/>
    </xf>
    <xf numFmtId="0" fontId="0" fillId="0" borderId="0" xfId="0" applyFont="1" applyAlignment="1">
      <alignment horizontal="center" vertical="top" wrapText="1"/>
    </xf>
    <xf numFmtId="0" fontId="96" fillId="0" borderId="36" xfId="0" applyFont="1" applyBorder="1" applyAlignment="1">
      <alignment horizontal="left" vertical="top" wrapText="1"/>
    </xf>
    <xf numFmtId="0" fontId="96" fillId="0" borderId="0" xfId="0" applyFont="1" applyBorder="1" applyAlignment="1">
      <alignment horizontal="left" vertical="top" wrapText="1"/>
    </xf>
    <xf numFmtId="0" fontId="96" fillId="0" borderId="7" xfId="0" applyFont="1" applyBorder="1" applyAlignment="1">
      <alignment horizontal="left" vertical="top" wrapText="1"/>
    </xf>
    <xf numFmtId="0" fontId="0" fillId="0" borderId="0" xfId="18" applyFont="1" applyFill="1" applyBorder="1" applyAlignment="1">
      <alignment horizontal="center" vertical="center" wrapText="1"/>
    </xf>
    <xf numFmtId="0" fontId="91" fillId="4" borderId="8" xfId="18" applyFont="1" applyAlignment="1" applyProtection="1">
      <alignment horizontal="right" wrapText="1"/>
      <protection locked="0"/>
    </xf>
    <xf numFmtId="0" fontId="0" fillId="0" borderId="0" xfId="15" applyFont="1" applyAlignment="1">
      <alignment horizontal="right" vertical="center" wrapText="1"/>
    </xf>
    <xf numFmtId="49" fontId="41" fillId="0" borderId="0" xfId="11" applyNumberFormat="1" applyFont="1" applyBorder="1" applyAlignment="1">
      <alignment horizontal="center" vertical="top" wrapText="1"/>
    </xf>
    <xf numFmtId="49" fontId="41" fillId="0" borderId="7" xfId="11" applyNumberFormat="1" applyFont="1" applyBorder="1" applyAlignment="1">
      <alignment horizontal="center" vertical="top" wrapText="1"/>
    </xf>
    <xf numFmtId="49" fontId="14" fillId="0" borderId="0" xfId="0" applyNumberFormat="1" applyFont="1" applyBorder="1" applyAlignment="1">
      <alignment horizontal="center" vertical="top" wrapText="1"/>
    </xf>
    <xf numFmtId="49" fontId="14" fillId="0" borderId="7" xfId="0" applyNumberFormat="1" applyFont="1" applyBorder="1" applyAlignment="1">
      <alignment horizontal="center" vertical="top" wrapText="1"/>
    </xf>
    <xf numFmtId="0" fontId="89" fillId="4" borderId="9" xfId="18" applyFont="1" applyBorder="1" applyAlignment="1" applyProtection="1">
      <alignment horizontal="right" vertical="top" wrapText="1"/>
      <protection locked="0"/>
    </xf>
    <xf numFmtId="0" fontId="89" fillId="4" borderId="33" xfId="18" applyFont="1" applyBorder="1" applyAlignment="1" applyProtection="1">
      <alignment horizontal="right" vertical="top" wrapText="1"/>
      <protection locked="0"/>
    </xf>
    <xf numFmtId="0" fontId="107" fillId="0" borderId="0" xfId="0" applyFont="1" applyAlignment="1">
      <alignment horizontal="center" vertical="center"/>
    </xf>
    <xf numFmtId="0" fontId="11" fillId="0" borderId="0" xfId="0" applyFont="1" applyAlignment="1">
      <alignment horizontal="center" vertical="center"/>
    </xf>
    <xf numFmtId="0" fontId="107" fillId="0" borderId="0" xfId="0" applyFont="1" applyAlignment="1">
      <alignment horizontal="center"/>
    </xf>
    <xf numFmtId="0" fontId="11" fillId="0" borderId="0" xfId="0" applyFont="1" applyAlignment="1">
      <alignment horizontal="left" vertical="top" wrapText="1"/>
    </xf>
    <xf numFmtId="49" fontId="107" fillId="18" borderId="0" xfId="0" applyNumberFormat="1" applyFont="1" applyFill="1" applyAlignment="1">
      <alignment horizontal="center"/>
    </xf>
    <xf numFmtId="0" fontId="11" fillId="18" borderId="0" xfId="0" applyFont="1" applyFill="1" applyAlignment="1">
      <alignment horizontal="center"/>
    </xf>
    <xf numFmtId="0" fontId="113" fillId="0" borderId="0" xfId="15" applyFont="1" applyAlignment="1">
      <alignment horizontal="center" vertical="center"/>
    </xf>
    <xf numFmtId="0" fontId="112" fillId="0" borderId="0" xfId="0" applyFont="1" applyAlignment="1">
      <alignment horizontal="center" vertical="center"/>
    </xf>
    <xf numFmtId="0" fontId="112" fillId="0" borderId="0" xfId="0" applyFont="1" applyAlignment="1">
      <alignment horizontal="center" vertical="top"/>
    </xf>
    <xf numFmtId="0" fontId="112" fillId="0" borderId="17" xfId="0" applyFont="1" applyBorder="1" applyAlignment="1">
      <alignment horizontal="center"/>
    </xf>
    <xf numFmtId="0" fontId="17" fillId="16" borderId="0" xfId="0" applyFont="1" applyFill="1" applyAlignment="1">
      <alignment horizontal="center" vertical="center"/>
    </xf>
    <xf numFmtId="0" fontId="22" fillId="0" borderId="50" xfId="0" applyFont="1" applyBorder="1" applyAlignment="1" applyProtection="1">
      <alignment horizontal="center" vertical="center" wrapText="1"/>
      <protection locked="0" hidden="1"/>
    </xf>
    <xf numFmtId="0" fontId="22" fillId="0" borderId="51" xfId="0" applyFont="1" applyBorder="1" applyAlignment="1" applyProtection="1">
      <alignment horizontal="center" vertical="center" wrapText="1"/>
      <protection locked="0" hidden="1"/>
    </xf>
    <xf numFmtId="0" fontId="0" fillId="0" borderId="0" xfId="0" applyFont="1" applyBorder="1" applyAlignment="1" applyProtection="1">
      <alignment vertical="top" wrapText="1"/>
    </xf>
  </cellXfs>
  <cellStyles count="398">
    <cellStyle name="60% - Accent4" xfId="311" builtinId="44"/>
    <cellStyle name="Calculation" xfId="105" builtinId="22"/>
    <cellStyle name="Explanatory Text" xfId="87" builtinId="5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3" builtinId="9" hidden="1"/>
    <cellStyle name="Followed Hyperlink" xfId="14"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8" builtinId="9" hidden="1"/>
    <cellStyle name="Followed Hyperlink" xfId="379" builtinId="9" hidden="1"/>
    <cellStyle name="Followed Hyperlink" xfId="381" builtinId="9" hidden="1"/>
    <cellStyle name="Followed Hyperlink" xfId="382" builtinId="9" hidden="1"/>
    <cellStyle name="Followed Hyperlink" xfId="383" builtinId="9" hidden="1"/>
    <cellStyle name="Followed Hyperlink" xfId="384" builtinId="9" hidden="1"/>
    <cellStyle name="Followed Hyperlink" xfId="385" builtinId="9" hidden="1"/>
    <cellStyle name="Followed Hyperlink" xfId="386" builtinId="9" hidden="1"/>
    <cellStyle name="Followed Hyperlink" xfId="387" builtinId="9" hidden="1"/>
    <cellStyle name="Followed Hyperlink" xfId="388" builtinId="9" hidden="1"/>
    <cellStyle name="Followed Hyperlink" xfId="389" builtinId="9" hidden="1"/>
    <cellStyle name="Followed Hyperlink" xfId="390" builtinId="9" hidden="1"/>
    <cellStyle name="Followed Hyperlink" xfId="391" builtinId="9" hidden="1"/>
    <cellStyle name="Followed Hyperlink" xfId="392" builtinId="9" hidden="1"/>
    <cellStyle name="Followed Hyperlink" xfId="393" builtinId="9" hidden="1"/>
    <cellStyle name="Followed Hyperlink" xfId="394" builtinId="9" hidden="1"/>
    <cellStyle name="Followed Hyperlink" xfId="395" builtinId="9" hidden="1"/>
    <cellStyle name="Followed Hyperlink" xfId="396" builtinId="9" hidden="1"/>
    <cellStyle name="Followed Hyperlink" xfId="397" builtinId="9" hidden="1"/>
    <cellStyle name="Heading 1" xfId="16" builtinId="16"/>
    <cellStyle name="Heading 2" xfId="55" builtinId="17"/>
    <cellStyle name="Heading 3" xfId="17" builtinId="18"/>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cellStyle name="Hyperlink 2" xfId="314"/>
    <cellStyle name="Hyperlink 3" xfId="313"/>
    <cellStyle name="Hyperlink 4" xfId="377"/>
    <cellStyle name="Input" xfId="18" builtinId="20" customBuiltin="1"/>
    <cellStyle name="Normal" xfId="0" builtinId="0"/>
    <cellStyle name="Normal 2" xfId="15"/>
    <cellStyle name="Normal 3" xfId="315"/>
    <cellStyle name="Normal 4" xfId="312"/>
    <cellStyle name="Normal 5" xfId="376"/>
    <cellStyle name="Normal 5 2" xfId="380"/>
    <cellStyle name="Note" xfId="95" builtinId="10"/>
  </cellStyles>
  <dxfs count="349">
    <dxf>
      <font>
        <b val="0"/>
        <i val="0"/>
        <strike val="0"/>
        <condense val="0"/>
        <extend val="0"/>
        <outline val="0"/>
        <shadow val="0"/>
        <u val="none"/>
        <vertAlign val="baseline"/>
        <sz val="11"/>
        <color theme="1"/>
        <name val="Arial"/>
        <scheme val="none"/>
      </font>
      <fill>
        <patternFill patternType="solid">
          <fgColor indexed="64"/>
          <bgColor rgb="FFFFC000"/>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scheme val="none"/>
      </font>
      <fill>
        <patternFill patternType="solid">
          <fgColor indexed="64"/>
          <bgColor rgb="FFFFC000"/>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scheme val="none"/>
      </font>
      <fill>
        <patternFill patternType="solid">
          <fgColor indexed="64"/>
          <bgColor rgb="FFFFC000"/>
        </patternFill>
      </fill>
      <alignment horizontal="left" vertical="top" textRotation="0" wrapText="0" indent="0" justifyLastLine="0" shrinkToFit="0" readingOrder="0"/>
    </dxf>
    <dxf>
      <font>
        <b/>
        <i val="0"/>
        <strike val="0"/>
        <condense val="0"/>
        <extend val="0"/>
        <outline val="0"/>
        <shadow val="0"/>
        <u val="none"/>
        <vertAlign val="baseline"/>
        <sz val="11"/>
        <color theme="1"/>
        <name val="Arial"/>
        <scheme val="none"/>
      </font>
      <alignment horizontal="left" vertical="bottom" textRotation="0" wrapText="0" indent="0" justifyLastLine="0" shrinkToFit="0" readingOrder="0"/>
    </dxf>
    <dxf>
      <font>
        <strike val="0"/>
        <outline val="0"/>
        <shadow val="0"/>
        <vertAlign val="baseline"/>
        <name val="Arial"/>
        <scheme val="none"/>
      </font>
      <fill>
        <patternFill patternType="solid">
          <fgColor indexed="64"/>
          <bgColor rgb="FFFFC000"/>
        </patternFill>
      </fill>
    </dxf>
    <dxf>
      <font>
        <strike val="0"/>
        <outline val="0"/>
        <shadow val="0"/>
        <vertAlign val="baseline"/>
        <name val="Arial"/>
        <scheme val="none"/>
      </font>
      <fill>
        <patternFill patternType="solid">
          <fgColor indexed="64"/>
          <bgColor rgb="FFFFC000"/>
        </patternFill>
      </fill>
    </dxf>
    <dxf>
      <font>
        <strike val="0"/>
        <outline val="0"/>
        <shadow val="0"/>
        <vertAlign val="baseline"/>
        <name val="Arial"/>
        <scheme val="none"/>
      </font>
      <fill>
        <patternFill patternType="solid">
          <fgColor indexed="64"/>
          <bgColor rgb="FFFFC000"/>
        </patternFill>
      </fill>
    </dxf>
    <dxf>
      <font>
        <b val="0"/>
        <i val="0"/>
        <strike val="0"/>
        <condense val="0"/>
        <extend val="0"/>
        <outline val="0"/>
        <shadow val="0"/>
        <u val="none"/>
        <vertAlign val="baseline"/>
        <sz val="11"/>
        <color theme="1"/>
        <name val="Arial"/>
        <scheme val="none"/>
      </font>
      <alignment horizontal="left" vertical="top" textRotation="0" wrapText="0" indent="0" justifyLastLine="0" shrinkToFit="0" readingOrder="0"/>
    </dxf>
    <dxf>
      <font>
        <strike val="0"/>
        <outline val="0"/>
        <shadow val="0"/>
        <vertAlign val="baseline"/>
        <name val="Arial"/>
        <scheme val="none"/>
      </font>
      <numFmt numFmtId="12" formatCode="&quot;$&quot;#,##0.00;[Red]\-&quot;$&quot;#,##0.00"/>
      <fill>
        <patternFill patternType="none">
          <fgColor indexed="64"/>
          <bgColor indexed="65"/>
        </patternFill>
      </fill>
    </dxf>
    <dxf>
      <font>
        <strike val="0"/>
        <outline val="0"/>
        <shadow val="0"/>
        <vertAlign val="baseline"/>
        <name val="Arial"/>
        <scheme val="none"/>
      </font>
      <fill>
        <patternFill patternType="solid">
          <fgColor indexed="64"/>
          <bgColor rgb="FF92D050"/>
        </patternFill>
      </fill>
    </dxf>
    <dxf>
      <font>
        <strike val="0"/>
        <outline val="0"/>
        <shadow val="0"/>
        <vertAlign val="baseline"/>
        <name val="Arial"/>
        <scheme val="none"/>
      </font>
    </dxf>
    <dxf>
      <font>
        <b/>
        <i val="0"/>
        <strike val="0"/>
        <condense val="0"/>
        <extend val="0"/>
        <outline val="0"/>
        <shadow val="0"/>
        <u val="none"/>
        <vertAlign val="baseline"/>
        <sz val="10"/>
        <color theme="0"/>
        <name val="Arial"/>
        <scheme val="none"/>
      </font>
      <numFmt numFmtId="12" formatCode="&quot;$&quot;#,##0.00;[Red]\-&quot;$&quot;#,##0.00"/>
      <fill>
        <patternFill patternType="solid">
          <fgColor indexed="64"/>
          <bgColor theme="0" tint="-0.499984740745262"/>
        </patternFill>
      </fill>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auto="1"/>
        <name val="Arial"/>
        <scheme val="none"/>
      </font>
    </dxf>
    <dxf>
      <font>
        <b val="0"/>
        <i val="0"/>
        <strike val="0"/>
        <condense val="0"/>
        <extend val="0"/>
        <outline val="0"/>
        <shadow val="0"/>
        <u val="none"/>
        <vertAlign val="baseline"/>
        <sz val="12"/>
        <color theme="0"/>
        <name val="Arial"/>
        <scheme val="none"/>
      </font>
    </dxf>
    <dxf>
      <font>
        <strike val="0"/>
        <outline val="0"/>
        <shadow val="0"/>
        <u val="none"/>
        <vertAlign val="baseline"/>
        <sz val="10"/>
        <name val="Arial"/>
        <scheme val="none"/>
      </font>
      <numFmt numFmtId="30" formatCode="@"/>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border outline="0">
        <bottom style="thick">
          <color theme="4"/>
        </bottom>
      </border>
    </dxf>
    <dxf>
      <font>
        <b/>
        <i val="0"/>
        <strike val="0"/>
        <condense val="0"/>
        <extend val="0"/>
        <outline val="0"/>
        <shadow val="0"/>
        <u val="none"/>
        <vertAlign val="baseline"/>
        <sz val="12"/>
        <color theme="0"/>
        <name val="Arial"/>
        <scheme val="none"/>
      </font>
      <fill>
        <patternFill patternType="none">
          <fgColor indexed="64"/>
          <bgColor indexed="65"/>
        </patternFill>
      </fill>
      <alignment horizontal="left" vertical="bottom" textRotation="0" wrapText="0" indent="0" justifyLastLine="0" shrinkToFit="0" readingOrder="0"/>
      <protection locked="1" hidden="0"/>
    </dxf>
    <dxf>
      <font>
        <strike val="0"/>
        <outline val="0"/>
        <shadow val="0"/>
        <vertAlign val="baseline"/>
        <name val="Arial"/>
        <scheme val="none"/>
      </font>
    </dxf>
    <dxf>
      <font>
        <strike val="0"/>
        <outline val="0"/>
        <shadow val="0"/>
        <vertAlign val="baseline"/>
        <name val="Arial"/>
        <scheme val="none"/>
      </font>
    </dxf>
    <dxf>
      <border outline="0">
        <bottom style="thin">
          <color theme="4" tint="0.39997558519241921"/>
        </bottom>
      </border>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i val="0"/>
        <strike val="0"/>
        <condense val="0"/>
        <extend val="0"/>
        <outline val="0"/>
        <shadow val="0"/>
        <u val="none"/>
        <vertAlign val="baseline"/>
        <sz val="11"/>
        <color theme="1"/>
        <name val="Arial"/>
        <scheme val="none"/>
      </font>
      <alignment horizontal="general" vertical="bottom" textRotation="0" wrapText="0" indent="0" justifyLastLine="0" shrinkToFit="0" readingOrder="0"/>
    </dxf>
    <dxf>
      <font>
        <b val="0"/>
        <i val="0"/>
        <strike val="0"/>
        <outline val="0"/>
        <shadow val="0"/>
        <u val="none"/>
        <vertAlign val="baseline"/>
        <sz val="11"/>
        <name val="Arial"/>
        <scheme val="none"/>
      </font>
    </dxf>
    <dxf>
      <font>
        <b val="0"/>
        <i val="0"/>
        <strike val="0"/>
        <outline val="0"/>
        <shadow val="0"/>
        <u val="none"/>
        <vertAlign val="baseline"/>
        <sz val="11"/>
        <name val="Arial"/>
        <scheme val="none"/>
      </font>
    </dxf>
    <dxf>
      <font>
        <b val="0"/>
        <i val="0"/>
        <strike val="0"/>
        <outline val="0"/>
        <shadow val="0"/>
        <u val="none"/>
        <vertAlign val="baseline"/>
        <sz val="11"/>
        <name val="Arial"/>
        <scheme val="none"/>
      </font>
    </dxf>
    <dxf>
      <font>
        <b val="0"/>
        <i val="0"/>
        <strike val="0"/>
        <outline val="0"/>
        <shadow val="0"/>
        <u val="none"/>
        <vertAlign val="baseline"/>
        <sz val="11"/>
        <name val="Arial"/>
        <scheme val="none"/>
      </font>
    </dxf>
    <dxf>
      <font>
        <b val="0"/>
        <i val="0"/>
        <strike val="0"/>
        <outline val="0"/>
        <shadow val="0"/>
        <u val="none"/>
        <vertAlign val="baseline"/>
        <sz val="11"/>
        <name val="Arial"/>
        <scheme val="none"/>
      </font>
    </dxf>
    <dxf>
      <font>
        <strike val="0"/>
        <outline val="0"/>
        <shadow val="0"/>
        <u val="none"/>
        <vertAlign val="baseline"/>
        <sz val="11"/>
        <color theme="1"/>
        <name val="Arial"/>
        <scheme val="none"/>
      </font>
    </dxf>
    <dxf>
      <font>
        <strike val="0"/>
        <outline val="0"/>
        <shadow val="0"/>
        <u val="none"/>
        <vertAlign val="baseline"/>
        <sz val="11"/>
        <color theme="1"/>
        <name val="Arial"/>
        <scheme val="none"/>
      </font>
    </dxf>
    <dxf>
      <font>
        <strike val="0"/>
        <outline val="0"/>
        <shadow val="0"/>
        <u val="none"/>
        <vertAlign val="baseline"/>
        <sz val="11"/>
        <color theme="1"/>
        <name val="Arial"/>
        <scheme val="none"/>
      </font>
    </dxf>
    <dxf>
      <font>
        <strike val="0"/>
        <outline val="0"/>
        <shadow val="0"/>
        <u val="none"/>
        <vertAlign val="baseline"/>
        <color theme="0"/>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b val="0"/>
        <i val="0"/>
        <strike val="0"/>
        <condense val="0"/>
        <extend val="0"/>
        <outline val="0"/>
        <shadow val="0"/>
        <u val="none"/>
        <vertAlign val="baseline"/>
        <sz val="11"/>
        <color auto="1"/>
        <name val="Arial"/>
        <scheme val="none"/>
      </font>
    </dxf>
    <dxf>
      <font>
        <strike val="0"/>
        <outline val="0"/>
        <shadow val="0"/>
        <vertAlign val="baseline"/>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1"/>
        <color rgb="FF000000"/>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scheme val="none"/>
      </font>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scheme val="none"/>
      </font>
    </dxf>
    <dxf>
      <font>
        <b val="0"/>
        <i val="0"/>
        <strike val="0"/>
        <condense val="0"/>
        <extend val="0"/>
        <outline val="0"/>
        <shadow val="0"/>
        <u val="none"/>
        <vertAlign val="baseline"/>
        <sz val="11"/>
        <color rgb="FF000000"/>
        <name val="Arial"/>
        <scheme val="none"/>
      </font>
    </dxf>
    <dxf>
      <font>
        <strike val="0"/>
        <outline val="0"/>
        <shadow val="0"/>
        <u val="none"/>
        <vertAlign val="baseline"/>
        <sz val="12"/>
        <color theme="1"/>
        <name val="Arial"/>
        <scheme val="none"/>
      </font>
    </dxf>
    <dxf>
      <font>
        <strike val="0"/>
        <outline val="0"/>
        <shadow val="0"/>
        <u val="none"/>
        <vertAlign val="baseline"/>
        <sz val="12"/>
        <name val="Arial"/>
        <scheme val="none"/>
      </font>
    </dxf>
    <dxf>
      <font>
        <strike val="0"/>
        <outline val="0"/>
        <shadow val="0"/>
        <u val="none"/>
        <vertAlign val="baseline"/>
        <sz val="12"/>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border outline="0">
        <top style="thin">
          <color rgb="FFADAFB1"/>
        </top>
      </border>
    </dxf>
    <dxf>
      <font>
        <strike val="0"/>
        <outline val="0"/>
        <shadow val="0"/>
        <vertAlign val="baseline"/>
        <name val="Arial"/>
        <scheme val="none"/>
      </font>
    </dxf>
    <dxf>
      <border outline="0">
        <bottom style="thin">
          <color rgb="FFADAFB1"/>
        </bottom>
      </border>
    </dxf>
    <dxf>
      <font>
        <b/>
        <i val="0"/>
        <strike val="0"/>
        <condense val="0"/>
        <extend val="0"/>
        <outline val="0"/>
        <shadow val="0"/>
        <u val="none"/>
        <vertAlign val="baseline"/>
        <sz val="11"/>
        <color rgb="FFFFFFFF"/>
        <name val="Arial"/>
        <scheme val="none"/>
      </font>
      <fill>
        <patternFill patternType="solid">
          <fgColor rgb="FF797B7E"/>
          <bgColor rgb="FF797B7E"/>
        </patternFill>
      </fill>
      <alignment horizontal="left" vertical="top" textRotation="0" wrapText="0" indent="0" justifyLastLine="0" shrinkToFit="0" readingOrder="0"/>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alignment vertical="bottom" textRotation="0" justifyLastLine="0" shrinkToFit="0"/>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u val="none"/>
        <vertAlign val="baseline"/>
        <sz val="10"/>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val="0"/>
        <i val="0"/>
        <strike val="0"/>
        <outline val="0"/>
        <shadow val="0"/>
        <u val="none"/>
        <vertAlign val="baseline"/>
        <sz val="11"/>
        <name val="Arial"/>
        <scheme val="none"/>
      </font>
      <fill>
        <patternFill patternType="none">
          <fgColor indexed="64"/>
          <bgColor auto="1"/>
        </patternFill>
      </fill>
      <alignment horizontal="left" vertical="top" textRotation="0" wrapText="0" indent="0" justifyLastLine="0" shrinkToFit="0"/>
    </dxf>
    <dxf>
      <font>
        <b val="0"/>
        <i val="0"/>
        <strike val="0"/>
        <outline val="0"/>
        <shadow val="0"/>
        <u val="none"/>
        <vertAlign val="baseline"/>
        <sz val="11"/>
        <name val="Arial"/>
        <scheme val="none"/>
      </font>
      <fill>
        <patternFill patternType="none">
          <fgColor indexed="64"/>
          <bgColor auto="1"/>
        </patternFill>
      </fill>
      <alignment horizontal="left" vertical="top" textRotation="0" wrapText="0" indent="0" justifyLastLine="0" shrinkToFit="0"/>
    </dxf>
    <dxf>
      <font>
        <b val="0"/>
        <i val="0"/>
        <strike val="0"/>
        <condense val="0"/>
        <extend val="0"/>
        <outline val="0"/>
        <shadow val="0"/>
        <u val="none"/>
        <vertAlign val="baseline"/>
        <sz val="11"/>
        <color theme="1"/>
        <name val="Arial"/>
        <scheme val="none"/>
      </font>
      <fill>
        <patternFill patternType="none">
          <fgColor indexed="64"/>
          <bgColor auto="1"/>
        </patternFill>
      </fill>
      <alignment horizontal="left" vertical="top" textRotation="0" wrapText="0" indent="0" justifyLastLine="0" shrinkToFit="0"/>
    </dxf>
    <dxf>
      <font>
        <b val="0"/>
        <i val="0"/>
        <strike val="0"/>
        <outline val="0"/>
        <shadow val="0"/>
        <u val="none"/>
        <vertAlign val="baseline"/>
        <sz val="11"/>
        <name val="Arial"/>
        <scheme val="none"/>
      </font>
      <fill>
        <patternFill patternType="none">
          <fgColor indexed="64"/>
          <bgColor auto="1"/>
        </patternFill>
      </fill>
      <alignment horizontal="left" vertical="top" textRotation="0" wrapText="0" indent="0" justifyLastLine="0" shrinkToFit="0"/>
    </dxf>
    <dxf>
      <font>
        <b val="0"/>
        <i val="0"/>
        <strike val="0"/>
        <outline val="0"/>
        <shadow val="0"/>
        <u val="none"/>
        <vertAlign val="baseline"/>
        <sz val="11"/>
        <name val="Arial"/>
        <scheme val="none"/>
      </font>
      <fill>
        <patternFill patternType="none">
          <fgColor indexed="64"/>
          <bgColor auto="1"/>
        </patternFill>
      </fill>
      <alignment horizontal="left" vertical="top" textRotation="0" wrapText="0" indent="0" justifyLastLine="0" shrinkToFit="0"/>
    </dxf>
    <dxf>
      <font>
        <b val="0"/>
        <i val="0"/>
        <strike val="0"/>
        <outline val="0"/>
        <shadow val="0"/>
        <u val="none"/>
        <vertAlign val="baseline"/>
        <sz val="11"/>
        <name val="Arial"/>
        <scheme val="none"/>
      </font>
      <fill>
        <patternFill patternType="none">
          <fgColor indexed="64"/>
          <bgColor auto="1"/>
        </patternFill>
      </fill>
      <alignment vertical="bottom" textRotation="0" justifyLastLine="0" shrinkToFit="0"/>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i val="0"/>
        <strike val="0"/>
        <condense val="0"/>
        <extend val="0"/>
        <outline val="0"/>
        <shadow val="0"/>
        <u val="none"/>
        <vertAlign val="baseline"/>
        <sz val="11"/>
        <color theme="1"/>
        <name val="Arial"/>
        <scheme val="none"/>
      </font>
      <alignment vertical="bottom" textRotation="0" justifyLastLine="0" shrinkToFit="0"/>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alignment vertical="bottom" textRotation="0" justifyLastLine="0" shrinkToFit="0"/>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val="0"/>
        <i val="0"/>
        <strike val="0"/>
        <condense val="0"/>
        <extend val="0"/>
        <outline val="0"/>
        <shadow val="0"/>
        <u val="none"/>
        <vertAlign val="baseline"/>
        <sz val="12"/>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left" vertical="top" textRotation="0" wrapText="0" indent="0" justifyLastLine="0" shrinkToFit="0" readingOrder="0"/>
    </dxf>
    <dxf>
      <font>
        <b val="0"/>
        <i val="0"/>
        <strike val="0"/>
        <condense val="0"/>
        <extend val="0"/>
        <outline val="0"/>
        <shadow val="0"/>
        <u val="none"/>
        <vertAlign val="baseline"/>
        <sz val="12"/>
        <color auto="1"/>
        <name val="Arial"/>
        <scheme val="none"/>
      </font>
      <alignment horizontal="left" vertical="top" textRotation="0" wrapText="0" indent="0" justifyLastLine="0" shrinkToFit="0" readingOrder="0"/>
    </dxf>
    <dxf>
      <border outline="0">
        <bottom style="thick">
          <color theme="4"/>
        </bottom>
      </border>
    </dxf>
    <dxf>
      <font>
        <b/>
        <i val="0"/>
        <strike val="0"/>
        <condense val="0"/>
        <extend val="0"/>
        <outline val="0"/>
        <shadow val="0"/>
        <u val="none"/>
        <vertAlign val="baseline"/>
        <sz val="12"/>
        <color theme="0"/>
        <name val="Arial"/>
        <scheme val="none"/>
      </font>
      <alignment horizontal="left" vertical="bottom" textRotation="0" wrapText="0" indent="0" justifyLastLine="0" shrinkToFit="0" readingOrder="0"/>
    </dxf>
    <dxf>
      <font>
        <strike val="0"/>
        <outline val="0"/>
        <shadow val="0"/>
        <u val="none"/>
        <vertAlign val="baseline"/>
        <sz val="10"/>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b val="0"/>
        <i val="0"/>
        <strike val="0"/>
        <condense val="0"/>
        <extend val="0"/>
        <outline val="0"/>
        <shadow val="0"/>
        <u val="none"/>
        <vertAlign val="baseline"/>
        <sz val="11"/>
        <color rgb="FF000000"/>
        <name val="Arial"/>
        <scheme val="none"/>
      </font>
      <numFmt numFmtId="30" formatCode="@"/>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font>
        <strike val="0"/>
        <outline val="0"/>
        <shadow val="0"/>
        <vertAlign val="baseline"/>
        <name val="Arial"/>
        <scheme val="none"/>
      </font>
    </dxf>
    <dxf>
      <border outline="0">
        <bottom style="thick">
          <color theme="4"/>
        </bottom>
      </border>
    </dxf>
    <dxf>
      <font>
        <strike val="0"/>
        <outline val="0"/>
        <shadow val="0"/>
        <vertAlign val="baseline"/>
        <name val="Arial"/>
        <scheme val="none"/>
      </font>
      <alignment vertical="bottom" textRotation="0" justifyLastLine="0" shrinkToFit="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theme="1"/>
        <name val="Arial"/>
        <scheme val="none"/>
      </font>
      <fill>
        <patternFill patternType="none">
          <bgColor auto="1"/>
        </patternFill>
      </fill>
      <alignment horizontal="center"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theme="1"/>
        <name val="Arial"/>
        <scheme val="none"/>
      </font>
      <fill>
        <patternFill patternType="none">
          <bgColor auto="1"/>
        </patternFill>
      </fill>
      <alignment horizontal="center"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5" tint="-0.499984740745262"/>
        <name val="Arial"/>
        <scheme val="none"/>
      </font>
      <fill>
        <patternFill patternType="none">
          <fgColor indexed="64"/>
          <bgColor indexed="65"/>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indent="0" justifyLastLine="0" shrinkToFit="0" readingOrder="0"/>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rgb="FF000000"/>
        <name val="Arial"/>
        <scheme val="none"/>
      </font>
      <fill>
        <patternFill patternType="none">
          <fgColor indexed="64"/>
          <bgColor indexed="65"/>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rgb="FF000000"/>
        <name val="Arial"/>
        <scheme val="none"/>
      </font>
      <fill>
        <patternFill patternType="none">
          <bgColor auto="1"/>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rgb="FF000000"/>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numFmt numFmtId="30" formatCode="@"/>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fgColor indexed="64"/>
          <bgColor indexed="6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fgColor indexed="64"/>
          <bgColor indexed="65"/>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general"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theme="1"/>
        <name val="Arial"/>
        <scheme val="none"/>
      </font>
      <fill>
        <patternFill patternType="none">
          <bgColor auto="1"/>
        </patternFill>
      </fill>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i val="0"/>
        <strike val="0"/>
        <condense val="0"/>
        <extend val="0"/>
        <outline val="0"/>
        <shadow val="0"/>
        <u val="none"/>
        <vertAlign val="baseline"/>
        <sz val="10"/>
        <color theme="5"/>
        <name val="Arial"/>
        <scheme val="none"/>
      </font>
      <numFmt numFmtId="30" formatCode="@"/>
      <fill>
        <patternFill patternType="none">
          <fgColor indexed="64"/>
          <bgColor indexed="65"/>
        </patternFill>
      </fill>
      <alignment horizontal="center" vertical="bottom" textRotation="0" wrapText="0" indent="0" justifyLastLine="0" shrinkToFit="0" readingOrder="0"/>
      <protection locked="0" hidden="0"/>
    </dxf>
    <dxf>
      <font>
        <b val="0"/>
        <i val="0"/>
        <strike val="0"/>
        <outline val="0"/>
        <shadow val="0"/>
        <u val="none"/>
        <vertAlign val="baseline"/>
        <sz val="10"/>
        <color theme="1"/>
        <name val="Arial"/>
        <scheme val="none"/>
      </font>
      <numFmt numFmtId="30" formatCode="@"/>
      <fill>
        <patternFill patternType="none">
          <bgColor auto="1"/>
        </patternFill>
      </fill>
      <alignment horizontal="left" vertical="center" textRotation="0" wrapText="0" indent="0" justifyLastLine="0" shrinkToFit="1" readingOrder="0"/>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center"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bgColor auto="1"/>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0"/>
        <color auto="1"/>
        <name val="Arial"/>
        <scheme val="none"/>
      </font>
      <numFmt numFmtId="30" formatCode="@"/>
      <fill>
        <patternFill patternType="none">
          <fgColor rgb="FFDCE6F1"/>
          <bgColor auto="1"/>
        </patternFill>
      </fill>
      <alignment horizontal="righ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auto="1"/>
        <name val="Arial"/>
        <scheme val="none"/>
      </font>
      <numFmt numFmtId="30" formatCode="@"/>
      <fill>
        <patternFill patternType="none">
          <fgColor indexed="64"/>
          <bgColor indexed="65"/>
        </patternFill>
      </fill>
      <alignment horizontal="righ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condense val="0"/>
        <extend val="0"/>
        <outline val="0"/>
        <shadow val="0"/>
        <u val="none"/>
        <vertAlign val="baseline"/>
        <sz val="10"/>
        <color theme="1"/>
        <name val="Arial"/>
        <scheme val="none"/>
      </font>
      <numFmt numFmtId="30" formatCode="@"/>
      <fill>
        <patternFill patternType="none">
          <fgColor indexed="64"/>
          <bgColor indexed="65"/>
        </patternFill>
      </fill>
      <alignment horizontal="right" vertical="center" textRotation="0" wrapText="0" indent="0" justifyLastLine="0" shrinkToFit="1"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numFmt numFmtId="30" formatCode="@"/>
      <fill>
        <patternFill patternType="none">
          <fgColor indexed="64"/>
          <bgColor indexed="65"/>
        </patternFill>
      </fill>
      <alignment horizontal="righ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outline="0">
        <left/>
        <right/>
        <top/>
        <bottom/>
      </border>
      <protection locked="0" hidden="0"/>
    </dxf>
    <dxf>
      <font>
        <b val="0"/>
        <i val="0"/>
        <strike val="0"/>
        <outline val="0"/>
        <shadow val="0"/>
        <u val="none"/>
        <vertAlign val="baseline"/>
        <sz val="10"/>
        <color auto="1"/>
        <name val="Arial"/>
        <scheme val="none"/>
      </font>
      <fill>
        <patternFill patternType="none">
          <fgColor indexed="64"/>
          <bgColor indexed="65"/>
        </patternFill>
      </fill>
      <alignment horizontal="left" vertical="bottom"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fill>
        <patternFill patternType="none">
          <fgColor rgb="FFDCE6F1"/>
          <bgColor auto="1"/>
        </patternFill>
      </fill>
      <alignment horizontal="righ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border diagonalUp="0" diagonalDown="0">
        <left/>
        <right/>
        <top/>
        <bottom/>
      </border>
      <protection locked="0" hidden="0"/>
    </dxf>
    <dxf>
      <font>
        <b val="0"/>
        <i val="0"/>
        <strike val="0"/>
        <outline val="0"/>
        <shadow val="0"/>
        <u val="none"/>
        <vertAlign val="baseline"/>
        <sz val="10"/>
        <color auto="1"/>
        <name val="Arial"/>
        <scheme val="none"/>
      </font>
      <numFmt numFmtId="30" formatCode="@"/>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0"/>
        <color theme="5" tint="-0.249977111117893"/>
        <name val="Arial"/>
        <scheme val="none"/>
      </font>
      <fill>
        <patternFill patternType="none">
          <fgColor indexed="64"/>
          <bgColor indexed="65"/>
        </patternFill>
      </fill>
      <alignment horizontal="left" vertical="bottom" textRotation="0" wrapText="0" indent="0" justifyLastLine="0" shrinkToFit="0" readingOrder="0"/>
      <border diagonalUp="0" diagonalDown="0" outline="0">
        <left/>
        <right/>
        <top style="thin">
          <color rgb="FF95B3D7"/>
        </top>
        <bottom style="thin">
          <color rgb="FF95B3D7"/>
        </bottom>
      </border>
    </dxf>
    <dxf>
      <font>
        <b val="0"/>
        <i val="0"/>
        <strike val="0"/>
        <condense val="0"/>
        <extend val="0"/>
        <outline val="0"/>
        <shadow val="0"/>
        <u val="none"/>
        <vertAlign val="baseline"/>
        <sz val="10"/>
        <color theme="5" tint="-0.249977111117893"/>
        <name val="Arial"/>
        <scheme val="none"/>
      </font>
      <fill>
        <patternFill patternType="none">
          <fgColor indexed="64"/>
          <bgColor indexed="65"/>
        </patternFill>
      </fill>
      <alignment horizontal="left" vertical="bottom" textRotation="0" wrapText="0" indent="0" justifyLastLine="0" shrinkToFit="0" readingOrder="0"/>
      <border diagonalUp="0" diagonalDown="0" outline="0">
        <left/>
        <right/>
        <top style="thin">
          <color rgb="FF95B3D7"/>
        </top>
        <bottom style="thin">
          <color rgb="FF95B3D7"/>
        </bottom>
      </border>
    </dxf>
    <dxf>
      <font>
        <b val="0"/>
        <i val="0"/>
        <strike val="0"/>
        <outline val="0"/>
        <shadow val="0"/>
        <u val="none"/>
        <vertAlign val="baseline"/>
        <sz val="10"/>
        <color auto="1"/>
        <name val="Arial"/>
        <scheme val="none"/>
      </font>
      <fill>
        <patternFill patternType="none">
          <fgColor rgb="FFDCE6F1"/>
          <bgColor auto="1"/>
        </patternFill>
      </fill>
      <alignment horizontal="left" vertical="center" textRotation="0" wrapText="0" indent="0" justifyLastLine="0" shrinkToFit="0" readingOrder="0"/>
      <border diagonalUp="0" diagonalDown="0" outline="0">
        <left/>
        <right/>
        <top style="thin">
          <color rgb="FF95B3D7"/>
        </top>
        <bottom style="thin">
          <color rgb="FF95B3D7"/>
        </bottom>
      </border>
      <protection locked="0" hidden="0"/>
    </dxf>
    <dxf>
      <font>
        <b val="0"/>
        <i val="0"/>
        <strike val="0"/>
        <condense val="0"/>
        <extend val="0"/>
        <outline val="0"/>
        <shadow val="0"/>
        <u val="none"/>
        <vertAlign val="baseline"/>
        <sz val="13"/>
        <color theme="1"/>
        <name val="Arial"/>
        <scheme val="none"/>
      </font>
      <numFmt numFmtId="0" formatCode="General"/>
      <fill>
        <patternFill patternType="solid">
          <fgColor theme="4" tint="0.79998168889431442"/>
          <bgColor theme="4" tint="0.79998168889431442"/>
        </patternFill>
      </fill>
      <border diagonalUp="0" diagonalDown="0" outline="0">
        <left style="thin">
          <color theme="4" tint="0.39997558519241921"/>
        </left>
        <right/>
        <top style="thin">
          <color theme="4" tint="0.39997558519241921"/>
        </top>
        <bottom/>
      </border>
      <protection locked="0" hidden="0"/>
    </dxf>
    <dxf>
      <font>
        <b val="0"/>
        <i val="0"/>
        <strike val="0"/>
        <outline val="0"/>
        <shadow val="0"/>
        <u val="none"/>
        <vertAlign val="baseline"/>
        <sz val="10"/>
        <color theme="1"/>
        <name val="Arial"/>
        <scheme val="none"/>
      </font>
      <numFmt numFmtId="0" formatCode="General"/>
      <fill>
        <patternFill patternType="none">
          <bgColor auto="1"/>
        </patternFill>
      </fill>
      <alignment horizontal="center" textRotation="0" wrapText="0" indent="0" justifyLastLine="0" readingOrder="0"/>
      <protection locked="0" hidden="0"/>
    </dxf>
    <dxf>
      <font>
        <strike val="0"/>
        <outline val="0"/>
        <shadow val="0"/>
        <u val="none"/>
        <vertAlign val="baseline"/>
        <sz val="10"/>
        <name val="Arial"/>
        <scheme val="none"/>
      </font>
      <fill>
        <patternFill patternType="none">
          <bgColor auto="1"/>
        </patternFill>
      </fill>
    </dxf>
    <dxf>
      <font>
        <b val="0"/>
        <i val="0"/>
        <strike val="0"/>
        <condense val="0"/>
        <extend val="0"/>
        <outline val="0"/>
        <shadow val="0"/>
        <u val="none"/>
        <vertAlign val="baseline"/>
        <sz val="13"/>
        <color theme="1"/>
        <name val="Arial"/>
        <scheme val="none"/>
      </font>
      <numFmt numFmtId="30" formatCode="@"/>
      <fill>
        <patternFill patternType="none">
          <bgColor auto="1"/>
        </patternFill>
      </fill>
      <alignment horizontal="left" vertical="bottom" textRotation="0" wrapText="0" indent="0" justifyLastLine="0" shrinkToFit="1" readingOrder="0"/>
      <protection locked="0" hidden="0"/>
    </dxf>
  </dxfs>
  <tableStyles count="0" defaultTableStyle="TableStyleMedium2" defaultPivotStyle="PivotStyleLight16"/>
  <colors>
    <mruColors>
      <color rgb="FF3F3F76"/>
      <color rgb="FF008000"/>
    </mruColors>
  </colors>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connections" Target="connections.xml"/><Relationship Id="rId6" Type="http://schemas.openxmlformats.org/officeDocument/2006/relationships/styles" Target="styles.xml"/><Relationship Id="rId7" Type="http://schemas.openxmlformats.org/officeDocument/2006/relationships/sharedStrings" Target="sharedStrings.xml"/><Relationship Id="rId8" Type="http://schemas.openxmlformats.org/officeDocument/2006/relationships/calcChain" Target="calcChain.xml"/><Relationship Id="rId9"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70" dropStyle="combo" dx="16" fmlaLink="J1" fmlaRange="Biosample_Rows" noThreeD="1"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Drop" dropLines="70" dropStyle="combo" dx="16" fmlaLink="J1" fmlaRange="Biosamples" noThreeD="1" val="0"/>
</file>

<file path=xl/ctrlProps/ctrlProp9.xml><?xml version="1.0" encoding="utf-8"?>
<formControlPr xmlns="http://schemas.microsoft.com/office/spreadsheetml/2009/9/main" objectType="Drop" dropLines="70" dropStyle="combo" dx="16" fmlaLink="$I$7" fmlaRange="$P$5:$P$6" noThreeD="1" sel="0" val="0"/>
</file>

<file path=xl/ctrlProps/ctrlProp10.xml><?xml version="1.0" encoding="utf-8"?>
<formControlPr xmlns="http://schemas.microsoft.com/office/spreadsheetml/2009/9/main" objectType="List" dx="16" fmlaLink="#REF!" fmlaRange="#REF!" noThreeD="1" sel="0" val="0"/>
</file>

<file path=xl/drawings/drawing1.xml><?xml version="1.0" encoding="utf-8"?>
<xdr:wsDr xmlns:xdr="http://schemas.openxmlformats.org/drawingml/2006/spreadsheetDrawing" xmlns:a="http://schemas.openxmlformats.org/drawingml/2006/main">
  <xdr:twoCellAnchor>
    <xdr:from>
      <xdr:col>2</xdr:col>
      <xdr:colOff>0</xdr:colOff>
      <xdr:row>0</xdr:row>
      <xdr:rowOff>76200</xdr:rowOff>
    </xdr:from>
    <xdr:to>
      <xdr:col>4</xdr:col>
      <xdr:colOff>127000</xdr:colOff>
      <xdr:row>0</xdr:row>
      <xdr:rowOff>355600</xdr:rowOff>
    </xdr:to>
    <xdr:sp macro="" textlink="">
      <xdr:nvSpPr>
        <xdr:cNvPr id="6244" name="Button 100" hidden="1">
          <a:extLst>
            <a:ext uri="{63B3BB69-23CF-44E3-9099-C40C66FF867C}">
              <a14:compatExt xmlns:a14="http://schemas.microsoft.com/office/drawing/2010/main" spid="_x0000_s6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New</a:t>
          </a:r>
        </a:p>
      </xdr:txBody>
    </xdr:sp>
    <xdr:clientData fLocksWithSheet="0" fPrintsWithSheet="0"/>
  </xdr:twoCellAnchor>
  <xdr:twoCellAnchor>
    <xdr:from>
      <xdr:col>6</xdr:col>
      <xdr:colOff>190500</xdr:colOff>
      <xdr:row>0</xdr:row>
      <xdr:rowOff>330200</xdr:rowOff>
    </xdr:from>
    <xdr:to>
      <xdr:col>6</xdr:col>
      <xdr:colOff>825500</xdr:colOff>
      <xdr:row>0</xdr:row>
      <xdr:rowOff>673100</xdr:rowOff>
    </xdr:to>
    <xdr:sp macro="" textlink="">
      <xdr:nvSpPr>
        <xdr:cNvPr id="6301" name="Button 157" hidden="1">
          <a:extLst>
            <a:ext uri="{63B3BB69-23CF-44E3-9099-C40C66FF867C}">
              <a14:compatExt xmlns:a14="http://schemas.microsoft.com/office/drawing/2010/main" spid="_x0000_s6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View</a:t>
          </a:r>
        </a:p>
      </xdr:txBody>
    </xdr:sp>
    <xdr:clientData fPrintsWithSheet="0"/>
  </xdr:twoCellAnchor>
  <xdr:twoCellAnchor>
    <xdr:from>
      <xdr:col>7</xdr:col>
      <xdr:colOff>0</xdr:colOff>
      <xdr:row>0</xdr:row>
      <xdr:rowOff>342900</xdr:rowOff>
    </xdr:from>
    <xdr:to>
      <xdr:col>7</xdr:col>
      <xdr:colOff>673100</xdr:colOff>
      <xdr:row>0</xdr:row>
      <xdr:rowOff>660400</xdr:rowOff>
    </xdr:to>
    <xdr:sp macro="" textlink="">
      <xdr:nvSpPr>
        <xdr:cNvPr id="6302" name="Button 158" hidden="1">
          <a:extLst>
            <a:ext uri="{63B3BB69-23CF-44E3-9099-C40C66FF867C}">
              <a14:compatExt xmlns:a14="http://schemas.microsoft.com/office/drawing/2010/main" spid="_x0000_s6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a:t>
          </a:r>
        </a:p>
      </xdr:txBody>
    </xdr:sp>
    <xdr:clientData fPrintsWithSheet="0"/>
  </xdr:twoCellAnchor>
  <xdr:twoCellAnchor editAs="oneCell">
    <xdr:from>
      <xdr:col>1</xdr:col>
      <xdr:colOff>1016000</xdr:colOff>
      <xdr:row>0</xdr:row>
      <xdr:rowOff>444500</xdr:rowOff>
    </xdr:from>
    <xdr:to>
      <xdr:col>5</xdr:col>
      <xdr:colOff>639234</xdr:colOff>
      <xdr:row>0</xdr:row>
      <xdr:rowOff>711200</xdr:rowOff>
    </xdr:to>
    <xdr:sp macro="" textlink="">
      <xdr:nvSpPr>
        <xdr:cNvPr id="6346" name="Drop Down 202" hidden="1">
          <a:extLst>
            <a:ext uri="{63B3BB69-23CF-44E3-9099-C40C66FF867C}">
              <a14:compatExt xmlns:a14="http://schemas.microsoft.com/office/drawing/2010/main" spid="_x0000_s6346"/>
            </a:ext>
          </a:extLst>
        </xdr:cNvPr>
        <xdr:cNvSpPr/>
      </xdr:nvSpPr>
      <xdr:spPr>
        <a:xfrm>
          <a:off x="0" y="0"/>
          <a:ext cx="0" cy="0"/>
        </a:xfrm>
        <a:prstGeom prst="rect">
          <a:avLst/>
        </a:prstGeom>
      </xdr:spPr>
    </xdr:sp>
    <xdr:clientData fLocksWithSheet="0"/>
  </xdr:twoCellAnchor>
  <xdr:twoCellAnchor>
    <xdr:from>
      <xdr:col>7</xdr:col>
      <xdr:colOff>165100</xdr:colOff>
      <xdr:row>5</xdr:row>
      <xdr:rowOff>50800</xdr:rowOff>
    </xdr:from>
    <xdr:to>
      <xdr:col>8</xdr:col>
      <xdr:colOff>114300</xdr:colOff>
      <xdr:row>5</xdr:row>
      <xdr:rowOff>279400</xdr:rowOff>
    </xdr:to>
    <xdr:sp macro="" textlink="">
      <xdr:nvSpPr>
        <xdr:cNvPr id="6348" name="Button 204" hidden="1">
          <a:extLst>
            <a:ext uri="{63B3BB69-23CF-44E3-9099-C40C66FF867C}">
              <a14:compatExt xmlns:a14="http://schemas.microsoft.com/office/drawing/2010/main" spid="_x0000_s6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SAVE</a:t>
          </a:r>
        </a:p>
      </xdr:txBody>
    </xdr:sp>
    <xdr:clientData fLocksWithSheet="0" fPrintsWithSheet="0"/>
  </xdr:twoCellAnchor>
  <xdr:twoCellAnchor>
    <xdr:from>
      <xdr:col>4</xdr:col>
      <xdr:colOff>368300</xdr:colOff>
      <xdr:row>0</xdr:row>
      <xdr:rowOff>76200</xdr:rowOff>
    </xdr:from>
    <xdr:to>
      <xdr:col>5</xdr:col>
      <xdr:colOff>520700</xdr:colOff>
      <xdr:row>0</xdr:row>
      <xdr:rowOff>355600</xdr:rowOff>
    </xdr:to>
    <xdr:sp macro="" textlink="">
      <xdr:nvSpPr>
        <xdr:cNvPr id="6360" name="Button 216" hidden="1">
          <a:extLst>
            <a:ext uri="{63B3BB69-23CF-44E3-9099-C40C66FF867C}">
              <a14:compatExt xmlns:a14="http://schemas.microsoft.com/office/drawing/2010/main" spid="_x0000_s63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Copy to New</a:t>
          </a:r>
        </a:p>
      </xdr:txBody>
    </xdr:sp>
    <xdr:clientData fLocksWithSheet="0" fPrintsWithSheet="0"/>
  </xdr:twoCellAnchor>
  <xdr:twoCellAnchor>
    <xdr:from>
      <xdr:col>4</xdr:col>
      <xdr:colOff>88900</xdr:colOff>
      <xdr:row>5</xdr:row>
      <xdr:rowOff>38100</xdr:rowOff>
    </xdr:from>
    <xdr:to>
      <xdr:col>5</xdr:col>
      <xdr:colOff>0</xdr:colOff>
      <xdr:row>5</xdr:row>
      <xdr:rowOff>279400</xdr:rowOff>
    </xdr:to>
    <xdr:sp macro="" textlink="">
      <xdr:nvSpPr>
        <xdr:cNvPr id="6363" name="Button 219" hidden="1">
          <a:extLst>
            <a:ext uri="{63B3BB69-23CF-44E3-9099-C40C66FF867C}">
              <a14:compatExt xmlns:a14="http://schemas.microsoft.com/office/drawing/2010/main" spid="_x0000_s6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Delete</a:t>
          </a:r>
        </a:p>
      </xdr:txBody>
    </xdr:sp>
    <xdr:clientData fLocksWithSheet="0" fPrintsWithSheet="0"/>
  </xdr:twoCellAnchor>
  <xdr:twoCellAnchor editAs="oneCell">
    <xdr:from>
      <xdr:col>1</xdr:col>
      <xdr:colOff>25400</xdr:colOff>
      <xdr:row>0</xdr:row>
      <xdr:rowOff>457200</xdr:rowOff>
    </xdr:from>
    <xdr:to>
      <xdr:col>1</xdr:col>
      <xdr:colOff>1028700</xdr:colOff>
      <xdr:row>0</xdr:row>
      <xdr:rowOff>698500</xdr:rowOff>
    </xdr:to>
    <xdr:sp macro="" textlink="">
      <xdr:nvSpPr>
        <xdr:cNvPr id="6499" name="Drop Down 355" hidden="1">
          <a:extLst>
            <a:ext uri="{63B3BB69-23CF-44E3-9099-C40C66FF867C}">
              <a14:compatExt xmlns:a14="http://schemas.microsoft.com/office/drawing/2010/main" spid="_x0000_s6499"/>
            </a:ext>
          </a:extLst>
        </xdr:cNvPr>
        <xdr:cNvSpPr/>
      </xdr:nvSpPr>
      <xdr:spPr>
        <a:xfrm>
          <a:off x="0" y="0"/>
          <a:ext cx="0" cy="0"/>
        </a:xfrm>
        <a:prstGeom prst="rect">
          <a:avLst/>
        </a:prstGeom>
      </xdr:spPr>
    </xdr:sp>
    <xdr:clientData fLocksWithSheet="0"/>
  </xdr:twoCellAnchor>
  <mc:AlternateContent xmlns:mc="http://schemas.openxmlformats.org/markup-compatibility/2006">
    <mc:Choice xmlns:a14="http://schemas.microsoft.com/office/drawing/2010/main" Requires="a14">
      <xdr:twoCellAnchor>
        <xdr:from>
          <xdr:col>2</xdr:col>
          <xdr:colOff>0</xdr:colOff>
          <xdr:row>0</xdr:row>
          <xdr:rowOff>76200</xdr:rowOff>
        </xdr:from>
        <xdr:to>
          <xdr:col>4</xdr:col>
          <xdr:colOff>127000</xdr:colOff>
          <xdr:row>0</xdr:row>
          <xdr:rowOff>355600</xdr:rowOff>
        </xdr:to>
        <xdr:sp macro="" textlink="">
          <xdr:nvSpPr>
            <xdr:cNvPr id="2" name="Button 100" hidden="1">
              <a:extLst>
                <a:ext uri="{63B3BB69-23CF-44E3-9099-C40C66FF867C}">
                  <a14:compatExt spid="_x0000_s6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New</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190500</xdr:colOff>
          <xdr:row>0</xdr:row>
          <xdr:rowOff>330200</xdr:rowOff>
        </xdr:from>
        <xdr:to>
          <xdr:col>6</xdr:col>
          <xdr:colOff>825500</xdr:colOff>
          <xdr:row>0</xdr:row>
          <xdr:rowOff>673100</xdr:rowOff>
        </xdr:to>
        <xdr:sp macro="" textlink="">
          <xdr:nvSpPr>
            <xdr:cNvPr id="3" name="Button 157" hidden="1">
              <a:extLst>
                <a:ext uri="{63B3BB69-23CF-44E3-9099-C40C66FF867C}">
                  <a14:compatExt spid="_x0000_s63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0</xdr:row>
          <xdr:rowOff>342900</xdr:rowOff>
        </xdr:from>
        <xdr:to>
          <xdr:col>7</xdr:col>
          <xdr:colOff>673100</xdr:colOff>
          <xdr:row>0</xdr:row>
          <xdr:rowOff>660400</xdr:rowOff>
        </xdr:to>
        <xdr:sp macro="" textlink="">
          <xdr:nvSpPr>
            <xdr:cNvPr id="4" name="Button 158" hidden="1">
              <a:extLst>
                <a:ext uri="{63B3BB69-23CF-44E3-9099-C40C66FF867C}">
                  <a14:compatExt spid="_x0000_s63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1016000</xdr:colOff>
          <xdr:row>0</xdr:row>
          <xdr:rowOff>444500</xdr:rowOff>
        </xdr:from>
        <xdr:to>
          <xdr:col>5</xdr:col>
          <xdr:colOff>635000</xdr:colOff>
          <xdr:row>0</xdr:row>
          <xdr:rowOff>711200</xdr:rowOff>
        </xdr:to>
        <xdr:sp macro="" textlink="">
          <xdr:nvSpPr>
            <xdr:cNvPr id="5" name="Drop Down 202" hidden="1">
              <a:extLst>
                <a:ext uri="{63B3BB69-23CF-44E3-9099-C40C66FF867C}">
                  <a14:compatExt spid="_x0000_s63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7</xdr:col>
          <xdr:colOff>165100</xdr:colOff>
          <xdr:row>5</xdr:row>
          <xdr:rowOff>50800</xdr:rowOff>
        </xdr:from>
        <xdr:to>
          <xdr:col>8</xdr:col>
          <xdr:colOff>114300</xdr:colOff>
          <xdr:row>5</xdr:row>
          <xdr:rowOff>279400</xdr:rowOff>
        </xdr:to>
        <xdr:sp macro="" textlink="">
          <xdr:nvSpPr>
            <xdr:cNvPr id="6" name="Button 204" hidden="1">
              <a:extLst>
                <a:ext uri="{63B3BB69-23CF-44E3-9099-C40C66FF867C}">
                  <a14:compatExt spid="_x0000_s634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Lucida Grande"/>
                  <a:ea typeface="Lucida Grande"/>
                  <a:cs typeface="Lucida Grande"/>
                </a:rPr>
                <a:t>SAVE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368300</xdr:colOff>
          <xdr:row>0</xdr:row>
          <xdr:rowOff>76200</xdr:rowOff>
        </xdr:from>
        <xdr:to>
          <xdr:col>5</xdr:col>
          <xdr:colOff>520700</xdr:colOff>
          <xdr:row>0</xdr:row>
          <xdr:rowOff>355600</xdr:rowOff>
        </xdr:to>
        <xdr:sp macro="" textlink="">
          <xdr:nvSpPr>
            <xdr:cNvPr id="7" name="Button 216" hidden="1">
              <a:extLst>
                <a:ext uri="{63B3BB69-23CF-44E3-9099-C40C66FF867C}">
                  <a14:compatExt spid="_x0000_s636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Copy to New</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xdr:col>
          <xdr:colOff>88900</xdr:colOff>
          <xdr:row>5</xdr:row>
          <xdr:rowOff>38100</xdr:rowOff>
        </xdr:from>
        <xdr:to>
          <xdr:col>5</xdr:col>
          <xdr:colOff>0</xdr:colOff>
          <xdr:row>5</xdr:row>
          <xdr:rowOff>279400</xdr:rowOff>
        </xdr:to>
        <xdr:sp macro="" textlink="">
          <xdr:nvSpPr>
            <xdr:cNvPr id="8" name="Button 219" hidden="1">
              <a:extLst>
                <a:ext uri="{63B3BB69-23CF-44E3-9099-C40C66FF867C}">
                  <a14:compatExt spid="_x0000_s6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a:ea typeface="Calibri"/>
                  <a:cs typeface="Calibri"/>
                </a:rPr>
                <a:t>Delete</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25400</xdr:colOff>
          <xdr:row>0</xdr:row>
          <xdr:rowOff>457200</xdr:rowOff>
        </xdr:from>
        <xdr:to>
          <xdr:col>1</xdr:col>
          <xdr:colOff>1028700</xdr:colOff>
          <xdr:row>0</xdr:row>
          <xdr:rowOff>698500</xdr:rowOff>
        </xdr:to>
        <xdr:sp macro="" textlink="">
          <xdr:nvSpPr>
            <xdr:cNvPr id="9" name="Drop Down 355" hidden="1">
              <a:extLst>
                <a:ext uri="{63B3BB69-23CF-44E3-9099-C40C66FF867C}">
                  <a14:compatExt spid="_x0000_s64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127000</xdr:rowOff>
        </xdr:from>
        <xdr:to>
          <xdr:col>5</xdr:col>
          <xdr:colOff>762000</xdr:colOff>
          <xdr:row>6</xdr:row>
          <xdr:rowOff>431800</xdr:rowOff>
        </xdr:to>
        <xdr:sp macro="" textlink="">
          <xdr:nvSpPr>
            <xdr:cNvPr id="6671" name="Drop Down 527" hidden="1">
              <a:extLst>
                <a:ext uri="{63B3BB69-23CF-44E3-9099-C40C66FF867C}">
                  <a14:compatExt spid="_x0000_s6671"/>
                </a:ext>
              </a:extLst>
            </xdr:cNvPr>
            <xdr:cNvSpPr/>
          </xdr:nvSpPr>
          <xdr:spPr>
            <a:xfrm>
              <a:off x="0" y="0"/>
              <a:ext cx="0" cy="0"/>
            </a:xfrm>
            <a:prstGeom prst="rect">
              <a:avLst/>
            </a:prstGeom>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58</xdr:col>
      <xdr:colOff>0</xdr:colOff>
      <xdr:row>3</xdr:row>
      <xdr:rowOff>50800</xdr:rowOff>
    </xdr:from>
    <xdr:to>
      <xdr:col>60</xdr:col>
      <xdr:colOff>25400</xdr:colOff>
      <xdr:row>7</xdr:row>
      <xdr:rowOff>76200</xdr:rowOff>
    </xdr:to>
    <xdr:sp macro="" textlink="">
      <xdr:nvSpPr>
        <xdr:cNvPr id="8194" name="test_list_box" hidden="1">
          <a:extLst>
            <a:ext uri="{63B3BB69-23CF-44E3-9099-C40C66FF867C}">
              <a14:compatExt xmlns:a14="http://schemas.microsoft.com/office/drawing/2010/main" spid="_x0000_s8194"/>
            </a:ext>
          </a:extLst>
        </xdr:cNvPr>
        <xdr:cNvSpPr/>
      </xdr:nvSpPr>
      <xdr:spPr>
        <a:xfrm>
          <a:off x="0" y="0"/>
          <a:ext cx="0" cy="0"/>
        </a:xfrm>
        <a:prstGeom prst="rect">
          <a:avLst/>
        </a:prstGeom>
      </xdr:spPr>
    </xdr:sp>
    <xdr:clientData fPrintsWithSheet="0"/>
  </xdr:twoCellAnchor>
  <mc:AlternateContent xmlns:mc="http://schemas.openxmlformats.org/markup-compatibility/2006">
    <mc:Choice xmlns:a14="http://schemas.microsoft.com/office/drawing/2010/main" Requires="a14">
      <xdr:twoCellAnchor editAs="oneCell">
        <xdr:from>
          <xdr:col>58</xdr:col>
          <xdr:colOff>0</xdr:colOff>
          <xdr:row>3</xdr:row>
          <xdr:rowOff>50800</xdr:rowOff>
        </xdr:from>
        <xdr:to>
          <xdr:col>60</xdr:col>
          <xdr:colOff>25400</xdr:colOff>
          <xdr:row>7</xdr:row>
          <xdr:rowOff>76200</xdr:rowOff>
        </xdr:to>
        <xdr:sp macro="" textlink="">
          <xdr:nvSpPr>
            <xdr:cNvPr id="2" name="test_list_box" hidden="1">
              <a:extLst>
                <a:ext uri="{63B3BB69-23CF-44E3-9099-C40C66FF867C}">
                  <a14:compatExt spid="_x0000_s8194"/>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plant_and_animal" connectionId="1" autoFormatId="0" applyNumberFormats="0" applyBorderFormats="0" applyFontFormats="1" applyPatternFormats="1" applyAlignmentFormats="0" applyWidthHeightFormats="0"/>
</file>

<file path=xl/tables/table1.xml><?xml version="1.0" encoding="utf-8"?>
<table xmlns="http://schemas.openxmlformats.org/spreadsheetml/2006/main" id="20" name="Table20" displayName="Table20" ref="A1:DG2" totalsRowShown="0" headerRowDxfId="348" dataDxfId="347">
  <autoFilter ref="A1:DG2"/>
  <tableColumns count="111">
    <tableColumn id="14" name="row" dataDxfId="346" totalsRowDxfId="345"/>
    <tableColumn id="1" name="*sample_name" dataDxfId="344"/>
    <tableColumn id="110" name="original_facility_id" dataDxfId="343"/>
    <tableColumn id="109" name="original_submittor_id" dataDxfId="342"/>
    <tableColumn id="94" name="past_id_1" dataDxfId="341" totalsRowDxfId="340"/>
    <tableColumn id="95" name="past_id_2" dataDxfId="339" totalsRowDxfId="338"/>
    <tableColumn id="70" name="curator1_facility_id" dataDxfId="337" totalsRowDxfId="336"/>
    <tableColumn id="71" name="curator1_isolate_id" dataDxfId="335" totalsRowDxfId="334"/>
    <tableColumn id="24" name="curator2_facility_id" dataDxfId="333" totalsRowDxfId="332" dataCellStyle="Normal 2"/>
    <tableColumn id="31" name="curator2_isolate_id" dataDxfId="331" totalsRowDxfId="330" dataCellStyle="Normal 2"/>
    <tableColumn id="35" name="*attribute_package" dataDxfId="329"/>
    <tableColumn id="34" name="description" dataDxfId="328"/>
    <tableColumn id="2" name="*bioproject_accession" dataDxfId="327"/>
    <tableColumn id="3" name="sample_title" dataDxfId="326"/>
    <tableColumn id="4" name="*organism" dataDxfId="325"/>
    <tableColumn id="6" name="strain" dataDxfId="324"/>
    <tableColumn id="79" name="*collected_by" dataDxfId="323" totalsRowDxfId="322"/>
    <tableColumn id="83" name="institution_code" dataDxfId="321" totalsRowDxfId="320"/>
    <tableColumn id="80" name="collection_code" dataDxfId="319" totalsRowDxfId="318"/>
    <tableColumn id="78" name="specimen_id" dataDxfId="317" totalsRowDxfId="316"/>
    <tableColumn id="81" name="culture_id" dataDxfId="315" totalsRowDxfId="314"/>
    <tableColumn id="18" name="specimen_voucher" dataDxfId="313" totalsRowDxfId="312"/>
    <tableColumn id="12" name="culture_collection" dataDxfId="311" totalsRowDxfId="310"/>
    <tableColumn id="16" name="serotype" dataDxfId="309"/>
    <tableColumn id="72" name="o_antigen" dataDxfId="308" totalsRowDxfId="307"/>
    <tableColumn id="73" name="h_antigen" dataDxfId="306" totalsRowDxfId="305"/>
    <tableColumn id="74" name="k_antigen" dataDxfId="304" totalsRowDxfId="303"/>
    <tableColumn id="7" name="other_antigen" dataDxfId="302"/>
    <tableColumn id="105" name="listeria_antigen" dataDxfId="301" totalsRowDxfId="300"/>
    <tableColumn id="17" name="serovar" dataDxfId="299" totalsRowDxfId="298"/>
    <tableColumn id="41" name="serovar_name" dataDxfId="297" totalsRowDxfId="296"/>
    <tableColumn id="75" name="serovar_formula" dataDxfId="295" totalsRowDxfId="294"/>
    <tableColumn id="5" name="isolate" dataDxfId="293" totalsRowDxfId="292"/>
    <tableColumn id="13" name="genotype" dataDxfId="291" totalsRowDxfId="290"/>
    <tableColumn id="15" name="pathotype" dataDxfId="289" totalsRowDxfId="288"/>
    <tableColumn id="19" name="subgroup" dataDxfId="287" totalsRowDxfId="286"/>
    <tableColumn id="20" name="subtype" dataDxfId="285" totalsRowDxfId="284"/>
    <tableColumn id="38" name="phage_type" dataDxfId="283" totalsRowDxfId="282"/>
    <tableColumn id="77" name="phage_type_dt" dataDxfId="281" totalsRowDxfId="280"/>
    <tableColumn id="76" name="phage_type_pt" dataDxfId="279" totalsRowDxfId="278"/>
    <tableColumn id="101" name="pfge_enzyme_1_pattern" dataDxfId="277" totalsRowDxfId="276"/>
    <tableColumn id="102" name="pfge_enzyme_2_pattern" dataDxfId="275" totalsRowDxfId="274"/>
    <tableColumn id="107" name="clonal_complex" dataDxfId="273" totalsRowDxfId="272"/>
    <tableColumn id="8" name="*collection_date" dataDxfId="271" totalsRowDxfId="270"/>
    <tableColumn id="33" name="postal_code" dataDxfId="269" totalsRowDxfId="268"/>
    <tableColumn id="42" name="country" dataDxfId="267" totalsRowDxfId="266"/>
    <tableColumn id="43" name="region" dataDxfId="265" totalsRowDxfId="264"/>
    <tableColumn id="44" name="city" dataDxfId="263" totalsRowDxfId="262"/>
    <tableColumn id="45" name="latitude" dataDxfId="261" totalsRowDxfId="260"/>
    <tableColumn id="46" name="longitude" dataDxfId="259" totalsRowDxfId="258"/>
    <tableColumn id="9" name="*geo_loc_name" dataDxfId="257" totalsRowDxfId="256"/>
    <tableColumn id="11" name="*lat_lon" dataDxfId="255" totalsRowDxfId="254"/>
    <tableColumn id="47" name="street_address" dataDxfId="253" totalsRowDxfId="252"/>
    <tableColumn id="103" name="collection_matrix" dataDxfId="251" totalsRowDxfId="250"/>
    <tableColumn id="106" name="source_material_category" dataDxfId="249" totalsRowDxfId="248"/>
    <tableColumn id="82" name="host_common_name" dataDxfId="247" totalsRowDxfId="246"/>
    <tableColumn id="22" name="*host" dataDxfId="245" totalsRowDxfId="244"/>
    <tableColumn id="21" name="env_material" dataDxfId="243" totalsRowDxfId="242"/>
    <tableColumn id="54" name="env_feature" dataDxfId="241" totalsRowDxfId="240"/>
    <tableColumn id="40" name="isolation_source_food_type" dataDxfId="239" totalsRowDxfId="238"/>
    <tableColumn id="36" name="isolation_source_food" dataDxfId="237" totalsRowDxfId="236"/>
    <tableColumn id="104" name="preservation_method" dataDxfId="235" totalsRowDxfId="234"/>
    <tableColumn id="10" name="*isolation_source" dataDxfId="233"/>
    <tableColumn id="108" name="isolation_source_text" dataDxfId="232" totalsRowDxfId="231"/>
    <tableColumn id="32" name="host_description" dataDxfId="230" totalsRowDxfId="229"/>
    <tableColumn id="111" name="*host_disease" dataDxfId="228" totalsRowDxfId="227"/>
    <tableColumn id="23" name="host_subject_id" dataDxfId="226" totalsRowDxfId="225"/>
    <tableColumn id="25" name="host_age" dataDxfId="224" totalsRowDxfId="223"/>
    <tableColumn id="26" name="host_disease_outcome" dataDxfId="222" totalsRowDxfId="221"/>
    <tableColumn id="27" name="host_disease_stage" dataDxfId="220" totalsRowDxfId="219"/>
    <tableColumn id="28" name="host_health_state" dataDxfId="218" totalsRowDxfId="217"/>
    <tableColumn id="29" name="host_sex" dataDxfId="216" totalsRowDxfId="215"/>
    <tableColumn id="30" name="host_tissue_sampled" dataDxfId="214" totalsRowDxfId="213"/>
    <tableColumn id="49" name="sequencing_facility" dataDxfId="212" totalsRowDxfId="211"/>
    <tableColumn id="50" name="sequencing_platform" dataDxfId="210" totalsRowDxfId="209"/>
    <tableColumn id="53" name="env_biome" dataDxfId="208" totalsRowDxfId="207"/>
    <tableColumn id="39" name="env_terrain" dataDxfId="206" totalsRowDxfId="205"/>
    <tableColumn id="52" name="env_season" dataDxfId="204" totalsRowDxfId="203"/>
    <tableColumn id="51" name="env_fecal_indicator" dataDxfId="202" totalsRowDxfId="201"/>
    <tableColumn id="55" name="env_collection_depth" dataDxfId="200" totalsRowDxfId="199"/>
    <tableColumn id="56" name="env_sample_temperature" dataDxfId="198" totalsRowDxfId="197"/>
    <tableColumn id="37" name="env_site_temperature" dataDxfId="196" totalsRowDxfId="195"/>
    <tableColumn id="96" name="env_precipitation" dataDxfId="194" totalsRowDxfId="193"/>
    <tableColumn id="97" name="env_water_velocity" dataDxfId="192" totalsRowDxfId="191"/>
    <tableColumn id="57" name="env_ph" dataDxfId="190" totalsRowDxfId="189"/>
    <tableColumn id="58" name="env_turbidity" dataDxfId="188" totalsRowDxfId="187"/>
    <tableColumn id="59" name="env_conductivity" dataDxfId="186" totalsRowDxfId="185"/>
    <tableColumn id="60" name="env_redox_potential" dataDxfId="184" totalsRowDxfId="183"/>
    <tableColumn id="62" name="env_disolved_o2_cons" dataDxfId="182" totalsRowDxfId="181"/>
    <tableColumn id="63" name="env_soluble_inorg" dataDxfId="180" totalsRowDxfId="179"/>
    <tableColumn id="64" name="env_soluble_inorg_cons" dataDxfId="178" totalsRowDxfId="177"/>
    <tableColumn id="65" name="env_nitrate_cons" dataDxfId="176" totalsRowDxfId="175"/>
    <tableColumn id="66" name="env_nitrite_cons" dataDxfId="174" totalsRowDxfId="173"/>
    <tableColumn id="67" name="env_phosphorous_cons" dataDxfId="172" totalsRowDxfId="171"/>
    <tableColumn id="48" name="comment" dataDxfId="170" totalsRowDxfId="169"/>
    <tableColumn id="61" name="stx_toxin_type" dataDxfId="168" totalsRowDxfId="167"/>
    <tableColumn id="68" name="stx_toxin_subtype" dataDxfId="166" totalsRowDxfId="165"/>
    <tableColumn id="69" name="stx1_toxin_pcr_result" dataDxfId="164" totalsRowDxfId="163"/>
    <tableColumn id="84" name="stx2_toxin_pcr_result" dataDxfId="162" totalsRowDxfId="161"/>
    <tableColumn id="85" name="stx_type_undefined" dataDxfId="160" totalsRowDxfId="159"/>
    <tableColumn id="86" name="contact" dataDxfId="158" totalsRowDxfId="157"/>
    <tableColumn id="87" name="comments" dataDxfId="156" totalsRowDxfId="155"/>
    <tableColumn id="88" name="sequencer_gaiix" dataDxfId="154" totalsRowDxfId="153"/>
    <tableColumn id="89" name="sequencer_454" dataDxfId="152" totalsRowDxfId="151"/>
    <tableColumn id="90" name="sequencer_iontorrent" dataDxfId="150" totalsRowDxfId="149"/>
    <tableColumn id="91" name="sequencer_miseq" dataDxfId="148" totalsRowDxfId="147"/>
    <tableColumn id="92" name="sequencer_pacbio" dataDxfId="146" totalsRowDxfId="145"/>
    <tableColumn id="93" name="sequencer_nanopore" dataDxfId="144" totalsRowDxfId="143"/>
    <tableColumn id="98" name="*isol_growth_medium" dataDxfId="142" totalsRowDxfId="141" dataCellStyle="Normal 2"/>
    <tableColumn id="99" name="*ploidy" dataDxfId="140" totalsRowDxfId="139"/>
    <tableColumn id="100" name="*propagation_method" dataDxfId="138" totalsRowDxfId="137"/>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D3:G291" totalsRowShown="0" headerRowDxfId="136" dataDxfId="134" headerRowBorderDxfId="135">
  <autoFilter ref="D3:G291"/>
  <sortState ref="D4:G289">
    <sortCondition ref="D4:D289"/>
    <sortCondition ref="E4:E289"/>
    <sortCondition ref="G4:G289"/>
  </sortState>
  <tableColumns count="4">
    <tableColumn id="1" name="Main Category" dataDxfId="133"/>
    <tableColumn id="2" name="Subcategory" dataDxfId="132"/>
    <tableColumn id="3" name="Item" dataDxfId="131"/>
    <tableColumn id="4" name="label" dataDxfId="13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P3:AR16" totalsRowShown="0" headerRowDxfId="129" dataDxfId="128" headerRowCellStyle="Normal 2" dataCellStyle="Normal 2">
  <autoFilter ref="AP3:AR16"/>
  <tableColumns count="3">
    <tableColumn id="1" name="Country" dataDxfId="127" dataCellStyle="Normal 2"/>
    <tableColumn id="2" name="ISO3166_1_alpha_2" dataDxfId="126" dataCellStyle="Normal 2"/>
    <tableColumn id="3" name="Code" dataDxfId="125" dataCellStyle="Normal 2"/>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K3:AN74" totalsRowShown="0" headerRowDxfId="124" dataDxfId="122" headerRowBorderDxfId="123" headerRowCellStyle="Heading 1">
  <autoFilter ref="AK3:AN74"/>
  <tableColumns count="4">
    <tableColumn id="1" name="Country" dataDxfId="121"/>
    <tableColumn id="2" name="Region" dataDxfId="120"/>
    <tableColumn id="3" name="ISO3166_2" dataDxfId="119"/>
    <tableColumn id="4" name="Designation" dataDxfId="118"/>
  </tableColumns>
  <tableStyleInfo name="TableStyleMedium2" showFirstColumn="0" showLastColumn="0" showRowStripes="1" showColumnStripes="0"/>
</table>
</file>

<file path=xl/tables/table5.xml><?xml version="1.0" encoding="utf-8"?>
<table xmlns="http://schemas.openxmlformats.org/spreadsheetml/2006/main" id="8" name="Table8" displayName="Table8" ref="AT3:AU16" totalsRowShown="0" headerRowDxfId="117" dataDxfId="116" headerRowCellStyle="Normal 2" dataCellStyle="Normal 2">
  <autoFilter ref="AT3:AU16"/>
  <sortState ref="AT4:AU16">
    <sortCondition ref="AT4"/>
  </sortState>
  <tableColumns count="2">
    <tableColumn id="1" name="Organism" dataDxfId="115" dataCellStyle="Normal 2"/>
    <tableColumn id="2" name="NCBI_Taxonomy_Id" dataDxfId="114" dataCellStyle="Normal 2"/>
  </tableColumns>
  <tableStyleInfo name="TableStyleMedium2" showFirstColumn="0" showLastColumn="0" showRowStripes="1" showColumnStripes="0"/>
</table>
</file>

<file path=xl/tables/table6.xml><?xml version="1.0" encoding="utf-8"?>
<table xmlns="http://schemas.openxmlformats.org/spreadsheetml/2006/main" id="12" name="Table12" displayName="Table12" ref="AT25:AV33" totalsRowShown="0" headerRowDxfId="113" dataDxfId="112">
  <autoFilter ref="AT25:AV33"/>
  <tableColumns count="3">
    <tableColumn id="1" name="Organism" dataDxfId="111"/>
    <tableColumn id="2" name="Primary Enzyme" dataDxfId="110"/>
    <tableColumn id="3" name="Secondary Enzyme" dataDxfId="109"/>
  </tableColumns>
  <tableStyleInfo name="TableStyleMedium2" showFirstColumn="0" showLastColumn="0" showRowStripes="1" showColumnStripes="0"/>
</table>
</file>

<file path=xl/tables/table7.xml><?xml version="1.0" encoding="utf-8"?>
<table xmlns="http://schemas.openxmlformats.org/spreadsheetml/2006/main" id="13" name="Table13" displayName="Table13" ref="BA3:BB11" totalsRowShown="0" headerRowDxfId="108" dataDxfId="107">
  <autoFilter ref="BA3:BB11"/>
  <sortState ref="BA4:BB8">
    <sortCondition ref="BA3"/>
  </sortState>
  <tableColumns count="2">
    <tableColumn id="1" name="Label" dataDxfId="106"/>
    <tableColumn id="2" name="Code" dataDxfId="105"/>
  </tableColumns>
  <tableStyleInfo name="TableStyleMedium2" showFirstColumn="0" showLastColumn="0" showRowStripes="1" showColumnStripes="0"/>
</table>
</file>

<file path=xl/tables/table8.xml><?xml version="1.0" encoding="utf-8"?>
<table xmlns="http://schemas.openxmlformats.org/spreadsheetml/2006/main" id="14" name="Table14" displayName="Table14" ref="BA18:BB22" totalsRowShown="0" headerRowDxfId="104" dataDxfId="103">
  <autoFilter ref="BA18:BB22"/>
  <sortState ref="BA17:BB20">
    <sortCondition ref="BA16"/>
  </sortState>
  <tableColumns count="2">
    <tableColumn id="1" name="Label" dataDxfId="102"/>
    <tableColumn id="2" name="Code" dataDxfId="101"/>
  </tableColumns>
  <tableStyleInfo name="TableStyleMedium2" showFirstColumn="0" showLastColumn="0" showRowStripes="1" showColumnStripes="0"/>
</table>
</file>

<file path=xl/tables/table9.xml><?xml version="1.0" encoding="utf-8"?>
<table xmlns="http://schemas.openxmlformats.org/spreadsheetml/2006/main" id="15" name="Table15" displayName="Table15" ref="M3:P23" totalsRowShown="0" headerRowDxfId="100" dataDxfId="99">
  <autoFilter ref="M3:P23"/>
  <sortState ref="M4:P22">
    <sortCondition ref="N3:N22"/>
  </sortState>
  <tableColumns count="4">
    <tableColumn id="1" name="Key" dataDxfId="98"/>
    <tableColumn id="3" name="Label" dataDxfId="97"/>
    <tableColumn id="2" name="Code" dataDxfId="96"/>
    <tableColumn id="4" name="Tax_Label" dataDxfId="95"/>
  </tableColumns>
  <tableStyleInfo name="TableStyleMedium2" showFirstColumn="0" showLastColumn="0" showRowStripes="1" showColumnStripes="0"/>
</table>
</file>

<file path=xl/tables/table10.xml><?xml version="1.0" encoding="utf-8"?>
<table xmlns="http://schemas.openxmlformats.org/spreadsheetml/2006/main" id="16" name="Table16" displayName="Table16" ref="AB3:AC58" totalsRowShown="0" headerRowDxfId="94" dataDxfId="93" headerRowCellStyle="Normal 2" dataCellStyle="Normal 2">
  <autoFilter ref="AB3:AC58"/>
  <sortState ref="AB4:AC57">
    <sortCondition ref="AB4"/>
  </sortState>
  <tableColumns count="2">
    <tableColumn id="1" name="Label" dataDxfId="92" dataCellStyle="Normal 2"/>
    <tableColumn id="2" name="Code" dataDxfId="91" dataCellStyle="Normal 2"/>
  </tableColumns>
  <tableStyleInfo name="TableStyleMedium2" showFirstColumn="0" showLastColumn="0" showRowStripes="1" showColumnStripes="0"/>
</table>
</file>

<file path=xl/tables/table11.xml><?xml version="1.0" encoding="utf-8"?>
<table xmlns="http://schemas.openxmlformats.org/spreadsheetml/2006/main" id="21" name="Table21" displayName="Table21" ref="U3:W28" totalsRowShown="0" headerRowDxfId="90" dataDxfId="89">
  <autoFilter ref="U3:W28"/>
  <sortState ref="U4:X25">
    <sortCondition ref="U3"/>
  </sortState>
  <tableColumns count="3">
    <tableColumn id="1" name="key" dataDxfId="88"/>
    <tableColumn id="2" name="Name" dataDxfId="87"/>
    <tableColumn id="3" name="Code" dataDxfId="86"/>
  </tableColumns>
  <tableStyleInfo name="TableStyleMedium1" showFirstColumn="0" showLastColumn="0" showRowStripes="1" showColumnStripes="0"/>
</table>
</file>

<file path=xl/tables/table12.xml><?xml version="1.0" encoding="utf-8"?>
<table xmlns="http://schemas.openxmlformats.org/spreadsheetml/2006/main" id="10" name="Table10" displayName="Table10" ref="BA27:BB30" totalsRowShown="0" headerRowDxfId="85" dataDxfId="84">
  <autoFilter ref="BA27:BB30"/>
  <tableColumns count="2">
    <tableColumn id="1" name="Label" dataDxfId="83"/>
    <tableColumn id="2" name="Code" dataDxfId="82"/>
  </tableColumns>
  <tableStyleInfo name="TableStyleMedium2" showFirstColumn="0" showLastColumn="0" showRowStripes="1" showColumnStripes="0"/>
</table>
</file>

<file path=xl/tables/table13.xml><?xml version="1.0" encoding="utf-8"?>
<table xmlns="http://schemas.openxmlformats.org/spreadsheetml/2006/main" id="17" name="Table17" displayName="Table17" ref="AX23:AY24" totalsRowShown="0" headerRowDxfId="81" dataDxfId="79" headerRowBorderDxfId="80" tableBorderDxfId="78">
  <autoFilter ref="AX23:AY24"/>
  <sortState ref="AX43:AY52">
    <sortCondition ref="AX16:AX26"/>
  </sortState>
  <tableColumns count="2">
    <tableColumn id="1" name="Label" dataDxfId="77"/>
    <tableColumn id="2" name="Code" dataDxfId="76"/>
  </tableColumns>
  <tableStyleInfo name="TableStyleMedium2" showFirstColumn="0" showLastColumn="0" showRowStripes="1" showColumnStripes="0"/>
</table>
</file>

<file path=xl/tables/table14.xml><?xml version="1.0" encoding="utf-8"?>
<table xmlns="http://schemas.openxmlformats.org/spreadsheetml/2006/main" id="18" name="Table18" displayName="Table18" ref="Y3:Z43" totalsRowShown="0" headerRowDxfId="75" dataDxfId="74" headerRowCellStyle="Normal 2" dataCellStyle="Normal 2">
  <autoFilter ref="Y3:Z43"/>
  <sortState ref="Y4:Z35">
    <sortCondition ref="Y3:Y35"/>
  </sortState>
  <tableColumns count="2">
    <tableColumn id="2" name="Name" dataDxfId="73" dataCellStyle="Normal 2"/>
    <tableColumn id="3" name="Code" dataDxfId="72" dataCellStyle="Normal 2"/>
  </tableColumns>
  <tableStyleInfo name="TableStyleMedium2" showFirstColumn="0" showLastColumn="0" showRowStripes="1" showColumnStripes="0"/>
</table>
</file>

<file path=xl/tables/table15.xml><?xml version="1.0" encoding="utf-8"?>
<table xmlns="http://schemas.openxmlformats.org/spreadsheetml/2006/main" id="23" name="Table23" displayName="Table23" ref="M35:N45" totalsRowShown="0" headerRowDxfId="71" dataDxfId="70">
  <autoFilter ref="M35:N45"/>
  <tableColumns count="2">
    <tableColumn id="1" name="Label" dataDxfId="69"/>
    <tableColumn id="2" name="Code" dataDxfId="68"/>
  </tableColumns>
  <tableStyleInfo name="TableStyleMedium2" showFirstColumn="0" showLastColumn="0" showRowStripes="1" showColumnStripes="0"/>
</table>
</file>

<file path=xl/tables/table16.xml><?xml version="1.0" encoding="utf-8"?>
<table xmlns="http://schemas.openxmlformats.org/spreadsheetml/2006/main" id="24" name="Table24" displayName="Table24" ref="BD3:BL2583" totalsRowShown="0" headerRowDxfId="67" dataDxfId="66">
  <autoFilter ref="BD3:BL2583"/>
  <tableColumns count="9">
    <tableColumn id="1" name="#" dataDxfId="65"/>
    <tableColumn id="2" name="SG_H1_H2" dataDxfId="64"/>
    <tableColumn id="3" name="Serovar" dataDxfId="63"/>
    <tableColumn id="4" name="Serogroup" dataDxfId="62"/>
    <tableColumn id="5" name="Somatic Antigens" dataDxfId="61"/>
    <tableColumn id="6" name="H1" dataDxfId="60"/>
    <tableColumn id="7" name="H2" dataDxfId="59"/>
    <tableColumn id="8" name="Antigenic Formula" dataDxfId="58"/>
    <tableColumn id="9" name="Group" dataDxfId="57"/>
  </tableColumns>
  <tableStyleInfo name="TableStyleMedium2" showFirstColumn="0" showLastColumn="0" showRowStripes="1" showColumnStripes="0"/>
</table>
</file>

<file path=xl/tables/table17.xml><?xml version="1.0" encoding="utf-8"?>
<table xmlns="http://schemas.openxmlformats.org/spreadsheetml/2006/main" id="25" name="Table25" displayName="Table25" ref="AH3:AI24" totalsRowShown="0" headerRowDxfId="56" dataDxfId="55" headerRowCellStyle="Normal 2">
  <autoFilter ref="AH3:AI24"/>
  <tableColumns count="2">
    <tableColumn id="1" name="Name" dataDxfId="54"/>
    <tableColumn id="2" name="Code" dataDxfId="53"/>
  </tableColumns>
  <tableStyleInfo name="TableStyleMedium2" showFirstColumn="0" showLastColumn="0" showRowStripes="1" showColumnStripes="0"/>
</table>
</file>

<file path=xl/tables/table18.xml><?xml version="1.0" encoding="utf-8"?>
<table xmlns="http://schemas.openxmlformats.org/spreadsheetml/2006/main" id="9" name="Table9" displayName="Table9" ref="M68:N74" totalsRowShown="0" headerRowDxfId="52" dataDxfId="51">
  <autoFilter ref="M68:N74"/>
  <sortState ref="M95:N97">
    <sortCondition ref="M97"/>
  </sortState>
  <tableColumns count="2">
    <tableColumn id="1" name="Name" dataDxfId="50"/>
    <tableColumn id="2" name="Code" dataDxfId="49"/>
  </tableColumns>
  <tableStyleInfo name="TableStyleMedium2" showFirstColumn="0" showLastColumn="0" showRowStripes="1" showColumnStripes="0"/>
</table>
</file>

<file path=xl/tables/table19.xml><?xml version="1.0" encoding="utf-8"?>
<table xmlns="http://schemas.openxmlformats.org/spreadsheetml/2006/main" id="26" name="Table26" displayName="Table26" ref="M52:O64" totalsRowShown="0" headerRowDxfId="48" dataDxfId="47">
  <autoFilter ref="M52:O64"/>
  <sortState ref="M80:N87">
    <sortCondition ref="M87"/>
  </sortState>
  <tableColumns count="3">
    <tableColumn id="1" name="Name" dataDxfId="46"/>
    <tableColumn id="2" name="Code" dataDxfId="45"/>
    <tableColumn id="3" name="Column1" dataDxfId="44"/>
  </tableColumns>
  <tableStyleInfo name="TableStyleMedium7" showFirstColumn="0" showLastColumn="0" showRowStripes="1" showColumnStripes="0"/>
</table>
</file>

<file path=xl/tables/table20.xml><?xml version="1.0" encoding="utf-8"?>
<table xmlns="http://schemas.openxmlformats.org/spreadsheetml/2006/main" id="33" name="Table33" displayName="Table33" ref="BQ3:BR970" totalsRowShown="0" headerRowDxfId="43" dataDxfId="42">
  <autoFilter ref="BQ3:BR970"/>
  <tableColumns count="2">
    <tableColumn id="1" name="Label" dataDxfId="41"/>
    <tableColumn id="2" name="Code" dataDxfId="40"/>
  </tableColumns>
  <tableStyleInfo name="TableStyleLight3" showFirstColumn="0" showLastColumn="0" showRowStripes="1" showColumnStripes="0"/>
</table>
</file>

<file path=xl/tables/table21.xml><?xml version="1.0" encoding="utf-8"?>
<table xmlns="http://schemas.openxmlformats.org/spreadsheetml/2006/main" id="28" name="Table28" displayName="Table28" ref="AE3:AF30" totalsRowShown="0" headerRowDxfId="39" dataDxfId="38" tableBorderDxfId="37" headerRowCellStyle="Normal 2" dataCellStyle="Normal">
  <autoFilter ref="AE3:AF30"/>
  <sortState ref="AE4:AF30">
    <sortCondition ref="AE3:AE30"/>
  </sortState>
  <tableColumns count="2">
    <tableColumn id="1" name="label" dataDxfId="36" dataCellStyle="Normal"/>
    <tableColumn id="2" name="code" dataDxfId="35" dataCellStyle="Normal"/>
  </tableColumns>
  <tableStyleInfo name="TableStyleMedium2" showFirstColumn="0" showLastColumn="0" showRowStripes="1" showColumnStripes="0"/>
</table>
</file>

<file path=xl/tables/table22.xml><?xml version="1.0" encoding="utf-8"?>
<table xmlns="http://schemas.openxmlformats.org/spreadsheetml/2006/main" id="29" name="Table29" displayName="Table29" ref="B3:B19" totalsRowShown="0" headerRowDxfId="34" dataDxfId="32" headerRowBorderDxfId="33">
  <autoFilter ref="B3:B19"/>
  <sortState ref="B4:B13">
    <sortCondition ref="B3:B13"/>
  </sortState>
  <tableColumns count="1">
    <tableColumn id="1" name="label" dataDxfId="31"/>
  </tableColumns>
  <tableStyleInfo name="TableStyleMedium2" showFirstColumn="0" showLastColumn="0" showRowStripes="1" showColumnStripes="0"/>
</table>
</file>

<file path=xl/tables/table23.xml><?xml version="1.0" encoding="utf-8"?>
<table xmlns="http://schemas.openxmlformats.org/spreadsheetml/2006/main" id="1" name="Table1" displayName="Table1" ref="BN3:BO17" totalsRowShown="0" headerRowDxfId="30" dataDxfId="29">
  <autoFilter ref="BN3:BO17"/>
  <sortState ref="BN4:BN14">
    <sortCondition ref="BN3:BN14"/>
  </sortState>
  <tableColumns count="2">
    <tableColumn id="1" name="Listera Serotypes" dataDxfId="28"/>
    <tableColumn id="2" name="Code" dataDxfId="27"/>
  </tableColumns>
  <tableStyleInfo name="TableStyleMedium2" showFirstColumn="0" showLastColumn="0" showRowStripes="1" showColumnStripes="0"/>
</table>
</file>

<file path=xl/tables/table24.xml><?xml version="1.0" encoding="utf-8"?>
<table xmlns="http://schemas.openxmlformats.org/spreadsheetml/2006/main" id="27" name="Table27" displayName="Table27" ref="R3:S32" totalsRowShown="0" headerRowDxfId="26" dataDxfId="25">
  <autoFilter ref="R3:S32"/>
  <sortState ref="R4:S21">
    <sortCondition ref="R3"/>
  </sortState>
  <tableColumns count="2">
    <tableColumn id="1" name="label" dataDxfId="24"/>
    <tableColumn id="2" name="code" dataDxfId="23"/>
  </tableColumns>
  <tableStyleInfo name="TableStyleMedium2" showFirstColumn="0" showLastColumn="0" showRowStripes="1" showColumnStripes="0"/>
</table>
</file>

<file path=xl/tables/table25.xml><?xml version="1.0" encoding="utf-8"?>
<table xmlns="http://schemas.openxmlformats.org/spreadsheetml/2006/main" id="30" name="Table30" displayName="Table30" ref="J3:K22" totalsRowShown="0" headerRowDxfId="22" dataDxfId="21">
  <autoFilter ref="J3:K22"/>
  <sortState ref="J4:K19">
    <sortCondition ref="J4"/>
  </sortState>
  <tableColumns count="2">
    <tableColumn id="1" name="label" dataDxfId="20"/>
    <tableColumn id="2" name="code" dataDxfId="19"/>
  </tableColumns>
  <tableStyleInfo name="TableStyleMedium2" showFirstColumn="0" showLastColumn="0" showRowStripes="1" showColumnStripes="0"/>
</table>
</file>

<file path=xl/tables/table26.xml><?xml version="1.0" encoding="utf-8"?>
<table xmlns="http://schemas.openxmlformats.org/spreadsheetml/2006/main" id="31" name="Table31" displayName="Table31" ref="R39:S48" totalsRowShown="0" headerRowDxfId="18" dataDxfId="17">
  <autoFilter ref="R39:S48"/>
  <sortState ref="R27:S34">
    <sortCondition ref="R27"/>
  </sortState>
  <tableColumns count="2">
    <tableColumn id="1" name="label" dataDxfId="16"/>
    <tableColumn id="2" name="code" dataDxfId="15"/>
  </tableColumns>
  <tableStyleInfo name="TableStyleMedium2" showFirstColumn="0" showLastColumn="0" showRowStripes="1" showColumnStripes="0"/>
</table>
</file>

<file path=xl/tables/table27.xml><?xml version="1.0" encoding="utf-8"?>
<table xmlns="http://schemas.openxmlformats.org/spreadsheetml/2006/main" id="32" name="Table32" displayName="Table32" ref="B34:B75" totalsRowShown="0" headerRowDxfId="14" dataDxfId="13">
  <autoFilter ref="B34:B75"/>
  <tableColumns count="1">
    <tableColumn id="1" name="label" dataDxfId="12"/>
  </tableColumns>
  <tableStyleInfo name="TableStyleMedium2" showFirstColumn="0" showLastColumn="0" showRowStripes="1" showColumnStripes="0"/>
</table>
</file>

<file path=xl/tables/table28.xml><?xml version="1.0" encoding="utf-8"?>
<table xmlns="http://schemas.openxmlformats.org/spreadsheetml/2006/main" id="35" name="Table35" displayName="Table35" ref="V32:W59" totalsRowShown="0" headerRowDxfId="11" dataDxfId="10">
  <autoFilter ref="V32:W59"/>
  <tableColumns count="2">
    <tableColumn id="1" name="Label" dataDxfId="9"/>
    <tableColumn id="2" name="Code" dataDxfId="8"/>
  </tableColumns>
  <tableStyleInfo name="TableStyleMedium2" showFirstColumn="0" showLastColumn="0" showRowStripes="1" showColumnStripes="0"/>
</table>
</file>

<file path=xl/tables/table29.xml><?xml version="1.0" encoding="utf-8"?>
<table xmlns="http://schemas.openxmlformats.org/spreadsheetml/2006/main" id="36" name="Table36" displayName="Table36" ref="AX14:AY16" totalsRowShown="0" headerRowDxfId="7" dataDxfId="6">
  <autoFilter ref="AX14:AY16"/>
  <tableColumns count="2">
    <tableColumn id="1" name="Label" dataDxfId="5"/>
    <tableColumn id="2" name="Code" dataDxfId="4"/>
  </tableColumns>
  <tableStyleInfo name="TableStyleMedium2" showFirstColumn="0" showLastColumn="0" showRowStripes="1" showColumnStripes="0"/>
</table>
</file>

<file path=xl/tables/table30.xml><?xml version="1.0" encoding="utf-8"?>
<table xmlns="http://schemas.openxmlformats.org/spreadsheetml/2006/main" id="37" name="Table37" displayName="Table37" ref="AX3:AY4" totalsRowShown="0" headerRowDxfId="3" dataDxfId="2">
  <autoFilter ref="AX3:AY4"/>
  <tableColumns count="2">
    <tableColumn id="1" name="Label" dataDxfId="1"/>
    <tableColumn id="2" name="Code" dataDxfId="0"/>
  </tableColumns>
  <tableStyleInfo name="TableStyleMedium2"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eg"/></Relationships>
</file>

<file path=xl/theme/theme1.xml><?xml version="1.0" encoding="utf-8"?>
<a:theme xmlns:a="http://schemas.openxmlformats.org/drawingml/2006/main" name="Angles">
  <a:themeElements>
    <a:clrScheme name="Angles">
      <a:dk1>
        <a:srgbClr val="000000"/>
      </a:dk1>
      <a:lt1>
        <a:srgbClr val="FFFFFF"/>
      </a:lt1>
      <a:dk2>
        <a:srgbClr val="434342"/>
      </a:dk2>
      <a:lt2>
        <a:srgbClr val="CDD7D9"/>
      </a:lt2>
      <a:accent1>
        <a:srgbClr val="797B7E"/>
      </a:accent1>
      <a:accent2>
        <a:srgbClr val="F96A1B"/>
      </a:accent2>
      <a:accent3>
        <a:srgbClr val="08A1D9"/>
      </a:accent3>
      <a:accent4>
        <a:srgbClr val="7C984A"/>
      </a:accent4>
      <a:accent5>
        <a:srgbClr val="C2AD8D"/>
      </a:accent5>
      <a:accent6>
        <a:srgbClr val="506E94"/>
      </a:accent6>
      <a:hlink>
        <a:srgbClr val="5F5F5F"/>
      </a:hlink>
      <a:folHlink>
        <a:srgbClr val="969696"/>
      </a:folHlink>
    </a:clrScheme>
    <a:fontScheme name="Angles">
      <a:majorFont>
        <a:latin typeface="Franklin Gothic Medium"/>
        <a:ea typeface=""/>
        <a:cs typeface=""/>
        <a:font script="Jpan" typeface="HG創英角ｺﾞｼｯｸUB"/>
        <a:font script="Hang" typeface="돋움"/>
        <a:font script="Hans" typeface="微软雅黑"/>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a:ea typeface=""/>
        <a:cs typeface=""/>
        <a:font script="Jpan" typeface="ＭＳ Ｐゴシック"/>
        <a:font script="Hang" typeface="맑은 고딕"/>
        <a:font script="Hans" typeface="华文隶书"/>
        <a:font script="Hant" typeface="新細明體"/>
        <a:font script="Arab" typeface="Arial"/>
        <a:font script="Hebr" typeface="Arial"/>
        <a:font script="Thai" typeface="Cordi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Angle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20400000"/>
            </a:lightRig>
          </a:scene3d>
          <a:sp3d contourW="6350">
            <a:bevelT w="41275" h="19050" prst="angle"/>
            <a:contourClr>
              <a:schemeClr val="phClr">
                <a:shade val="25000"/>
                <a:satMod val="150000"/>
              </a:schemeClr>
            </a:contourClr>
          </a:sp3d>
        </a:effectStyle>
      </a:effectStyleLst>
      <a:bgFillStyleLst>
        <a:solidFill>
          <a:schemeClr val="phClr"/>
        </a:solidFill>
        <a:blipFill rotWithShape="1">
          <a:blip xmlns:r="http://schemas.openxmlformats.org/officeDocument/2006/relationships" r:embed="rId1">
            <a:duotone>
              <a:schemeClr val="phClr">
                <a:tint val="90000"/>
                <a:shade val="85000"/>
              </a:schemeClr>
              <a:schemeClr val="phClr">
                <a:tint val="95000"/>
                <a:shade val="99000"/>
              </a:schemeClr>
            </a:duotone>
          </a:blip>
          <a:tile tx="0" ty="0" sx="100000" sy="100000" flip="none" algn="tl"/>
        </a:blipFill>
        <a:blipFill rotWithShape="1">
          <a:blip xmlns:r="http://schemas.openxmlformats.org/officeDocument/2006/relationships" r:embed="rId2">
            <a:duotone>
              <a:schemeClr val="phClr">
                <a:tint val="93000"/>
                <a:shade val="85000"/>
              </a:schemeClr>
              <a:schemeClr val="phClr">
                <a:tint val="96000"/>
                <a:shade val="99000"/>
              </a:schemeClr>
            </a:duotone>
          </a:blip>
          <a:tile tx="0" ty="0" sx="90000" sy="9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9" Type="http://schemas.openxmlformats.org/officeDocument/2006/relationships/hyperlink" Target="https://submit.ncbi.nlm.nih.gov/biosample/template/?package=Pathogen.combined.1.0&amp;action=definition" TargetMode="External"/><Relationship Id="rId20" Type="http://schemas.openxmlformats.org/officeDocument/2006/relationships/ctrlProp" Target="../ctrlProps/ctrlProp7.xml"/><Relationship Id="rId21" Type="http://schemas.openxmlformats.org/officeDocument/2006/relationships/ctrlProp" Target="../ctrlProps/ctrlProp8.xml"/><Relationship Id="rId22" Type="http://schemas.openxmlformats.org/officeDocument/2006/relationships/ctrlProp" Target="../ctrlProps/ctrlProp9.xml"/><Relationship Id="rId23" Type="http://schemas.openxmlformats.org/officeDocument/2006/relationships/comments" Target="../comments1.xml"/><Relationship Id="rId10" Type="http://schemas.openxmlformats.org/officeDocument/2006/relationships/hyperlink" Target="https://submit.ncbi.nlm.nih.gov/subs/biosample/" TargetMode="External"/><Relationship Id="rId11" Type="http://schemas.openxmlformats.org/officeDocument/2006/relationships/hyperlink" Target="http://purl.obolibrary.org/obo/OMP_0000207" TargetMode="External"/><Relationship Id="rId12" Type="http://schemas.openxmlformats.org/officeDocument/2006/relationships/drawing" Target="../drawings/drawing1.xml"/><Relationship Id="rId13" Type="http://schemas.openxmlformats.org/officeDocument/2006/relationships/vmlDrawing" Target="../drawings/vmlDrawing1.vml"/><Relationship Id="rId14" Type="http://schemas.openxmlformats.org/officeDocument/2006/relationships/ctrlProp" Target="../ctrlProps/ctrlProp1.xml"/><Relationship Id="rId15" Type="http://schemas.openxmlformats.org/officeDocument/2006/relationships/ctrlProp" Target="../ctrlProps/ctrlProp2.xml"/><Relationship Id="rId16" Type="http://schemas.openxmlformats.org/officeDocument/2006/relationships/ctrlProp" Target="../ctrlProps/ctrlProp3.xml"/><Relationship Id="rId17" Type="http://schemas.openxmlformats.org/officeDocument/2006/relationships/ctrlProp" Target="../ctrlProps/ctrlProp4.xml"/><Relationship Id="rId18" Type="http://schemas.openxmlformats.org/officeDocument/2006/relationships/ctrlProp" Target="../ctrlProps/ctrlProp5.xml"/><Relationship Id="rId19" Type="http://schemas.openxmlformats.org/officeDocument/2006/relationships/ctrlProp" Target="../ctrlProps/ctrlProp6.xml"/><Relationship Id="rId1" Type="http://schemas.openxmlformats.org/officeDocument/2006/relationships/hyperlink" Target="https://www.fcc.gov/encyclopedia/degrees-minutes-seconds-tofrom-decimal-degrees" TargetMode="External"/><Relationship Id="rId2" Type="http://schemas.openxmlformats.org/officeDocument/2006/relationships/hyperlink" Target="https://submit.ncbi.nlm.nih.gov/subs/biosample/" TargetMode="External"/><Relationship Id="rId3" Type="http://schemas.openxmlformats.org/officeDocument/2006/relationships/hyperlink" Target="http://ftp.ncbi.nlm.nih.gov/pub/taxonomy/coll_dump.txt" TargetMode="External"/><Relationship Id="rId4" Type="http://schemas.openxmlformats.org/officeDocument/2006/relationships/hyperlink" Target="http://bioportal.bioontology.org/ontologies/BTO/?p=classes&amp;conceptid=http%3A%2F%2Fpurl.obolibrary.org%2Fobo%2FBTO_0001489" TargetMode="External"/><Relationship Id="rId5" Type="http://schemas.openxmlformats.org/officeDocument/2006/relationships/hyperlink" Target="http://unstats.un.org/unsd/methods/m49/m49regin.htm" TargetMode="External"/><Relationship Id="rId6" Type="http://schemas.openxmlformats.org/officeDocument/2006/relationships/hyperlink" Target="http://www.ontobee.org/browser/rdf.php?o=ENVO&amp;iri=http://purl.obolibrary.org/obo/ENVO_00000428" TargetMode="External"/><Relationship Id="rId7" Type="http://schemas.openxmlformats.org/officeDocument/2006/relationships/hyperlink" Target="http://bioportal.bioontology.org/ontologies/BTO/?p=classes&amp;conceptid=http%3A%2F%2Fpurl.obolibrary.org%2Fobo%2FBTO_0001461" TargetMode="External"/><Relationship Id="rId8" Type="http://schemas.openxmlformats.org/officeDocument/2006/relationships/hyperlink" Target="http://www.ontobee.org/browser/rdf.php?o=ENVO&amp;iri=http://purl.obolibrary.org/obo/ENVO_00002297" TargetMode="External"/></Relationships>
</file>

<file path=xl/worksheets/_rels/sheet2.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table" Target="../tables/table1.x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0" Type="http://schemas.openxmlformats.org/officeDocument/2006/relationships/table" Target="../tables/table9.xml"/><Relationship Id="rId21" Type="http://schemas.openxmlformats.org/officeDocument/2006/relationships/table" Target="../tables/table10.xml"/><Relationship Id="rId22" Type="http://schemas.openxmlformats.org/officeDocument/2006/relationships/table" Target="../tables/table11.xml"/><Relationship Id="rId23" Type="http://schemas.openxmlformats.org/officeDocument/2006/relationships/table" Target="../tables/table12.xml"/><Relationship Id="rId24" Type="http://schemas.openxmlformats.org/officeDocument/2006/relationships/table" Target="../tables/table13.xml"/><Relationship Id="rId25" Type="http://schemas.openxmlformats.org/officeDocument/2006/relationships/table" Target="../tables/table14.xml"/><Relationship Id="rId26" Type="http://schemas.openxmlformats.org/officeDocument/2006/relationships/table" Target="../tables/table15.xml"/><Relationship Id="rId27" Type="http://schemas.openxmlformats.org/officeDocument/2006/relationships/table" Target="../tables/table16.xml"/><Relationship Id="rId28" Type="http://schemas.openxmlformats.org/officeDocument/2006/relationships/table" Target="../tables/table17.xml"/><Relationship Id="rId29" Type="http://schemas.openxmlformats.org/officeDocument/2006/relationships/table" Target="../tables/table18.xml"/><Relationship Id="rId1" Type="http://schemas.openxmlformats.org/officeDocument/2006/relationships/hyperlink" Target="http://purl.obolibrary.org/obo/OBI_0000730" TargetMode="External"/><Relationship Id="rId2" Type="http://schemas.openxmlformats.org/officeDocument/2006/relationships/hyperlink" Target="http://www.ontobee.org/browser/rdf.php?o=ENVO&amp;iri=http://purl.obolibrary.org/obo/ENVO_00000562" TargetMode="External"/><Relationship Id="rId3" Type="http://schemas.openxmlformats.org/officeDocument/2006/relationships/hyperlink" Target="http://purl.obolibrary.org/obo/ENVO_01000248" TargetMode="External"/><Relationship Id="rId4" Type="http://schemas.openxmlformats.org/officeDocument/2006/relationships/hyperlink" Target="http://www.ontobee.org/browser/rdf.php?o=ENVO&amp;iri=http://purl.obolibrary.org/obo/ENVO_00000546" TargetMode="External"/><Relationship Id="rId5" Type="http://schemas.openxmlformats.org/officeDocument/2006/relationships/hyperlink" Target="http://purl.obolibrary.org/obo/ENVO_00002258" TargetMode="External"/><Relationship Id="rId30" Type="http://schemas.openxmlformats.org/officeDocument/2006/relationships/table" Target="../tables/table19.xml"/><Relationship Id="rId31" Type="http://schemas.openxmlformats.org/officeDocument/2006/relationships/table" Target="../tables/table20.xml"/><Relationship Id="rId32" Type="http://schemas.openxmlformats.org/officeDocument/2006/relationships/table" Target="../tables/table21.xml"/><Relationship Id="rId9" Type="http://schemas.openxmlformats.org/officeDocument/2006/relationships/hyperlink" Target="http://semanticscience.org/resource/SIO_001012" TargetMode="External"/><Relationship Id="rId6" Type="http://schemas.openxmlformats.org/officeDocument/2006/relationships/hyperlink" Target="http://purl.obolibrary.org/obo/ENVO_00005747" TargetMode="External"/><Relationship Id="rId7" Type="http://schemas.openxmlformats.org/officeDocument/2006/relationships/hyperlink" Target="http://purl.obolibrary.org/obo/ENVO_00002263" TargetMode="External"/><Relationship Id="rId8" Type="http://schemas.openxmlformats.org/officeDocument/2006/relationships/hyperlink" Target="http://purl.obolibrary.org/obo/ENVO_00002259" TargetMode="External"/><Relationship Id="rId33" Type="http://schemas.openxmlformats.org/officeDocument/2006/relationships/table" Target="../tables/table22.xml"/><Relationship Id="rId34" Type="http://schemas.openxmlformats.org/officeDocument/2006/relationships/table" Target="../tables/table23.xml"/><Relationship Id="rId35" Type="http://schemas.openxmlformats.org/officeDocument/2006/relationships/table" Target="../tables/table24.xml"/><Relationship Id="rId36" Type="http://schemas.openxmlformats.org/officeDocument/2006/relationships/table" Target="../tables/table25.xml"/><Relationship Id="rId10" Type="http://schemas.openxmlformats.org/officeDocument/2006/relationships/drawing" Target="../drawings/drawing2.xml"/><Relationship Id="rId11" Type="http://schemas.openxmlformats.org/officeDocument/2006/relationships/vmlDrawing" Target="../drawings/vmlDrawing3.vml"/><Relationship Id="rId12" Type="http://schemas.openxmlformats.org/officeDocument/2006/relationships/ctrlProp" Target="../ctrlProps/ctrlProp10.xml"/><Relationship Id="rId13" Type="http://schemas.openxmlformats.org/officeDocument/2006/relationships/table" Target="../tables/table2.xml"/><Relationship Id="rId14" Type="http://schemas.openxmlformats.org/officeDocument/2006/relationships/table" Target="../tables/table3.xml"/><Relationship Id="rId15" Type="http://schemas.openxmlformats.org/officeDocument/2006/relationships/table" Target="../tables/table4.xml"/><Relationship Id="rId16" Type="http://schemas.openxmlformats.org/officeDocument/2006/relationships/table" Target="../tables/table5.xml"/><Relationship Id="rId17" Type="http://schemas.openxmlformats.org/officeDocument/2006/relationships/table" Target="../tables/table6.xml"/><Relationship Id="rId18" Type="http://schemas.openxmlformats.org/officeDocument/2006/relationships/table" Target="../tables/table7.xml"/><Relationship Id="rId19" Type="http://schemas.openxmlformats.org/officeDocument/2006/relationships/table" Target="../tables/table8.xml"/><Relationship Id="rId37" Type="http://schemas.openxmlformats.org/officeDocument/2006/relationships/table" Target="../tables/table26.xml"/><Relationship Id="rId38" Type="http://schemas.openxmlformats.org/officeDocument/2006/relationships/table" Target="../tables/table27.xml"/><Relationship Id="rId39" Type="http://schemas.openxmlformats.org/officeDocument/2006/relationships/table" Target="../tables/table28.xml"/><Relationship Id="rId40" Type="http://schemas.openxmlformats.org/officeDocument/2006/relationships/table" Target="../tables/table29.xml"/><Relationship Id="rId41" Type="http://schemas.openxmlformats.org/officeDocument/2006/relationships/table" Target="../tables/table30.xml"/><Relationship Id="rId42"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CA3375"/>
  <sheetViews>
    <sheetView showGridLines="0" tabSelected="1" workbookViewId="0">
      <selection activeCell="E11" sqref="E11:G11"/>
    </sheetView>
  </sheetViews>
  <sheetFormatPr baseColWidth="10" defaultColWidth="11.42578125" defaultRowHeight="13" outlineLevelRow="1" x14ac:dyDescent="0"/>
  <cols>
    <col min="1" max="1" width="1.42578125" customWidth="1"/>
    <col min="2" max="2" width="20.28515625" style="1" customWidth="1"/>
    <col min="3" max="3" width="1" style="1" customWidth="1"/>
    <col min="4" max="4" width="1.85546875" style="214" customWidth="1"/>
    <col min="5" max="5" width="11.5703125" style="181" customWidth="1"/>
    <col min="6" max="8" width="11.5703125" style="1" customWidth="1"/>
    <col min="9" max="9" width="2.5703125" style="153" customWidth="1"/>
    <col min="10" max="10" width="5.28515625" style="22" customWidth="1"/>
    <col min="11" max="11" width="4.42578125" style="72" customWidth="1"/>
    <col min="12" max="12" width="14.42578125" style="44" customWidth="1"/>
    <col min="13" max="13" width="16.42578125" style="44" customWidth="1"/>
    <col min="14" max="14" width="15.140625" style="44" customWidth="1"/>
    <col min="15" max="15" width="11" style="44" customWidth="1"/>
    <col min="16" max="16" width="11.42578125" customWidth="1"/>
  </cols>
  <sheetData>
    <row r="1" spans="1:17" ht="59" customHeight="1">
      <c r="B1" s="478" t="s">
        <v>9616</v>
      </c>
      <c r="C1" s="479"/>
      <c r="D1" s="479"/>
      <c r="E1" s="479"/>
      <c r="F1" s="480"/>
      <c r="G1" s="482" t="s">
        <v>324</v>
      </c>
      <c r="H1" s="483"/>
      <c r="I1" s="43" t="s">
        <v>326</v>
      </c>
      <c r="J1" s="67">
        <v>1</v>
      </c>
      <c r="K1" s="114"/>
    </row>
    <row r="2" spans="1:17" ht="32" customHeight="1">
      <c r="B2" s="488" t="s">
        <v>7064</v>
      </c>
      <c r="C2" s="488"/>
      <c r="D2" s="488"/>
      <c r="E2" s="488"/>
      <c r="F2" s="488"/>
      <c r="G2" s="488"/>
      <c r="H2" s="488"/>
      <c r="K2" s="114"/>
      <c r="L2" s="461" t="s">
        <v>7503</v>
      </c>
      <c r="M2" s="462"/>
      <c r="N2" s="462"/>
      <c r="O2" s="462"/>
    </row>
    <row r="3" spans="1:17" ht="17" customHeight="1">
      <c r="A3" s="99"/>
      <c r="B3" s="486" t="s">
        <v>7137</v>
      </c>
      <c r="C3" s="487"/>
      <c r="D3" s="487"/>
      <c r="E3" s="487"/>
      <c r="F3" s="487"/>
      <c r="G3" s="487"/>
      <c r="H3" s="487"/>
      <c r="K3" s="114"/>
      <c r="L3" s="462"/>
      <c r="M3" s="462"/>
      <c r="N3" s="462"/>
      <c r="O3" s="462"/>
    </row>
    <row r="4" spans="1:17" ht="61" customHeight="1">
      <c r="A4" s="20" t="s">
        <v>210</v>
      </c>
      <c r="B4" s="489" t="s">
        <v>7502</v>
      </c>
      <c r="C4" s="489"/>
      <c r="D4" s="489"/>
      <c r="E4" s="489"/>
      <c r="F4" s="144" t="s">
        <v>9623</v>
      </c>
      <c r="G4" s="491" t="s">
        <v>9624</v>
      </c>
      <c r="H4" s="492"/>
      <c r="I4" s="133"/>
      <c r="J4" s="133"/>
      <c r="K4" s="137"/>
      <c r="L4" s="462"/>
      <c r="M4" s="462"/>
      <c r="N4" s="462"/>
      <c r="O4" s="462"/>
      <c r="Q4" s="21"/>
    </row>
    <row r="5" spans="1:17" ht="27.75" customHeight="1">
      <c r="A5" s="69"/>
      <c r="B5" s="484" t="s">
        <v>9548</v>
      </c>
      <c r="C5" s="485"/>
      <c r="D5" s="485"/>
      <c r="E5" s="485"/>
      <c r="F5" s="485"/>
      <c r="G5" s="485"/>
      <c r="H5" s="485"/>
      <c r="I5" s="154"/>
      <c r="J5" s="23"/>
      <c r="K5" s="114"/>
      <c r="L5" s="462"/>
      <c r="M5" s="462"/>
      <c r="N5" s="462"/>
      <c r="O5" s="462"/>
      <c r="P5" t="s">
        <v>9682</v>
      </c>
    </row>
    <row r="6" spans="1:17" ht="27" customHeight="1" thickBot="1">
      <c r="B6" s="493" t="s">
        <v>1</v>
      </c>
      <c r="C6" s="493"/>
      <c r="D6" s="493"/>
      <c r="E6" s="155"/>
      <c r="F6" s="490" t="str">
        <f>"Alt. Id. " &amp; H25</f>
        <v xml:space="preserve">Alt. Id. </v>
      </c>
      <c r="G6" s="490"/>
      <c r="H6" s="217"/>
      <c r="I6" s="217"/>
      <c r="J6" s="225"/>
      <c r="K6" s="114"/>
      <c r="L6" s="45" t="s">
        <v>323</v>
      </c>
      <c r="M6" s="45" t="s">
        <v>7501</v>
      </c>
      <c r="N6" s="45" t="s">
        <v>203</v>
      </c>
      <c r="O6" s="45" t="s">
        <v>7501</v>
      </c>
      <c r="P6" s="447" t="s">
        <v>10166</v>
      </c>
    </row>
    <row r="7" spans="1:17" s="7" customFormat="1" ht="35" customHeight="1" thickTop="1">
      <c r="B7" s="265" t="s">
        <v>7133</v>
      </c>
      <c r="C7" s="9"/>
      <c r="D7" s="208" t="s">
        <v>210</v>
      </c>
      <c r="E7" s="448"/>
      <c r="F7" s="448"/>
      <c r="G7" s="448"/>
      <c r="H7" s="533"/>
      <c r="I7" s="531"/>
      <c r="J7" s="532"/>
      <c r="K7" s="221" t="str">
        <f>ADDRESS(ROW(),9,4,1)</f>
        <v>I7</v>
      </c>
      <c r="L7" s="339" t="s">
        <v>9980</v>
      </c>
      <c r="M7" s="249"/>
      <c r="N7" s="368" t="s">
        <v>10047</v>
      </c>
      <c r="O7" s="46"/>
    </row>
    <row r="8" spans="1:17" ht="5" customHeight="1">
      <c r="B8" s="158"/>
      <c r="C8" s="9"/>
      <c r="D8" s="209"/>
      <c r="E8" s="100"/>
      <c r="F8" s="100"/>
      <c r="G8" s="100"/>
      <c r="H8" s="100"/>
      <c r="I8" s="218"/>
      <c r="J8" s="222"/>
      <c r="K8" s="150"/>
      <c r="L8" s="47"/>
      <c r="M8" s="41"/>
      <c r="N8" s="369"/>
      <c r="O8" s="46"/>
    </row>
    <row r="9" spans="1:17" ht="16" customHeight="1">
      <c r="B9" s="9" t="s">
        <v>263</v>
      </c>
      <c r="C9" s="9"/>
      <c r="D9" s="209" t="s">
        <v>210</v>
      </c>
      <c r="E9" s="474" t="s">
        <v>10171</v>
      </c>
      <c r="F9" s="481"/>
      <c r="G9" s="475"/>
      <c r="H9" s="159"/>
      <c r="I9" s="218"/>
      <c r="J9" s="222"/>
      <c r="K9" s="149" t="str">
        <f>ADDRESS(ROW(),5,4,1)</f>
        <v>E9</v>
      </c>
      <c r="L9" s="48" t="s">
        <v>224</v>
      </c>
      <c r="M9" s="49" t="str">
        <f>IF(ISBLANK(E9),"",E9)</f>
        <v>New record …</v>
      </c>
      <c r="N9" s="370" t="s">
        <v>9985</v>
      </c>
      <c r="O9" s="46" t="str">
        <f>IF(ISBLANK(E9),"",E9)</f>
        <v>New record …</v>
      </c>
    </row>
    <row r="10" spans="1:17" ht="5" customHeight="1">
      <c r="B10" s="158"/>
      <c r="C10" s="9"/>
      <c r="D10" s="209"/>
      <c r="E10" s="100"/>
      <c r="F10" s="100"/>
      <c r="G10" s="100"/>
      <c r="H10" s="100"/>
      <c r="I10" s="218"/>
      <c r="J10" s="222"/>
      <c r="K10" s="150"/>
      <c r="L10" s="47"/>
      <c r="M10" s="42"/>
      <c r="N10" s="369"/>
      <c r="O10" s="46"/>
    </row>
    <row r="11" spans="1:17" ht="16" customHeight="1" outlineLevel="1">
      <c r="B11" s="160" t="s">
        <v>335</v>
      </c>
      <c r="C11" s="9"/>
      <c r="D11" s="209"/>
      <c r="E11" s="474"/>
      <c r="F11" s="481"/>
      <c r="G11" s="475"/>
      <c r="H11" s="159"/>
      <c r="I11" s="218"/>
      <c r="J11" s="222"/>
      <c r="K11" s="149" t="str">
        <f>ADDRESS(ROW(),5,4,1)</f>
        <v>E11</v>
      </c>
      <c r="L11" s="48" t="s">
        <v>226</v>
      </c>
      <c r="M11" s="49" t="str">
        <f>IF(ISBLANK(E11),"",E11)</f>
        <v/>
      </c>
      <c r="N11" s="370" t="s">
        <v>10048</v>
      </c>
      <c r="O11" s="46" t="str">
        <f>IF(ISBLANK(E11),"",E11)</f>
        <v/>
      </c>
    </row>
    <row r="12" spans="1:17" ht="5" customHeight="1" outlineLevel="1">
      <c r="B12" s="158"/>
      <c r="C12" s="9"/>
      <c r="D12" s="209"/>
      <c r="E12" s="100"/>
      <c r="F12" s="100"/>
      <c r="G12" s="100"/>
      <c r="H12" s="100"/>
      <c r="I12" s="218"/>
      <c r="J12" s="222"/>
      <c r="K12" s="150"/>
      <c r="L12" s="47"/>
      <c r="M12" s="42"/>
      <c r="N12" s="369"/>
      <c r="O12" s="46"/>
    </row>
    <row r="13" spans="1:17" ht="32" customHeight="1" outlineLevel="1">
      <c r="B13" s="9" t="s">
        <v>241</v>
      </c>
      <c r="C13" s="9"/>
      <c r="D13" s="209" t="s">
        <v>201</v>
      </c>
      <c r="E13" s="464"/>
      <c r="F13" s="465"/>
      <c r="G13" s="466"/>
      <c r="H13" s="159"/>
      <c r="I13" s="218"/>
      <c r="J13" s="222"/>
      <c r="K13" s="149" t="str">
        <f>ADDRESS(ROW(),5,4,1)</f>
        <v>E13</v>
      </c>
      <c r="L13" s="48" t="s">
        <v>225</v>
      </c>
      <c r="M13" s="50" t="str">
        <f>IF(ISBLANK(E13),"",E13)</f>
        <v/>
      </c>
      <c r="N13" s="370" t="s">
        <v>10051</v>
      </c>
      <c r="O13" s="50" t="str">
        <f>IF(ISBLANK(E13),"",E13)</f>
        <v/>
      </c>
    </row>
    <row r="14" spans="1:17" ht="4" customHeight="1" outlineLevel="1">
      <c r="B14" s="158"/>
      <c r="C14" s="9"/>
      <c r="D14" s="209"/>
      <c r="E14" s="100"/>
      <c r="F14" s="100"/>
      <c r="G14" s="100"/>
      <c r="H14" s="100"/>
      <c r="I14" s="218"/>
      <c r="J14" s="222"/>
      <c r="K14" s="150"/>
      <c r="L14" s="47"/>
      <c r="M14" s="42"/>
      <c r="N14" s="369"/>
      <c r="O14" s="46"/>
    </row>
    <row r="15" spans="1:17" ht="16" customHeight="1" outlineLevel="1">
      <c r="B15" s="9" t="s">
        <v>242</v>
      </c>
      <c r="C15" s="9"/>
      <c r="D15" s="209"/>
      <c r="E15" s="474"/>
      <c r="F15" s="475"/>
      <c r="G15" s="161"/>
      <c r="H15" s="159"/>
      <c r="I15" s="218"/>
      <c r="J15" s="222"/>
      <c r="K15" s="149" t="str">
        <f>ADDRESS(ROW(),5,4,1)</f>
        <v>E15</v>
      </c>
      <c r="L15" s="48" t="s">
        <v>9984</v>
      </c>
      <c r="M15" s="49" t="str">
        <f>IF(ISBLANK(E15),"",E15)</f>
        <v/>
      </c>
      <c r="N15" s="370" t="s">
        <v>10050</v>
      </c>
      <c r="O15" s="46" t="str">
        <f>IF(ISBLANK(E15),"",E15)</f>
        <v/>
      </c>
    </row>
    <row r="16" spans="1:17" ht="4" customHeight="1" outlineLevel="1">
      <c r="B16" s="158"/>
      <c r="C16" s="9"/>
      <c r="D16" s="209"/>
      <c r="E16" s="100"/>
      <c r="F16" s="100"/>
      <c r="G16" s="100"/>
      <c r="H16" s="159"/>
      <c r="I16" s="218"/>
      <c r="J16" s="222"/>
      <c r="K16" s="150"/>
      <c r="L16" s="47"/>
      <c r="M16" s="42"/>
      <c r="N16" s="369"/>
      <c r="O16" s="46"/>
    </row>
    <row r="17" spans="2:15" ht="17" customHeight="1" outlineLevel="1">
      <c r="B17" s="9" t="s">
        <v>7134</v>
      </c>
      <c r="C17" s="9"/>
      <c r="D17" s="209" t="s">
        <v>210</v>
      </c>
      <c r="E17" s="504"/>
      <c r="F17" s="504"/>
      <c r="G17" s="505"/>
      <c r="H17" s="159"/>
      <c r="I17" s="219"/>
      <c r="J17" s="223"/>
      <c r="K17" s="149" t="str">
        <f>ADDRESS(ROW(),5,4,1)</f>
        <v>E17</v>
      </c>
      <c r="L17" s="48" t="s">
        <v>227</v>
      </c>
      <c r="M17" s="49" t="str">
        <f>IF(ISBLANK(E17),"",E17)</f>
        <v/>
      </c>
      <c r="N17" s="371" t="s">
        <v>10049</v>
      </c>
      <c r="O17" s="88" t="e">
        <f>"NCBI_Tax_" &amp; INDEX(Organism,MATCH(E17,INDEX(Organism,0,1),0),2)</f>
        <v>#N/A</v>
      </c>
    </row>
    <row r="18" spans="2:15" ht="5" customHeight="1" outlineLevel="1">
      <c r="B18" s="9"/>
      <c r="C18" s="9"/>
      <c r="D18" s="209"/>
      <c r="E18" s="9"/>
      <c r="F18" s="162"/>
      <c r="G18" s="158"/>
      <c r="H18" s="159"/>
      <c r="I18" s="219"/>
      <c r="J18" s="223"/>
      <c r="K18" s="150"/>
      <c r="L18" s="85"/>
      <c r="M18" s="42"/>
      <c r="N18" s="372"/>
      <c r="O18" s="46"/>
    </row>
    <row r="19" spans="2:15" ht="17" customHeight="1" outlineLevel="1">
      <c r="B19" s="9" t="s">
        <v>197</v>
      </c>
      <c r="C19" s="9"/>
      <c r="D19" s="209" t="s">
        <v>210</v>
      </c>
      <c r="E19" s="451"/>
      <c r="F19" s="463"/>
      <c r="G19" s="467"/>
      <c r="H19" s="159"/>
      <c r="I19" s="219"/>
      <c r="J19" s="223"/>
      <c r="K19" s="149" t="str">
        <f>ADDRESS(ROW(),5,4,1)</f>
        <v>E19</v>
      </c>
      <c r="L19" s="48" t="s">
        <v>229</v>
      </c>
      <c r="M19" s="49" t="str">
        <f>IF(ISBLANK(E19),"",E19)</f>
        <v/>
      </c>
      <c r="N19" s="379" t="s">
        <v>10052</v>
      </c>
      <c r="O19" s="46" t="str">
        <f>IF(ISBLANK(E19),"",E19)</f>
        <v/>
      </c>
    </row>
    <row r="20" spans="2:15" ht="5" customHeight="1" outlineLevel="1">
      <c r="B20" s="9"/>
      <c r="C20" s="9"/>
      <c r="D20" s="209"/>
      <c r="E20" s="163"/>
      <c r="F20" s="158"/>
      <c r="G20" s="158"/>
      <c r="H20" s="164"/>
      <c r="I20" s="219"/>
      <c r="J20" s="223"/>
      <c r="K20" s="150"/>
      <c r="L20" s="47"/>
      <c r="M20" s="42"/>
      <c r="N20" s="372"/>
      <c r="O20" s="46"/>
    </row>
    <row r="21" spans="2:15" ht="18" customHeight="1" outlineLevel="1">
      <c r="B21" s="9" t="s">
        <v>12</v>
      </c>
      <c r="C21" s="9"/>
      <c r="D21" s="209" t="s">
        <v>210</v>
      </c>
      <c r="E21" s="165" t="s">
        <v>10168</v>
      </c>
      <c r="F21" s="158"/>
      <c r="G21" s="158"/>
      <c r="H21" s="166"/>
      <c r="I21" s="220"/>
      <c r="J21" s="224"/>
      <c r="K21" s="149" t="str">
        <f>ADDRESS(ROW(),5,4,1)</f>
        <v>E21</v>
      </c>
      <c r="L21" s="47" t="s">
        <v>230</v>
      </c>
      <c r="M21" s="58" t="str">
        <f>IF(ISBLANK(E21),"",E21)</f>
        <v/>
      </c>
      <c r="N21" s="371" t="s">
        <v>205</v>
      </c>
      <c r="O21" s="58" t="str">
        <f>E21</f>
        <v/>
      </c>
    </row>
    <row r="22" spans="2:15" s="6" customFormat="1" ht="26" customHeight="1" thickBot="1">
      <c r="B22" s="321" t="s">
        <v>9080</v>
      </c>
      <c r="C22" s="168"/>
      <c r="D22" s="210"/>
      <c r="E22" s="169"/>
      <c r="F22" s="167"/>
      <c r="G22" s="167"/>
      <c r="H22" s="169"/>
      <c r="I22" s="167"/>
      <c r="J22" s="226"/>
      <c r="K22" s="116"/>
      <c r="L22" s="126"/>
      <c r="M22" s="117"/>
      <c r="N22" s="374"/>
      <c r="O22" s="127"/>
    </row>
    <row r="23" spans="2:15" ht="5" customHeight="1" outlineLevel="1">
      <c r="B23" s="158"/>
      <c r="C23" s="9"/>
      <c r="D23" s="209"/>
      <c r="E23" s="163"/>
      <c r="F23" s="158"/>
      <c r="G23" s="158"/>
      <c r="H23" s="170"/>
      <c r="I23" s="219"/>
      <c r="J23" s="223"/>
      <c r="K23" s="148"/>
      <c r="L23" s="47"/>
      <c r="M23" s="42"/>
      <c r="N23" s="372"/>
      <c r="O23" s="46"/>
    </row>
    <row r="24" spans="2:15" ht="17" customHeight="1" outlineLevel="1">
      <c r="B24" s="152" t="s">
        <v>9622</v>
      </c>
      <c r="C24" s="171"/>
      <c r="D24" s="211"/>
      <c r="E24" s="172" t="s">
        <v>7105</v>
      </c>
      <c r="F24" s="173" t="s">
        <v>7106</v>
      </c>
      <c r="G24" s="319" t="s">
        <v>9628</v>
      </c>
      <c r="H24" s="511" t="s">
        <v>9629</v>
      </c>
      <c r="I24" s="511"/>
      <c r="J24" s="224"/>
      <c r="K24" s="221" t="str">
        <f>ADDRESS(ROW()+1,5,4,1)</f>
        <v>E25</v>
      </c>
      <c r="L24" s="85" t="s">
        <v>9943</v>
      </c>
      <c r="M24" s="49" t="str">
        <f>IF(ISBLANK(E25),"",E25)</f>
        <v/>
      </c>
      <c r="N24" s="375" t="s">
        <v>10053</v>
      </c>
      <c r="O24" s="49" t="str">
        <f>IF(ISBLANK(E25),"",E25)</f>
        <v/>
      </c>
    </row>
    <row r="25" spans="2:15" ht="15" customHeight="1" outlineLevel="1">
      <c r="B25" s="152"/>
      <c r="C25" s="9"/>
      <c r="D25" s="209"/>
      <c r="E25" s="207"/>
      <c r="F25" s="315"/>
      <c r="G25" s="316" t="s">
        <v>10168</v>
      </c>
      <c r="H25" s="472"/>
      <c r="I25" s="473"/>
      <c r="J25" s="224"/>
      <c r="K25" s="221" t="str">
        <f>ADDRESS(ROW(),6,4,1)</f>
        <v>F25</v>
      </c>
      <c r="L25" s="85" t="s">
        <v>9944</v>
      </c>
      <c r="M25" s="49" t="str">
        <f>IF(ISBLANK(F25),"",F25)</f>
        <v/>
      </c>
      <c r="N25" s="376" t="s">
        <v>10094</v>
      </c>
      <c r="O25" s="46" t="str">
        <f>IF(ISBLANK(F25),"",F25)</f>
        <v/>
      </c>
    </row>
    <row r="26" spans="2:15" ht="13.5" customHeight="1" outlineLevel="1">
      <c r="B26" s="174"/>
      <c r="C26" s="174"/>
      <c r="D26" s="212"/>
      <c r="E26" s="174"/>
      <c r="F26" s="471"/>
      <c r="G26" s="471"/>
      <c r="H26" s="314"/>
      <c r="I26" s="314"/>
      <c r="J26" s="224"/>
      <c r="K26" s="221" t="str">
        <f>ADDRESS(ROW()-1,7,4,1)</f>
        <v>G25</v>
      </c>
      <c r="L26" s="85" t="s">
        <v>9945</v>
      </c>
      <c r="M26" s="49" t="str">
        <f>IF(ISBLANK(G25),"",G25)</f>
        <v/>
      </c>
      <c r="N26" s="376" t="s">
        <v>10053</v>
      </c>
      <c r="O26" s="46" t="str">
        <f>IF(ISBLANK(F26),"",F26)</f>
        <v/>
      </c>
    </row>
    <row r="27" spans="2:15" ht="15" customHeight="1" outlineLevel="1">
      <c r="B27" s="254"/>
      <c r="C27" s="174"/>
      <c r="D27" s="212"/>
      <c r="E27" s="176" t="s">
        <v>9620</v>
      </c>
      <c r="F27" s="317"/>
      <c r="G27" s="176" t="s">
        <v>9621</v>
      </c>
      <c r="H27" s="512"/>
      <c r="I27" s="512"/>
      <c r="J27" s="224"/>
      <c r="K27" s="221" t="str">
        <f>ADDRESS(ROW()-2,8,4,1)</f>
        <v>H25</v>
      </c>
      <c r="L27" s="85" t="s">
        <v>9946</v>
      </c>
      <c r="M27" s="49" t="str">
        <f>IF(ISBLANK(H25),"",H25)</f>
        <v/>
      </c>
      <c r="N27" s="375" t="s">
        <v>10094</v>
      </c>
      <c r="O27" s="46" t="str">
        <f>IF(ISBLANK(F27),"",F27)</f>
        <v/>
      </c>
    </row>
    <row r="28" spans="2:15" ht="12" customHeight="1" outlineLevel="1">
      <c r="B28" s="174"/>
      <c r="C28" s="174"/>
      <c r="D28" s="212"/>
      <c r="E28" s="176" t="s">
        <v>9877</v>
      </c>
      <c r="F28" s="291"/>
      <c r="G28" s="174"/>
      <c r="H28" s="174"/>
      <c r="I28" s="175"/>
      <c r="J28" s="224"/>
      <c r="K28" s="221" t="str">
        <f>ADDRESS(ROW()-1,6,4,1)</f>
        <v>F27</v>
      </c>
      <c r="L28" s="85" t="s">
        <v>9123</v>
      </c>
      <c r="M28" s="49" t="str">
        <f>IF(ISBLANK(F27),"",F27)</f>
        <v/>
      </c>
      <c r="N28" s="376" t="s">
        <v>10094</v>
      </c>
      <c r="O28" s="46"/>
    </row>
    <row r="29" spans="2:15" ht="10" customHeight="1" outlineLevel="1">
      <c r="B29" s="9"/>
      <c r="C29" s="9"/>
      <c r="D29" s="209"/>
      <c r="E29" s="163"/>
      <c r="F29" s="158"/>
      <c r="G29" s="158"/>
      <c r="H29" s="157"/>
      <c r="I29" s="220"/>
      <c r="J29" s="224"/>
      <c r="K29" s="221" t="str">
        <f>ADDRESS(ROW()-2,8,4,1)</f>
        <v>H27</v>
      </c>
      <c r="L29" s="78" t="s">
        <v>9124</v>
      </c>
      <c r="M29" s="49" t="str">
        <f>IF(ISBLANK(H27),"",H27)</f>
        <v/>
      </c>
      <c r="N29" s="375" t="s">
        <v>10094</v>
      </c>
      <c r="O29" s="46"/>
    </row>
    <row r="30" spans="2:15" s="282" customFormat="1" ht="7.5" customHeight="1" outlineLevel="1">
      <c r="B30" s="9"/>
      <c r="C30" s="9"/>
      <c r="D30" s="209"/>
      <c r="E30" s="163"/>
      <c r="F30" s="158"/>
      <c r="G30" s="158"/>
      <c r="H30" s="157"/>
      <c r="I30" s="220"/>
      <c r="J30" s="224"/>
      <c r="K30" s="221" t="str">
        <f>ADDRESS(ROW()-2,6,4,1)</f>
        <v>F28</v>
      </c>
      <c r="L30" s="78" t="s">
        <v>9878</v>
      </c>
      <c r="M30" s="290" t="str">
        <f>IF(ISBLANK(F28),"",F28)</f>
        <v/>
      </c>
      <c r="N30" s="375" t="s">
        <v>10094</v>
      </c>
      <c r="O30" s="46"/>
    </row>
    <row r="31" spans="2:15" ht="31" customHeight="1" outlineLevel="1">
      <c r="B31" s="9" t="s">
        <v>9627</v>
      </c>
      <c r="C31" s="9"/>
      <c r="D31" s="209"/>
      <c r="E31" s="451"/>
      <c r="F31" s="463"/>
      <c r="G31" s="452"/>
      <c r="H31" s="177" t="s">
        <v>271</v>
      </c>
      <c r="I31" s="218"/>
      <c r="J31" s="222"/>
      <c r="K31" s="149" t="str">
        <f>ADDRESS(ROW(),5,4,1)</f>
        <v>E31</v>
      </c>
      <c r="L31" s="366" t="s">
        <v>9983</v>
      </c>
      <c r="M31" s="49" t="str">
        <f>IF(ISBLANK(E31),"",E31)</f>
        <v/>
      </c>
      <c r="N31" s="375" t="s">
        <v>10056</v>
      </c>
      <c r="O31" s="51"/>
    </row>
    <row r="32" spans="2:15" ht="5" customHeight="1" outlineLevel="1">
      <c r="B32" s="9"/>
      <c r="C32" s="9"/>
      <c r="D32" s="209"/>
      <c r="E32" s="163"/>
      <c r="F32" s="158"/>
      <c r="G32" s="158"/>
      <c r="H32" s="157"/>
      <c r="I32" s="220"/>
      <c r="J32" s="224"/>
      <c r="K32" s="150"/>
      <c r="L32" s="47"/>
      <c r="M32" s="42"/>
      <c r="N32" s="372"/>
      <c r="O32" s="46"/>
    </row>
    <row r="33" spans="2:15" ht="18" customHeight="1" outlineLevel="1">
      <c r="B33" s="513" t="s">
        <v>7113</v>
      </c>
      <c r="C33" s="513"/>
      <c r="D33" s="513"/>
      <c r="E33" s="513"/>
      <c r="F33" s="288" t="s">
        <v>274</v>
      </c>
      <c r="G33" s="289" t="s">
        <v>7082</v>
      </c>
      <c r="I33" s="218"/>
      <c r="J33" s="222"/>
      <c r="K33" s="149"/>
      <c r="L33" s="85" t="s">
        <v>7114</v>
      </c>
      <c r="M33" s="49" t="str">
        <f>IF(ISBLANK(E34),"",E34)</f>
        <v/>
      </c>
      <c r="N33" s="375" t="s">
        <v>10056</v>
      </c>
      <c r="O33" s="90" t="str">
        <f>IF(ISBLANK(E34),"",E34)</f>
        <v/>
      </c>
    </row>
    <row r="34" spans="2:15" ht="15" customHeight="1" outlineLevel="1">
      <c r="B34" s="2"/>
      <c r="C34" s="9"/>
      <c r="D34" s="209"/>
      <c r="E34" s="246"/>
      <c r="F34" s="248"/>
      <c r="G34" s="179"/>
      <c r="H34" s="180"/>
      <c r="I34" s="220"/>
      <c r="J34" s="224"/>
      <c r="K34" s="149" t="str">
        <f>ADDRESS(ROW(),6,4,1)</f>
        <v>F34</v>
      </c>
      <c r="L34" s="93" t="s">
        <v>7081</v>
      </c>
      <c r="M34" s="49" t="str">
        <f>IF(ISBLANK(F34),"",F34)</f>
        <v/>
      </c>
      <c r="N34" s="375" t="s">
        <v>10103</v>
      </c>
      <c r="O34" s="46" t="str">
        <f>IF(ISBLANK(F34),"",F34)</f>
        <v/>
      </c>
    </row>
    <row r="35" spans="2:15" ht="7" customHeight="1" outlineLevel="1">
      <c r="B35" s="2"/>
      <c r="C35" s="9"/>
      <c r="D35" s="209"/>
      <c r="G35" s="158"/>
      <c r="H35" s="180"/>
      <c r="I35" s="220"/>
      <c r="J35" s="224"/>
      <c r="K35" s="149" t="str">
        <f>ADDRESS(ROW()-1,7,4,1)</f>
        <v>G34</v>
      </c>
      <c r="L35" s="97" t="s">
        <v>7104</v>
      </c>
      <c r="M35" s="49" t="str">
        <f>IF(ISBLANK(G34),"",G34)</f>
        <v/>
      </c>
      <c r="N35" s="375" t="s">
        <v>194</v>
      </c>
      <c r="O35" s="46" t="str">
        <f>IF(ISBLANK(G34),"",G34)</f>
        <v/>
      </c>
    </row>
    <row r="36" spans="2:15" ht="16" customHeight="1" outlineLevel="1">
      <c r="B36" s="2"/>
      <c r="C36" s="9"/>
      <c r="D36" s="209"/>
      <c r="E36" s="9" t="s">
        <v>273</v>
      </c>
      <c r="F36" s="468" t="str">
        <f>IF(ISBLANK(M33),"",M33) &amp; IF(ISBLANK(F34),"",":" &amp; F34) &amp; IF(ISBLANK(F35),"",":"&amp; F35)</f>
        <v/>
      </c>
      <c r="G36" s="469"/>
      <c r="H36" s="157"/>
      <c r="I36" s="220"/>
      <c r="J36" s="224"/>
      <c r="K36" s="149"/>
      <c r="L36" s="47" t="s">
        <v>238</v>
      </c>
      <c r="M36" s="71" t="str">
        <f>IF(ISBLANK(M33),"",M33) &amp; IF(ISBLANK(F34),"",":" &amp; F34) &amp; IF(ISBLANK(G34),"",":"&amp; G34)</f>
        <v/>
      </c>
      <c r="N36" s="375" t="s">
        <v>10054</v>
      </c>
      <c r="O36" s="46"/>
    </row>
    <row r="37" spans="2:15" ht="9" customHeight="1" outlineLevel="1">
      <c r="B37" s="9"/>
      <c r="C37" s="9"/>
      <c r="D37" s="209"/>
      <c r="E37" s="182"/>
      <c r="F37" s="183"/>
      <c r="G37" s="158"/>
      <c r="H37" s="157"/>
      <c r="I37" s="220"/>
      <c r="J37" s="224"/>
      <c r="K37" s="150"/>
      <c r="L37" s="47"/>
      <c r="M37" s="42"/>
      <c r="N37" s="372"/>
      <c r="O37" s="46"/>
    </row>
    <row r="38" spans="2:15" ht="16" customHeight="1" outlineLevel="1">
      <c r="B38" s="2"/>
      <c r="C38" s="9"/>
      <c r="D38" s="209"/>
      <c r="E38" s="178" t="s">
        <v>7115</v>
      </c>
      <c r="F38" s="184"/>
      <c r="G38" s="158"/>
      <c r="H38" s="180"/>
      <c r="I38" s="220"/>
      <c r="J38" s="224"/>
      <c r="K38" s="149" t="str">
        <f>ADDRESS(ROW(),6,4,1)</f>
        <v>F38</v>
      </c>
      <c r="L38" s="97" t="s">
        <v>7116</v>
      </c>
      <c r="M38" s="49" t="str">
        <f>IF(ISBLANK(F38),"",F38)</f>
        <v/>
      </c>
      <c r="N38" s="375" t="s">
        <v>10104</v>
      </c>
      <c r="O38" s="46" t="str">
        <f>IF(ISBLANK(F38),"",F38)</f>
        <v/>
      </c>
    </row>
    <row r="39" spans="2:15" ht="6" customHeight="1" outlineLevel="1">
      <c r="B39" s="9"/>
      <c r="C39" s="9"/>
      <c r="D39" s="209"/>
      <c r="E39" s="182"/>
      <c r="F39" s="183"/>
      <c r="G39" s="158"/>
      <c r="H39" s="157"/>
      <c r="I39" s="220"/>
      <c r="J39" s="224"/>
      <c r="K39" s="150"/>
      <c r="L39" s="47"/>
      <c r="M39" s="42"/>
      <c r="N39" s="372"/>
      <c r="O39" s="46"/>
    </row>
    <row r="40" spans="2:15" ht="17" customHeight="1" outlineLevel="1">
      <c r="B40" s="2"/>
      <c r="C40" s="9"/>
      <c r="D40" s="209"/>
      <c r="E40" s="324" t="s">
        <v>7132</v>
      </c>
      <c r="F40" s="468" t="str">
        <f>IF(ISBLANK(M33),"",M33) &amp; IF(ISBLANK(F34),"", ":" &amp; F34) &amp; IF(ISBLANK(F38),"", ":" &amp; F38)</f>
        <v/>
      </c>
      <c r="G40" s="469"/>
      <c r="H40" s="157"/>
      <c r="I40" s="220"/>
      <c r="J40" s="224"/>
      <c r="K40" s="149"/>
      <c r="L40" s="47" t="s">
        <v>234</v>
      </c>
      <c r="M40" s="71" t="str">
        <f>IF(ISBLANK(M33),"",M33) &amp; IF(ISBLANK(F34),"", ":" &amp; F34) &amp; IF(ISBLANK(F38),"", ":" &amp; F38)</f>
        <v/>
      </c>
      <c r="N40" s="375" t="s">
        <v>10055</v>
      </c>
      <c r="O40" s="46"/>
    </row>
    <row r="41" spans="2:15" ht="5" customHeight="1" outlineLevel="1">
      <c r="B41" s="9"/>
      <c r="C41" s="9"/>
      <c r="D41" s="209"/>
      <c r="E41" s="182"/>
      <c r="F41" s="183"/>
      <c r="G41" s="158"/>
      <c r="H41" s="157"/>
      <c r="I41" s="220"/>
      <c r="J41" s="224"/>
      <c r="K41" s="150"/>
      <c r="L41" s="47"/>
      <c r="M41" s="42"/>
      <c r="N41" s="372"/>
      <c r="O41" s="46"/>
    </row>
    <row r="42" spans="2:15" s="6" customFormat="1" ht="24" customHeight="1" thickBot="1">
      <c r="B42" s="321" t="s">
        <v>9348</v>
      </c>
      <c r="C42" s="168"/>
      <c r="D42" s="210"/>
      <c r="E42" s="169"/>
      <c r="F42" s="167"/>
      <c r="G42" s="167"/>
      <c r="H42" s="169"/>
      <c r="I42" s="167"/>
      <c r="J42" s="226"/>
      <c r="K42" s="116"/>
      <c r="L42" s="126"/>
      <c r="M42" s="117"/>
      <c r="N42" s="374"/>
      <c r="O42" s="127"/>
    </row>
    <row r="43" spans="2:15" ht="11" customHeight="1" outlineLevel="1">
      <c r="B43" s="9"/>
      <c r="C43" s="9"/>
      <c r="D43" s="209"/>
      <c r="E43" s="163"/>
      <c r="F43" s="158"/>
      <c r="G43" s="158"/>
      <c r="H43" s="159"/>
      <c r="I43" s="219"/>
      <c r="J43" s="223"/>
      <c r="K43" s="150"/>
      <c r="L43" s="47"/>
      <c r="M43" s="42"/>
      <c r="N43" s="372"/>
      <c r="O43" s="46"/>
    </row>
    <row r="44" spans="2:15" ht="5" customHeight="1" outlineLevel="1">
      <c r="B44" s="9"/>
      <c r="C44" s="9"/>
      <c r="D44" s="209"/>
      <c r="E44" s="258"/>
      <c r="F44" s="263"/>
      <c r="G44" s="162"/>
      <c r="H44" s="159"/>
      <c r="I44" s="219"/>
      <c r="J44" s="223"/>
      <c r="K44" s="150"/>
      <c r="L44" s="85"/>
      <c r="M44" s="42"/>
      <c r="N44" s="372"/>
      <c r="O44" s="90"/>
    </row>
    <row r="45" spans="2:15" ht="15" customHeight="1" outlineLevel="1">
      <c r="B45" s="9" t="s">
        <v>9645</v>
      </c>
      <c r="C45" s="9"/>
      <c r="D45" s="209"/>
      <c r="E45" s="259" t="s">
        <v>9646</v>
      </c>
      <c r="F45" s="264" t="s">
        <v>7107</v>
      </c>
      <c r="G45" s="253"/>
      <c r="H45" s="159"/>
      <c r="I45" s="219"/>
      <c r="J45" s="223"/>
      <c r="K45" s="149" t="str">
        <f>ADDRESS(ROW(),7,4,1)</f>
        <v>G45</v>
      </c>
      <c r="L45" s="85" t="s">
        <v>7101</v>
      </c>
      <c r="M45" s="49" t="str">
        <f>IF(ISBLANK(G45),"",IF(LEFT(G45,1)="O",G45,"O"&amp;G45))</f>
        <v/>
      </c>
      <c r="N45" s="375" t="s">
        <v>10086</v>
      </c>
      <c r="O45" s="90" t="str">
        <f>IF(ISBLANK(G45),"",G45)</f>
        <v/>
      </c>
    </row>
    <row r="46" spans="2:15" ht="5" customHeight="1" outlineLevel="1">
      <c r="B46" s="9"/>
      <c r="C46" s="9"/>
      <c r="D46" s="209"/>
      <c r="E46" s="259"/>
      <c r="F46" s="159"/>
      <c r="G46" s="162"/>
      <c r="H46" s="159"/>
      <c r="I46" s="219"/>
      <c r="J46" s="223"/>
      <c r="K46" s="150"/>
      <c r="L46" s="85"/>
      <c r="M46" s="42"/>
      <c r="N46" s="372"/>
      <c r="O46" s="90"/>
    </row>
    <row r="47" spans="2:15" ht="15" customHeight="1" outlineLevel="1">
      <c r="B47" s="9"/>
      <c r="C47" s="9"/>
      <c r="D47" s="209"/>
      <c r="E47" s="259"/>
      <c r="F47" s="159" t="s">
        <v>7108</v>
      </c>
      <c r="G47" s="253"/>
      <c r="H47" s="159"/>
      <c r="I47" s="219"/>
      <c r="J47" s="223"/>
      <c r="K47" s="149" t="str">
        <f>ADDRESS(ROW(),7,4,1)</f>
        <v>G47</v>
      </c>
      <c r="L47" s="85" t="s">
        <v>7102</v>
      </c>
      <c r="M47" s="49" t="str">
        <f>IF(ISBLANK(G47),"",IF(LEFT(G47,1)="H",G47,"H"&amp;G47))</f>
        <v/>
      </c>
      <c r="N47" s="375" t="s">
        <v>10087</v>
      </c>
      <c r="O47" s="90" t="str">
        <f>IF(ISBLANK(G47),"",G47)</f>
        <v/>
      </c>
    </row>
    <row r="48" spans="2:15" ht="5" customHeight="1" outlineLevel="1">
      <c r="B48" s="9"/>
      <c r="C48" s="9"/>
      <c r="D48" s="209"/>
      <c r="E48" s="259"/>
      <c r="F48" s="159"/>
      <c r="G48" s="162"/>
      <c r="H48" s="159"/>
      <c r="I48" s="219"/>
      <c r="J48" s="223"/>
      <c r="K48" s="150"/>
      <c r="L48" s="47"/>
      <c r="M48" s="42"/>
      <c r="N48" s="372"/>
      <c r="O48" s="90"/>
    </row>
    <row r="49" spans="2:15" ht="15" customHeight="1" outlineLevel="1">
      <c r="B49" s="162"/>
      <c r="C49" s="9"/>
      <c r="D49" s="209"/>
      <c r="E49" s="259"/>
      <c r="F49" s="159" t="s">
        <v>7109</v>
      </c>
      <c r="G49" s="253"/>
      <c r="H49" s="159"/>
      <c r="I49" s="219"/>
      <c r="J49" s="223"/>
      <c r="K49" s="149" t="str">
        <f>ADDRESS(ROW(),7,4,1)</f>
        <v>G49</v>
      </c>
      <c r="L49" s="96" t="s">
        <v>7103</v>
      </c>
      <c r="M49" s="49" t="str">
        <f>IF(ISBLANK(G49),"",IF(LEFT(G49,1)="K",G49,"K"&amp;G49))</f>
        <v/>
      </c>
      <c r="N49" s="375" t="s">
        <v>10088</v>
      </c>
      <c r="O49" s="287" t="str">
        <f>IF(ISBLANK(G49),"",G49)</f>
        <v/>
      </c>
    </row>
    <row r="50" spans="2:15" ht="5" customHeight="1" outlineLevel="1">
      <c r="B50" s="9"/>
      <c r="C50" s="9"/>
      <c r="D50" s="209"/>
      <c r="E50" s="259"/>
      <c r="F50" s="159"/>
      <c r="G50" s="162"/>
      <c r="H50" s="159"/>
      <c r="I50" s="219"/>
      <c r="J50" s="223"/>
      <c r="K50" s="150"/>
      <c r="L50" s="47"/>
      <c r="M50" s="42"/>
      <c r="N50" s="377"/>
      <c r="O50" s="287"/>
    </row>
    <row r="51" spans="2:15" ht="15" customHeight="1" outlineLevel="1">
      <c r="B51" s="9"/>
      <c r="C51" s="9"/>
      <c r="D51" s="209"/>
      <c r="E51" s="259"/>
      <c r="F51" s="159" t="s">
        <v>7152</v>
      </c>
      <c r="G51" s="253"/>
      <c r="H51" s="159"/>
      <c r="I51" s="219"/>
      <c r="J51" s="223"/>
      <c r="K51" s="149" t="str">
        <f>ADDRESS(ROW(),7,4,1)</f>
        <v>G51</v>
      </c>
      <c r="L51" s="96" t="s">
        <v>7151</v>
      </c>
      <c r="M51" s="49" t="str">
        <f>IF(ISBLANK(G51),"",G51)</f>
        <v/>
      </c>
      <c r="N51" s="375" t="s">
        <v>10089</v>
      </c>
      <c r="O51" s="287" t="str">
        <f>IF(ISBLANK(G51),"",G51)</f>
        <v/>
      </c>
    </row>
    <row r="52" spans="2:15" ht="5" customHeight="1" outlineLevel="1">
      <c r="B52" s="9"/>
      <c r="C52" s="9"/>
      <c r="D52" s="209"/>
      <c r="E52" s="260"/>
      <c r="F52" s="9"/>
      <c r="G52" s="162"/>
      <c r="H52" s="159"/>
      <c r="I52" s="219"/>
      <c r="J52" s="223"/>
      <c r="K52" s="150"/>
      <c r="L52" s="85"/>
      <c r="M52" s="42"/>
      <c r="N52" s="372"/>
      <c r="O52" s="90"/>
    </row>
    <row r="53" spans="2:15" ht="5" customHeight="1" outlineLevel="1">
      <c r="B53" s="9"/>
      <c r="C53" s="9"/>
      <c r="D53" s="209"/>
      <c r="E53" s="258"/>
      <c r="F53" s="263"/>
      <c r="G53" s="162"/>
      <c r="H53" s="159"/>
      <c r="I53" s="219"/>
      <c r="J53" s="223"/>
      <c r="K53" s="150"/>
      <c r="L53" s="85"/>
      <c r="M53" s="42"/>
      <c r="N53" s="372"/>
      <c r="O53" s="90"/>
    </row>
    <row r="54" spans="2:15" ht="15" customHeight="1" outlineLevel="1">
      <c r="B54" s="9"/>
      <c r="C54" s="9"/>
      <c r="D54" s="209"/>
      <c r="E54" s="259" t="s">
        <v>22</v>
      </c>
      <c r="F54" s="264"/>
      <c r="G54" s="494"/>
      <c r="H54" s="495"/>
      <c r="I54" s="219"/>
      <c r="J54" s="223"/>
      <c r="K54" s="149" t="str">
        <f>ADDRESS(ROW(),7,4,1)</f>
        <v>G54</v>
      </c>
      <c r="L54" s="85" t="s">
        <v>9657</v>
      </c>
      <c r="M54" s="49" t="str">
        <f>IF(ISBLANK(G54),"",G54)</f>
        <v/>
      </c>
      <c r="N54" s="375" t="s">
        <v>10090</v>
      </c>
      <c r="O54" s="90" t="str">
        <f>IF(ISBLANK(G54),"",G54)</f>
        <v/>
      </c>
    </row>
    <row r="55" spans="2:15" ht="12" customHeight="1" outlineLevel="1">
      <c r="B55" s="9"/>
      <c r="C55" s="9"/>
      <c r="D55" s="209"/>
      <c r="E55" s="261"/>
      <c r="F55" s="158"/>
      <c r="G55" s="158"/>
      <c r="H55" s="159"/>
      <c r="I55" s="219"/>
      <c r="J55" s="223"/>
      <c r="K55" s="149"/>
      <c r="L55" s="48" t="s">
        <v>5</v>
      </c>
      <c r="M55" s="71" t="str">
        <f>IF(M54="",IF(M45="","",M45)&amp;IF(M47="","",":"&amp;M47)&amp;IF(M49="","",":"&amp;M49)&amp;IF(M51="","",":"&amp;M51),M54)</f>
        <v/>
      </c>
      <c r="N55" s="371" t="s">
        <v>10099</v>
      </c>
      <c r="O55" s="46"/>
    </row>
    <row r="56" spans="2:15" ht="5" customHeight="1" outlineLevel="1">
      <c r="B56" s="9"/>
      <c r="C56" s="9"/>
      <c r="D56" s="209"/>
      <c r="E56" s="258"/>
      <c r="F56" s="263"/>
      <c r="G56" s="162"/>
      <c r="H56" s="159"/>
      <c r="I56" s="219"/>
      <c r="J56" s="223"/>
      <c r="K56" s="150"/>
      <c r="L56" s="47"/>
      <c r="M56" s="42"/>
      <c r="N56" s="372"/>
      <c r="O56" s="90"/>
    </row>
    <row r="57" spans="2:15" outlineLevel="1">
      <c r="B57" s="9" t="s">
        <v>340</v>
      </c>
      <c r="C57" s="9"/>
      <c r="D57" s="209"/>
      <c r="E57" s="259" t="s">
        <v>24</v>
      </c>
      <c r="F57" s="262" t="s">
        <v>211</v>
      </c>
      <c r="G57" s="451"/>
      <c r="H57" s="452"/>
      <c r="I57" s="219"/>
      <c r="J57" s="223"/>
      <c r="K57" s="149" t="str">
        <f>ADDRESS(ROW(),7,4,1)</f>
        <v>G57</v>
      </c>
      <c r="L57" s="92" t="s">
        <v>7099</v>
      </c>
      <c r="M57" s="49" t="str">
        <f>IF(ISBLANK(G57),"",G57)</f>
        <v/>
      </c>
      <c r="N57" s="386" t="s">
        <v>10091</v>
      </c>
      <c r="O57" s="90" t="str">
        <f>IF(ISBLANK(G57),"",G57)</f>
        <v/>
      </c>
    </row>
    <row r="58" spans="2:15" ht="5" customHeight="1" outlineLevel="1">
      <c r="B58" s="9"/>
      <c r="C58" s="9"/>
      <c r="D58" s="209"/>
      <c r="E58" s="255"/>
      <c r="F58" s="159"/>
      <c r="G58" s="158"/>
      <c r="H58" s="158"/>
      <c r="I58" s="219"/>
      <c r="J58" s="223"/>
      <c r="K58" s="150"/>
      <c r="L58" s="47"/>
      <c r="M58" s="42"/>
      <c r="N58" s="372"/>
      <c r="O58" s="46"/>
    </row>
    <row r="59" spans="2:15" ht="13" customHeight="1" outlineLevel="1">
      <c r="B59" s="9"/>
      <c r="C59" s="9"/>
      <c r="D59" s="209"/>
      <c r="E59" s="255"/>
      <c r="F59" s="257" t="s">
        <v>7153</v>
      </c>
      <c r="G59" s="451"/>
      <c r="H59" s="452"/>
      <c r="I59" s="219"/>
      <c r="J59" s="223"/>
      <c r="K59" s="149" t="str">
        <f>ADDRESS(ROW(),7,4,1)</f>
        <v>G59</v>
      </c>
      <c r="L59" s="96" t="s">
        <v>7110</v>
      </c>
      <c r="M59" s="49" t="str">
        <f>IF(ISBLANK(G59),"",G59)</f>
        <v/>
      </c>
      <c r="N59" s="386" t="s">
        <v>10092</v>
      </c>
      <c r="O59" s="90" t="str">
        <f>IF(ISBLANK(G59),"",G59)</f>
        <v/>
      </c>
    </row>
    <row r="60" spans="2:15" ht="16" customHeight="1" outlineLevel="1">
      <c r="B60" s="9"/>
      <c r="C60" s="9"/>
      <c r="D60" s="209"/>
      <c r="E60" s="163"/>
      <c r="F60" s="158"/>
      <c r="G60" s="158"/>
      <c r="H60" s="157"/>
      <c r="I60" s="219"/>
      <c r="J60" s="223"/>
      <c r="K60" s="149"/>
      <c r="L60" s="48" t="s">
        <v>237</v>
      </c>
      <c r="M60" s="71" t="str">
        <f>IF(ISBLANK(G57),IF(ISBLANK(G59),"", G59), "Salmonella " &amp; G57)</f>
        <v/>
      </c>
      <c r="N60" s="19" t="s">
        <v>10093</v>
      </c>
      <c r="O60" s="46"/>
    </row>
    <row r="61" spans="2:15" outlineLevel="1">
      <c r="B61" s="9" t="s">
        <v>264</v>
      </c>
      <c r="C61" s="9"/>
      <c r="D61" s="209" t="s">
        <v>201</v>
      </c>
      <c r="E61" s="451"/>
      <c r="F61" s="467"/>
      <c r="G61" s="161"/>
      <c r="H61" s="159"/>
      <c r="I61" s="219"/>
      <c r="J61" s="223"/>
      <c r="K61" s="149" t="str">
        <f>ADDRESS(ROW(),5,4,1)</f>
        <v>E61</v>
      </c>
      <c r="L61" s="48" t="s">
        <v>235</v>
      </c>
      <c r="M61" s="49" t="str">
        <f>IF(ISBLANK(E61),"",E61)</f>
        <v/>
      </c>
      <c r="N61" s="373" t="s">
        <v>10085</v>
      </c>
      <c r="O61" s="46" t="str">
        <f>IF(ISBLANK(E61),"",E61)</f>
        <v/>
      </c>
    </row>
    <row r="62" spans="2:15" ht="6" customHeight="1" outlineLevel="1">
      <c r="B62" s="9"/>
      <c r="C62" s="9"/>
      <c r="D62" s="209"/>
      <c r="E62" s="163"/>
      <c r="F62" s="158"/>
      <c r="G62" s="158"/>
      <c r="H62" s="157"/>
      <c r="I62" s="219"/>
      <c r="J62" s="223"/>
      <c r="K62" s="150"/>
      <c r="L62" s="47"/>
      <c r="M62" s="42"/>
      <c r="N62" s="372"/>
      <c r="O62" s="46"/>
    </row>
    <row r="63" spans="2:15" outlineLevel="1">
      <c r="B63" s="9" t="s">
        <v>9703</v>
      </c>
      <c r="C63" s="9"/>
      <c r="D63" s="209" t="s">
        <v>201</v>
      </c>
      <c r="E63" s="269"/>
      <c r="F63" s="270" t="s">
        <v>9932</v>
      </c>
      <c r="G63" s="278" t="s">
        <v>10168</v>
      </c>
      <c r="I63" s="219"/>
      <c r="J63" s="223"/>
      <c r="K63" s="149" t="str">
        <f>ADDRESS(ROW(),7,4,1)</f>
        <v>G63</v>
      </c>
      <c r="L63" s="271" t="s">
        <v>9705</v>
      </c>
      <c r="M63" s="49" t="str">
        <f>IF(ISBLANK(G63),"",G63)</f>
        <v/>
      </c>
      <c r="N63" s="373" t="s">
        <v>10095</v>
      </c>
      <c r="O63" s="46" t="str">
        <f>IF(ISBLANK(E63),"",E63)</f>
        <v/>
      </c>
    </row>
    <row r="64" spans="2:15" ht="6" customHeight="1" outlineLevel="1">
      <c r="B64" s="9"/>
      <c r="C64" s="9"/>
      <c r="D64" s="209"/>
      <c r="E64" s="268"/>
      <c r="F64" s="157"/>
      <c r="G64" s="158"/>
      <c r="H64" s="157"/>
      <c r="I64" s="219"/>
      <c r="J64" s="223"/>
      <c r="K64" s="150"/>
      <c r="L64" s="47"/>
      <c r="M64" s="42"/>
      <c r="N64" s="372"/>
      <c r="O64" s="46"/>
    </row>
    <row r="65" spans="2:15" outlineLevel="1">
      <c r="B65" s="9"/>
      <c r="C65" s="9"/>
      <c r="D65" s="209" t="s">
        <v>201</v>
      </c>
      <c r="E65" s="267"/>
      <c r="F65" s="318" t="s">
        <v>9933</v>
      </c>
      <c r="G65" s="278" t="s">
        <v>10168</v>
      </c>
      <c r="I65" s="219"/>
      <c r="J65" s="223"/>
      <c r="K65" s="149" t="str">
        <f>ADDRESS(ROW(),7,4,1)</f>
        <v>G65</v>
      </c>
      <c r="L65" s="271" t="s">
        <v>9706</v>
      </c>
      <c r="M65" s="49" t="str">
        <f>IF(ISBLANK(G65),"",G65)</f>
        <v/>
      </c>
      <c r="N65" s="373" t="s">
        <v>10096</v>
      </c>
      <c r="O65" s="46" t="str">
        <f>IF(ISBLANK(E65),"",E65)</f>
        <v/>
      </c>
    </row>
    <row r="66" spans="2:15" ht="6" customHeight="1" outlineLevel="1">
      <c r="B66" s="9"/>
      <c r="C66" s="9"/>
      <c r="D66" s="209"/>
      <c r="E66" s="21"/>
      <c r="F66" s="21"/>
      <c r="G66"/>
      <c r="I66" s="219"/>
      <c r="J66" s="223"/>
      <c r="K66" s="149"/>
      <c r="L66" s="271"/>
      <c r="M66" s="49"/>
      <c r="N66" s="373"/>
      <c r="O66" s="46"/>
    </row>
    <row r="67" spans="2:15" ht="16" customHeight="1" outlineLevel="1">
      <c r="B67" s="9" t="s">
        <v>9712</v>
      </c>
      <c r="C67" s="9"/>
      <c r="D67" s="209"/>
      <c r="E67" s="518"/>
      <c r="F67" s="519"/>
      <c r="G67" s="158"/>
      <c r="H67" s="157"/>
      <c r="I67" s="219"/>
      <c r="J67" s="223"/>
      <c r="K67" s="149" t="str">
        <f xml:space="preserve"> ADDRESS(ROW(),5,4,1)</f>
        <v>E67</v>
      </c>
      <c r="L67" s="78" t="s">
        <v>9704</v>
      </c>
      <c r="M67" s="49" t="str">
        <f>IF(ISBLANK(E67),"",E67)</f>
        <v/>
      </c>
      <c r="N67" s="372"/>
      <c r="O67" s="46"/>
    </row>
    <row r="68" spans="2:15" ht="6" customHeight="1" outlineLevel="1">
      <c r="B68" s="9"/>
      <c r="C68" s="9"/>
      <c r="D68" s="209"/>
      <c r="E68" s="21"/>
      <c r="F68" s="21"/>
      <c r="G68"/>
      <c r="I68" s="219"/>
      <c r="J68" s="223"/>
      <c r="K68" s="149"/>
      <c r="L68" s="271"/>
      <c r="M68" s="49"/>
      <c r="N68" s="373"/>
      <c r="O68" s="46"/>
    </row>
    <row r="69" spans="2:15" outlineLevel="1">
      <c r="B69" s="247" t="s">
        <v>336</v>
      </c>
      <c r="C69" s="9"/>
      <c r="D69" s="209"/>
      <c r="E69" s="160" t="s">
        <v>337</v>
      </c>
      <c r="F69" s="185"/>
      <c r="G69" s="161"/>
      <c r="H69" s="159"/>
      <c r="I69" s="219"/>
      <c r="J69" s="223"/>
      <c r="K69" s="149" t="str">
        <f>ADDRESS(ROW(),6,4,1)</f>
        <v>F69</v>
      </c>
      <c r="L69" s="92" t="s">
        <v>7111</v>
      </c>
      <c r="M69" s="49" t="str">
        <f>IF(ISBLANK(F69),"",F69)</f>
        <v/>
      </c>
      <c r="N69" s="373" t="s">
        <v>10098</v>
      </c>
      <c r="O69" s="90" t="str">
        <f>IF(ISBLANK(F69),"",F69)</f>
        <v/>
      </c>
    </row>
    <row r="70" spans="2:15" ht="6" customHeight="1" outlineLevel="1">
      <c r="B70" s="9"/>
      <c r="C70" s="9"/>
      <c r="D70" s="209"/>
      <c r="E70" s="160"/>
      <c r="F70" s="162"/>
      <c r="G70" s="158"/>
      <c r="H70" s="157"/>
      <c r="I70" s="219"/>
      <c r="J70" s="223"/>
      <c r="K70" s="150"/>
      <c r="L70" s="85"/>
      <c r="M70" s="42"/>
      <c r="N70" s="372"/>
      <c r="O70" s="46"/>
    </row>
    <row r="71" spans="2:15" ht="26" outlineLevel="1">
      <c r="B71" s="9"/>
      <c r="C71" s="9"/>
      <c r="D71" s="209"/>
      <c r="E71" s="160" t="s">
        <v>7030</v>
      </c>
      <c r="F71" s="185"/>
      <c r="G71" s="161"/>
      <c r="H71" s="159"/>
      <c r="I71" s="219"/>
      <c r="J71" s="223"/>
      <c r="K71" s="149" t="str">
        <f>ADDRESS(ROW(),6,4,1)</f>
        <v>F71</v>
      </c>
      <c r="L71" s="92" t="s">
        <v>7112</v>
      </c>
      <c r="M71" s="49" t="str">
        <f>IF(ISBLANK(F71),"",F71)</f>
        <v/>
      </c>
      <c r="N71" s="373" t="s">
        <v>10097</v>
      </c>
      <c r="O71" s="90" t="str">
        <f>IF(ISBLANK(F71),"",F71)</f>
        <v/>
      </c>
    </row>
    <row r="72" spans="2:15" outlineLevel="1">
      <c r="B72" s="9"/>
      <c r="C72" s="9"/>
      <c r="D72" s="209"/>
      <c r="E72" s="160"/>
      <c r="F72" s="161"/>
      <c r="G72" s="161"/>
      <c r="H72" s="159"/>
      <c r="I72" s="219"/>
      <c r="J72" s="223"/>
      <c r="K72" s="149"/>
      <c r="L72" s="48" t="s">
        <v>338</v>
      </c>
      <c r="M72" s="49" t="str">
        <f>IF(ISBLANK(F69),IF(ISBLANK(F72),"","PT" &amp; F72),"DT" &amp; F69)</f>
        <v/>
      </c>
      <c r="N72" s="373" t="s">
        <v>10100</v>
      </c>
      <c r="O72" s="46"/>
    </row>
    <row r="73" spans="2:15" outlineLevel="1">
      <c r="B73" s="247" t="s">
        <v>9935</v>
      </c>
      <c r="C73" s="9"/>
      <c r="D73" s="209" t="s">
        <v>201</v>
      </c>
      <c r="E73" s="451"/>
      <c r="F73" s="467"/>
      <c r="G73" s="161"/>
      <c r="H73" s="159"/>
      <c r="I73" s="219"/>
      <c r="J73" s="223"/>
      <c r="K73" s="149" t="str">
        <f>ADDRESS(ROW(),5,4,1)</f>
        <v>E73</v>
      </c>
      <c r="L73" s="48" t="s">
        <v>239</v>
      </c>
      <c r="M73" s="49" t="str">
        <f>IF(ISBLANK(E73),"",E73)</f>
        <v/>
      </c>
      <c r="N73" s="373" t="s">
        <v>10101</v>
      </c>
      <c r="O73" s="46" t="str">
        <f>IF(ISBLANK(E73),"",E73)</f>
        <v/>
      </c>
    </row>
    <row r="74" spans="2:15" ht="6" customHeight="1" outlineLevel="1">
      <c r="B74" s="9"/>
      <c r="C74" s="9"/>
      <c r="D74" s="209"/>
      <c r="E74" s="163"/>
      <c r="F74" s="158"/>
      <c r="G74" s="158"/>
      <c r="H74" s="157"/>
      <c r="I74" s="219"/>
      <c r="J74" s="223"/>
      <c r="K74" s="150"/>
      <c r="L74" s="47"/>
      <c r="M74" s="42"/>
      <c r="N74" s="372"/>
      <c r="O74" s="46"/>
    </row>
    <row r="75" spans="2:15" outlineLevel="1">
      <c r="B75" s="247" t="s">
        <v>9934</v>
      </c>
      <c r="C75" s="9"/>
      <c r="D75" s="209" t="s">
        <v>201</v>
      </c>
      <c r="E75" s="451"/>
      <c r="F75" s="467"/>
      <c r="G75" s="161"/>
      <c r="H75" s="159"/>
      <c r="I75" s="219"/>
      <c r="J75" s="223"/>
      <c r="K75" s="149" t="str">
        <f>ADDRESS(ROW(),5,4,1)</f>
        <v>E75</v>
      </c>
      <c r="L75" s="48" t="s">
        <v>240</v>
      </c>
      <c r="M75" s="49" t="str">
        <f>IF(ISBLANK(E75),"",E75)</f>
        <v/>
      </c>
      <c r="N75" s="373" t="s">
        <v>10102</v>
      </c>
      <c r="O75" s="46" t="str">
        <f>IF(ISBLANK(E75),"",E75)</f>
        <v/>
      </c>
    </row>
    <row r="76" spans="2:15" ht="6" customHeight="1">
      <c r="B76" s="9"/>
      <c r="C76" s="9"/>
      <c r="D76" s="209"/>
      <c r="E76" s="163"/>
      <c r="F76" s="158"/>
      <c r="G76" s="158"/>
      <c r="H76" s="157"/>
      <c r="I76" s="220"/>
      <c r="J76" s="224"/>
      <c r="K76" s="150"/>
      <c r="L76" s="47"/>
      <c r="M76" s="42"/>
      <c r="N76" s="372"/>
      <c r="O76" s="46"/>
    </row>
    <row r="77" spans="2:15" s="6" customFormat="1" ht="28" customHeight="1" thickBot="1">
      <c r="B77" s="320" t="s">
        <v>9936</v>
      </c>
      <c r="C77" s="168"/>
      <c r="D77" s="210"/>
      <c r="E77" s="169"/>
      <c r="F77" s="167"/>
      <c r="G77" s="167"/>
      <c r="H77" s="169"/>
      <c r="I77" s="167"/>
      <c r="J77" s="226"/>
      <c r="K77" s="116"/>
      <c r="L77" s="126"/>
      <c r="M77" s="117"/>
      <c r="N77" s="374"/>
      <c r="O77" s="127"/>
    </row>
    <row r="78" spans="2:15" ht="5" customHeight="1" outlineLevel="1">
      <c r="B78" s="174"/>
      <c r="C78" s="174"/>
      <c r="D78" s="212"/>
      <c r="E78" s="174"/>
      <c r="F78" s="174"/>
      <c r="G78" s="174"/>
      <c r="H78" s="186"/>
      <c r="I78" s="219"/>
      <c r="J78" s="223"/>
      <c r="K78" s="148"/>
      <c r="L78" s="47"/>
      <c r="M78" s="42"/>
      <c r="N78" s="372"/>
      <c r="O78" s="46"/>
    </row>
    <row r="79" spans="2:15" ht="14" customHeight="1" outlineLevel="1">
      <c r="B79" s="9" t="s">
        <v>45</v>
      </c>
      <c r="C79" s="9"/>
      <c r="D79" s="209" t="s">
        <v>210</v>
      </c>
      <c r="E79" s="464"/>
      <c r="F79" s="470"/>
      <c r="G79" s="2"/>
      <c r="H79" s="177" t="s">
        <v>271</v>
      </c>
      <c r="I79" s="220" t="e">
        <f>INDEX(Country,MATCH(E79,INDEX(Country,0,1),0),2)</f>
        <v>#N/A</v>
      </c>
      <c r="J79" s="224"/>
      <c r="K79" s="149" t="str">
        <f>ADDRESS(ROW(),5,4,1)</f>
        <v>E79</v>
      </c>
      <c r="L79" s="85" t="s">
        <v>6</v>
      </c>
      <c r="M79" s="49" t="str">
        <f>IF(ISBLANK(E79),"",E79)</f>
        <v/>
      </c>
      <c r="N79" s="371" t="s">
        <v>10058</v>
      </c>
      <c r="O79" s="46" t="e">
        <f>INDEX(Country,MATCH(E79,INDEX(Country,0,1),0),2)</f>
        <v>#N/A</v>
      </c>
    </row>
    <row r="80" spans="2:15" ht="5" customHeight="1" outlineLevel="1">
      <c r="B80" s="9"/>
      <c r="C80" s="9"/>
      <c r="D80" s="209"/>
      <c r="E80" s="163"/>
      <c r="F80" s="158"/>
      <c r="G80" s="158"/>
      <c r="H80" s="164"/>
      <c r="I80" s="219"/>
      <c r="J80" s="223"/>
      <c r="K80" s="150"/>
      <c r="L80" s="47"/>
      <c r="M80" s="42"/>
      <c r="N80" s="372"/>
      <c r="O80" s="46"/>
    </row>
    <row r="81" spans="2:15" ht="14" customHeight="1" outlineLevel="1">
      <c r="B81" s="9" t="s">
        <v>330</v>
      </c>
      <c r="C81" s="9"/>
      <c r="D81" s="209"/>
      <c r="E81" s="451"/>
      <c r="F81" s="452"/>
      <c r="G81" s="158"/>
      <c r="H81" s="187"/>
      <c r="I81" s="219" t="e">
        <f>MATCH(I79,INDEX(Regions,0,1),0)-1</f>
        <v>#N/A</v>
      </c>
      <c r="J81" s="223" t="e">
        <f>MATCH(I79,INDEX(Regions,0,1),1)</f>
        <v>#N/A</v>
      </c>
      <c r="K81" s="149" t="s">
        <v>9827</v>
      </c>
      <c r="L81" s="85" t="s">
        <v>7</v>
      </c>
      <c r="M81" s="49" t="str">
        <f>IF(ISBLANK(E81),"",E81)</f>
        <v/>
      </c>
      <c r="N81" s="371" t="s">
        <v>10061</v>
      </c>
      <c r="O81" s="89" t="e">
        <f>INDEX(Regions,MATCH(E81,INDEX(Regions,0,2),0),3)</f>
        <v>#N/A</v>
      </c>
    </row>
    <row r="82" spans="2:15" ht="5" customHeight="1" outlineLevel="1">
      <c r="B82" s="9"/>
      <c r="C82" s="9"/>
      <c r="D82" s="209"/>
      <c r="E82" s="156"/>
      <c r="F82" s="158"/>
      <c r="G82" s="158"/>
      <c r="H82" s="187"/>
      <c r="I82" s="219"/>
      <c r="J82" s="223"/>
      <c r="K82" s="150"/>
      <c r="L82" s="47"/>
      <c r="M82" s="42"/>
      <c r="N82" s="372"/>
      <c r="O82" s="46"/>
    </row>
    <row r="83" spans="2:15" ht="15" customHeight="1" outlineLevel="1">
      <c r="B83" s="9" t="s">
        <v>7135</v>
      </c>
      <c r="C83" s="9"/>
      <c r="D83" s="209"/>
      <c r="E83" s="188"/>
      <c r="F83" s="158"/>
      <c r="G83" s="158"/>
      <c r="H83" s="189" t="str">
        <f>HYPERLINK("http://geogratis.gc.ca/services/geolocation/en/locate?q="&amp; E81&amp;"," &amp; E83,"Lookup lat/long")</f>
        <v>Lookup lat/long</v>
      </c>
      <c r="I83" s="219"/>
      <c r="J83" s="223"/>
      <c r="K83" s="149" t="str">
        <f>ADDRESS(ROW(),5,4,1)</f>
        <v>E83</v>
      </c>
      <c r="L83" s="85" t="s">
        <v>7100</v>
      </c>
      <c r="M83" s="49" t="str">
        <f>IF(ISBLANK(E83),"",E83)</f>
        <v/>
      </c>
      <c r="N83" s="371" t="s">
        <v>10057</v>
      </c>
      <c r="O83" s="90" t="str">
        <f>IF(ISBLANK(E83),"",E83)</f>
        <v/>
      </c>
    </row>
    <row r="84" spans="2:15" ht="14" customHeight="1" outlineLevel="1">
      <c r="B84" s="2"/>
      <c r="C84" s="9"/>
      <c r="D84" s="209"/>
      <c r="E84" s="190"/>
      <c r="F84" s="2"/>
      <c r="G84" s="2"/>
      <c r="H84" s="191"/>
      <c r="I84" s="219"/>
      <c r="J84" s="223"/>
      <c r="K84" s="149"/>
      <c r="L84" s="47" t="s">
        <v>231</v>
      </c>
      <c r="M84" s="54" t="str">
        <f>IF(ISBLANK(E79),"",E79) &amp; ":" &amp; IF(ISBLANK(E81),"",E81) &amp; ":" &amp; IF(ISBLANK(E83),"",E83)</f>
        <v>::</v>
      </c>
      <c r="N84" s="370" t="s">
        <v>10059</v>
      </c>
      <c r="O84" s="46"/>
    </row>
    <row r="85" spans="2:15" ht="5" customHeight="1" outlineLevel="1">
      <c r="B85" s="9"/>
      <c r="C85" s="9"/>
      <c r="D85" s="209"/>
      <c r="E85" s="156"/>
      <c r="F85" s="2"/>
      <c r="G85" s="2"/>
      <c r="H85" s="187"/>
      <c r="I85" s="219"/>
      <c r="J85" s="223"/>
      <c r="K85" s="150"/>
      <c r="L85" s="47"/>
      <c r="M85" s="42"/>
      <c r="N85" s="372"/>
      <c r="O85" s="46"/>
    </row>
    <row r="86" spans="2:15" ht="14" customHeight="1" outlineLevel="1">
      <c r="B86" s="9" t="s">
        <v>195</v>
      </c>
      <c r="C86" s="9"/>
      <c r="D86" s="209"/>
      <c r="E86" s="322"/>
      <c r="F86" s="2"/>
      <c r="G86" s="2"/>
      <c r="H86" s="192" t="str">
        <f>HYPERLINK("http://geogratis.gc.ca/services/geolocation/en/locate?q="&amp;E86,"Lookup lat/long")</f>
        <v>Lookup lat/long</v>
      </c>
      <c r="I86" s="219"/>
      <c r="J86" s="223"/>
      <c r="K86" s="149" t="str">
        <f>ADDRESS(ROW(),5,4,1)</f>
        <v>E86</v>
      </c>
      <c r="L86" s="78" t="s">
        <v>7065</v>
      </c>
      <c r="M86" s="49" t="str">
        <f>IF(ISBLANK(E86),"",E86)</f>
        <v/>
      </c>
      <c r="N86" s="371" t="s">
        <v>207</v>
      </c>
      <c r="O86" s="90" t="str">
        <f>IF(ISBLANK(E86),"",E86)</f>
        <v/>
      </c>
    </row>
    <row r="87" spans="2:15" ht="5" customHeight="1" outlineLevel="1">
      <c r="B87" s="9"/>
      <c r="C87" s="9"/>
      <c r="D87" s="209"/>
      <c r="E87" s="163"/>
      <c r="F87" s="2"/>
      <c r="G87" s="2"/>
      <c r="H87" s="187"/>
      <c r="I87" s="219"/>
      <c r="J87" s="223"/>
      <c r="K87" s="150"/>
      <c r="L87" s="47"/>
      <c r="M87" s="42"/>
      <c r="N87" s="372"/>
      <c r="O87" s="88"/>
    </row>
    <row r="88" spans="2:15" ht="14" customHeight="1" outlineLevel="1">
      <c r="B88" s="9" t="s">
        <v>47</v>
      </c>
      <c r="C88" s="9"/>
      <c r="D88" s="209" t="s">
        <v>210</v>
      </c>
      <c r="E88" s="250"/>
      <c r="F88" s="2"/>
      <c r="G88" s="2"/>
      <c r="H88" s="177" t="s">
        <v>243</v>
      </c>
      <c r="I88" s="219"/>
      <c r="J88" s="223"/>
      <c r="K88" s="149" t="str">
        <f>ADDRESS(ROW(),5,4,1)</f>
        <v>E88</v>
      </c>
      <c r="L88" s="85" t="s">
        <v>9</v>
      </c>
      <c r="M88" s="94" t="str">
        <f>IF(ISBLANK(E88),"",E88)</f>
        <v/>
      </c>
      <c r="N88" s="371" t="s">
        <v>209</v>
      </c>
      <c r="O88" s="55" t="str">
        <f>IF(ISBLANK(E88),"",E88)</f>
        <v/>
      </c>
    </row>
    <row r="89" spans="2:15" ht="5" customHeight="1" outlineLevel="1">
      <c r="B89" s="9"/>
      <c r="C89" s="9"/>
      <c r="D89" s="209"/>
      <c r="E89" s="9"/>
      <c r="F89" s="2"/>
      <c r="G89" s="2"/>
      <c r="H89" s="187"/>
      <c r="I89" s="219"/>
      <c r="J89" s="223"/>
      <c r="K89" s="150"/>
      <c r="L89" s="85"/>
      <c r="M89" s="42"/>
      <c r="N89" s="372"/>
      <c r="O89" s="88"/>
    </row>
    <row r="90" spans="2:15" ht="14" customHeight="1" outlineLevel="1">
      <c r="B90" s="9" t="s">
        <v>48</v>
      </c>
      <c r="C90" s="9"/>
      <c r="D90" s="209" t="s">
        <v>210</v>
      </c>
      <c r="E90" s="250"/>
      <c r="F90" s="2"/>
      <c r="G90" s="2"/>
      <c r="H90" s="177" t="str">
        <f>HYPERLINK("http://www.latlong.net/c/?lat="&amp;E88&amp;"&amp;long="&amp;E90,"Map")</f>
        <v>Map</v>
      </c>
      <c r="I90" s="219"/>
      <c r="J90" s="223"/>
      <c r="K90" s="149" t="str">
        <f>ADDRESS(ROW(),5,4,1)</f>
        <v>E90</v>
      </c>
      <c r="L90" s="86" t="s">
        <v>8</v>
      </c>
      <c r="M90" s="94" t="str">
        <f>IF(ISBLANK(E90),"",E90)</f>
        <v/>
      </c>
      <c r="N90" s="371" t="s">
        <v>208</v>
      </c>
      <c r="O90" s="55" t="str">
        <f>IF(ISBLANK(E90),"",E90)</f>
        <v/>
      </c>
    </row>
    <row r="91" spans="2:15" ht="15" customHeight="1" outlineLevel="1">
      <c r="B91" s="9"/>
      <c r="C91" s="9"/>
      <c r="D91" s="209"/>
      <c r="E91" s="161"/>
      <c r="F91" s="158"/>
      <c r="G91" s="158"/>
      <c r="H91" s="180"/>
      <c r="I91" s="219"/>
      <c r="J91" s="223"/>
      <c r="K91" s="149"/>
      <c r="L91" s="47" t="s">
        <v>233</v>
      </c>
      <c r="M91" s="57" t="str">
        <f>ROUND(ABS(E88),4)&amp;IF(E88&gt;=0," N"," S") &amp;" " &amp; ROUND(ABS(E90),4) &amp; IF(E90&gt;=0," E", " W")</f>
        <v>0 N 0 E</v>
      </c>
      <c r="N91" s="375" t="s">
        <v>10060</v>
      </c>
      <c r="O91" s="50"/>
    </row>
    <row r="92" spans="2:15" s="6" customFormat="1" ht="18" customHeight="1" thickBot="1">
      <c r="B92" s="321" t="s">
        <v>9351</v>
      </c>
      <c r="C92" s="168"/>
      <c r="D92" s="210"/>
      <c r="E92" s="169"/>
      <c r="F92" s="167"/>
      <c r="G92" s="167"/>
      <c r="H92" s="169"/>
      <c r="I92" s="167"/>
      <c r="J92" s="226"/>
      <c r="K92" s="115"/>
      <c r="L92" s="47"/>
      <c r="M92" s="42"/>
      <c r="N92" s="374"/>
      <c r="O92" s="50"/>
    </row>
    <row r="93" spans="2:15" ht="5" customHeight="1" outlineLevel="1">
      <c r="B93" s="158"/>
      <c r="C93" s="9"/>
      <c r="D93" s="209"/>
      <c r="E93" s="163"/>
      <c r="F93" s="158"/>
      <c r="G93" s="158"/>
      <c r="H93" s="170"/>
      <c r="I93" s="219"/>
      <c r="J93" s="223"/>
      <c r="K93" s="150"/>
      <c r="L93" s="47"/>
      <c r="M93" s="42"/>
      <c r="N93" s="372"/>
      <c r="O93" s="50"/>
    </row>
    <row r="94" spans="2:15" ht="17" customHeight="1" outlineLevel="1">
      <c r="B94" s="152" t="s">
        <v>9665</v>
      </c>
      <c r="C94" s="9"/>
      <c r="D94" s="209"/>
      <c r="E94" s="476"/>
      <c r="F94" s="477"/>
      <c r="G94" s="158"/>
      <c r="H94" s="170"/>
      <c r="I94" s="219"/>
      <c r="J94" s="223"/>
      <c r="K94" s="149" t="str">
        <f>ADDRESS(ROW(),5,4,1)</f>
        <v>E94</v>
      </c>
      <c r="L94" s="78" t="s">
        <v>9664</v>
      </c>
      <c r="M94" s="49" t="str">
        <f>IF(ISBLANK(E94),"",E94)</f>
        <v/>
      </c>
      <c r="N94" s="375" t="s">
        <v>10026</v>
      </c>
      <c r="O94" s="50"/>
    </row>
    <row r="95" spans="2:15" ht="5" customHeight="1" outlineLevel="1">
      <c r="B95" s="158"/>
      <c r="C95" s="9"/>
      <c r="D95" s="209"/>
      <c r="E95" s="163"/>
      <c r="F95" s="158"/>
      <c r="G95" s="158"/>
      <c r="H95" s="170"/>
      <c r="I95" s="219"/>
      <c r="J95" s="223"/>
      <c r="K95" s="150"/>
      <c r="L95" s="47"/>
      <c r="M95" s="42"/>
      <c r="N95" s="372"/>
      <c r="O95" s="50"/>
    </row>
    <row r="96" spans="2:15" ht="17" customHeight="1" outlineLevel="1">
      <c r="B96" s="325" t="s">
        <v>9702</v>
      </c>
      <c r="C96" s="9"/>
      <c r="D96" s="209"/>
      <c r="E96" s="476"/>
      <c r="F96" s="477"/>
      <c r="G96" s="158"/>
      <c r="H96" s="170"/>
      <c r="I96" s="219"/>
      <c r="J96" s="223"/>
      <c r="K96" s="149" t="str">
        <f>ADDRESS(ROW(),5,4,1)</f>
        <v>E96</v>
      </c>
      <c r="L96" s="78" t="s">
        <v>9699</v>
      </c>
      <c r="M96" s="49" t="str">
        <f>IF(ISBLANK(E96),"",E96)</f>
        <v/>
      </c>
      <c r="N96" s="372"/>
      <c r="O96" s="50"/>
    </row>
    <row r="97" spans="2:15" ht="5" customHeight="1" outlineLevel="1">
      <c r="B97" s="158"/>
      <c r="C97" s="9"/>
      <c r="D97" s="209"/>
      <c r="E97" s="163"/>
      <c r="F97" s="158"/>
      <c r="G97" s="158"/>
      <c r="H97" s="170"/>
      <c r="I97" s="219"/>
      <c r="J97" s="223"/>
      <c r="K97" s="150"/>
      <c r="L97" s="47"/>
      <c r="M97" s="42"/>
      <c r="N97" s="372"/>
      <c r="O97" s="50"/>
    </row>
    <row r="98" spans="2:15" ht="18" customHeight="1" outlineLevel="1">
      <c r="B98" s="247" t="s">
        <v>7136</v>
      </c>
      <c r="C98" s="9"/>
      <c r="D98" s="209"/>
      <c r="E98" s="504"/>
      <c r="F98" s="504"/>
      <c r="G98" s="505"/>
      <c r="H98" s="159" t="e">
        <f>INDEX(Specific_Host,MATCH(E98,INDEX(Specific_Host,0,2),0),3)</f>
        <v>#N/A</v>
      </c>
      <c r="I98" s="516" t="e">
        <f>INDEX(Specific_Host,MATCH(E98,INDEX(Specific_Host,0,2),0),1)</f>
        <v>#N/A</v>
      </c>
      <c r="J98" s="517"/>
      <c r="K98" s="149" t="str">
        <f>ADDRESS(ROW(),5,4,1)</f>
        <v>E98</v>
      </c>
      <c r="L98" s="74" t="s">
        <v>7118</v>
      </c>
      <c r="M98" s="95" t="str">
        <f>IF(ISBLANK(E98),"",E98)</f>
        <v/>
      </c>
      <c r="N98" s="370" t="s">
        <v>10105</v>
      </c>
      <c r="O98" s="50"/>
    </row>
    <row r="99" spans="2:15" ht="6" customHeight="1" outlineLevel="1">
      <c r="B99" s="9"/>
      <c r="C99" s="9"/>
      <c r="D99" s="209"/>
      <c r="E99" s="163"/>
      <c r="F99" s="158"/>
      <c r="G99" s="158"/>
      <c r="H99" s="157"/>
      <c r="I99" s="516"/>
      <c r="J99" s="517"/>
      <c r="K99" s="150"/>
      <c r="L99" s="47"/>
      <c r="M99" s="42"/>
      <c r="N99" s="372"/>
      <c r="O99" s="50"/>
    </row>
    <row r="100" spans="2:15" ht="16" customHeight="1" outlineLevel="1">
      <c r="B100" s="9"/>
      <c r="C100" s="9"/>
      <c r="D100" s="209"/>
      <c r="E100" s="190" t="s">
        <v>7117</v>
      </c>
      <c r="F100" s="499">
        <f>IFERROR(INDEX(Specific_Host,MATCH(E98,INDEX(Specific_Host,0,2),0),4), F98)</f>
        <v>0</v>
      </c>
      <c r="G100" s="499"/>
      <c r="H100" s="227" t="s">
        <v>7119</v>
      </c>
      <c r="I100" s="157"/>
      <c r="J100" s="228"/>
      <c r="K100" s="149"/>
      <c r="L100" s="47" t="s">
        <v>9982</v>
      </c>
      <c r="M100" s="58">
        <f>IF(ISBLANK(F100),"",F100)</f>
        <v>0</v>
      </c>
      <c r="N100" s="371" t="s">
        <v>204</v>
      </c>
      <c r="O100" s="87" t="e">
        <f>"NCBI_TAX_" &amp; INDEX(Specific_Host,MATCH(E98,INDEX(Specific_Host,0,2),0),3)</f>
        <v>#N/A</v>
      </c>
    </row>
    <row r="101" spans="2:15" ht="6" customHeight="1" outlineLevel="1">
      <c r="B101" s="9"/>
      <c r="C101" s="9"/>
      <c r="D101" s="209"/>
      <c r="E101" s="163"/>
      <c r="F101" s="158"/>
      <c r="G101" s="158"/>
      <c r="H101" s="157"/>
      <c r="I101" s="220"/>
      <c r="J101" s="224"/>
      <c r="K101" s="150"/>
      <c r="L101" s="47"/>
      <c r="M101" s="42"/>
      <c r="N101" s="372"/>
      <c r="O101" s="50"/>
    </row>
    <row r="102" spans="2:15" ht="45.75" customHeight="1" outlineLevel="1">
      <c r="B102" s="8" t="s">
        <v>9052</v>
      </c>
      <c r="C102" s="9"/>
      <c r="D102" s="209"/>
      <c r="E102" s="451"/>
      <c r="F102" s="463"/>
      <c r="G102" s="503"/>
      <c r="H102" s="151" t="s">
        <v>9625</v>
      </c>
      <c r="I102" s="514" t="s">
        <v>222</v>
      </c>
      <c r="J102" s="515"/>
      <c r="K102" s="149" t="str">
        <f>ADDRESS(ROW(),5,4,1)</f>
        <v>E102</v>
      </c>
      <c r="L102" s="47" t="s">
        <v>286</v>
      </c>
      <c r="M102" s="51" t="str">
        <f>IF(ISBLANK(E102),"",E102)</f>
        <v/>
      </c>
      <c r="N102" s="373" t="s">
        <v>284</v>
      </c>
      <c r="O102" s="87" t="e">
        <f>INDEX(Source_Material,MATCH(E102,INDEX(Source_Material,0,2),0),3)</f>
        <v>#N/A</v>
      </c>
    </row>
    <row r="103" spans="2:15" ht="6" customHeight="1" outlineLevel="1">
      <c r="B103" s="161"/>
      <c r="C103" s="161"/>
      <c r="D103" s="213"/>
      <c r="E103" s="161"/>
      <c r="F103" s="161"/>
      <c r="G103" s="161"/>
      <c r="H103" s="193"/>
      <c r="I103" s="220"/>
      <c r="J103" s="224"/>
      <c r="K103" s="150"/>
      <c r="L103" s="47"/>
      <c r="M103" s="42"/>
      <c r="N103" s="372"/>
      <c r="O103" s="50"/>
    </row>
    <row r="104" spans="2:15" ht="16" customHeight="1" outlineLevel="1">
      <c r="B104" s="256" t="s">
        <v>9349</v>
      </c>
      <c r="C104" s="9"/>
      <c r="D104" s="209"/>
      <c r="E104" s="449"/>
      <c r="F104" s="449"/>
      <c r="G104" s="450"/>
      <c r="H104" s="194"/>
      <c r="I104" s="219"/>
      <c r="J104" s="223"/>
      <c r="K104" s="149" t="str">
        <f>ADDRESS(ROW(),5,4,1)</f>
        <v>E104</v>
      </c>
      <c r="L104" s="85" t="s">
        <v>9543</v>
      </c>
      <c r="M104" s="128" t="str">
        <f>IF(ISBLANK(E104),"",E104)</f>
        <v/>
      </c>
      <c r="N104" s="378" t="s">
        <v>10107</v>
      </c>
      <c r="O104" s="129"/>
    </row>
    <row r="105" spans="2:15" ht="6" customHeight="1" outlineLevel="1">
      <c r="B105" s="9"/>
      <c r="C105" s="9"/>
      <c r="D105" s="209"/>
      <c r="E105" s="163"/>
      <c r="F105" s="158"/>
      <c r="G105" s="158"/>
      <c r="H105" s="157"/>
      <c r="I105" s="219"/>
      <c r="J105" s="223"/>
      <c r="K105" s="231"/>
      <c r="L105" s="130"/>
      <c r="M105" s="131"/>
      <c r="N105" s="376"/>
      <c r="O105" s="132"/>
    </row>
    <row r="106" spans="2:15" ht="20" customHeight="1" outlineLevel="1">
      <c r="B106" s="152" t="s">
        <v>9626</v>
      </c>
      <c r="C106" s="9"/>
      <c r="D106" s="209"/>
      <c r="E106" s="500"/>
      <c r="F106" s="501"/>
      <c r="G106" s="502"/>
      <c r="H106" s="177"/>
      <c r="I106" s="229" t="e">
        <f>MATCH(E104,INDEX(Food_Subcategory,0,1),0)</f>
        <v>#N/A</v>
      </c>
      <c r="J106" s="232" t="e">
        <f>MATCH(M104,INDEX(Food_Subcategory,0,1),1)+1</f>
        <v>#N/A</v>
      </c>
      <c r="K106" s="149" t="str">
        <f>ADDRESS(ROW(),5,4,1)</f>
        <v>E106</v>
      </c>
      <c r="L106" s="66" t="s">
        <v>329</v>
      </c>
      <c r="M106" s="51" t="str">
        <f>IF(ISBLANK(E106),"",":" &amp; E106)</f>
        <v/>
      </c>
      <c r="N106" s="378" t="s">
        <v>10107</v>
      </c>
      <c r="O106" s="51" t="str">
        <f>IF(ISBLANK(G106),"",G106)</f>
        <v/>
      </c>
    </row>
    <row r="107" spans="2:15" ht="6" customHeight="1" outlineLevel="1">
      <c r="B107" s="161"/>
      <c r="C107" s="161"/>
      <c r="D107" s="213"/>
      <c r="E107" s="161"/>
      <c r="F107" s="161"/>
      <c r="G107" s="161"/>
      <c r="H107" s="193"/>
      <c r="I107" s="220"/>
      <c r="J107" s="224"/>
      <c r="K107" s="150"/>
      <c r="L107" s="47"/>
      <c r="M107" s="42"/>
      <c r="N107" s="372"/>
      <c r="O107" s="59"/>
    </row>
    <row r="108" spans="2:15" ht="15" customHeight="1" outlineLevel="1">
      <c r="B108" s="8" t="s">
        <v>9698</v>
      </c>
      <c r="C108" s="8"/>
      <c r="E108" s="504"/>
      <c r="F108" s="505"/>
      <c r="G108" s="2"/>
      <c r="H108" s="180"/>
      <c r="I108" s="230"/>
      <c r="J108" s="233"/>
      <c r="K108" s="149" t="str">
        <f>ADDRESS(ROW(),5,4,1)</f>
        <v>E108</v>
      </c>
      <c r="L108" s="78" t="s">
        <v>9688</v>
      </c>
      <c r="M108" s="60" t="str">
        <f>IF(ISBLANK(E108),"",E108)</f>
        <v/>
      </c>
      <c r="N108" s="373" t="s">
        <v>10106</v>
      </c>
      <c r="O108" s="91"/>
    </row>
    <row r="109" spans="2:15" ht="6" customHeight="1" outlineLevel="1">
      <c r="B109" s="161"/>
      <c r="C109" s="161"/>
      <c r="D109" s="213"/>
      <c r="E109" s="161"/>
      <c r="F109" s="161"/>
      <c r="G109" s="161"/>
      <c r="H109" s="193"/>
      <c r="I109" s="220"/>
      <c r="J109" s="224"/>
      <c r="K109" s="150"/>
      <c r="L109" s="47"/>
      <c r="M109" s="42"/>
      <c r="N109" s="372"/>
      <c r="O109" s="59"/>
    </row>
    <row r="110" spans="2:15" ht="15" customHeight="1" outlineLevel="1">
      <c r="B110" s="326" t="s">
        <v>9937</v>
      </c>
      <c r="C110" s="8"/>
      <c r="E110" s="504"/>
      <c r="F110" s="505"/>
      <c r="G110" s="2"/>
      <c r="H110" s="180"/>
      <c r="I110" s="230"/>
      <c r="J110" s="233"/>
      <c r="K110" s="149" t="str">
        <f>ADDRESS(ROW(),5,4,1)</f>
        <v>E110</v>
      </c>
      <c r="L110" s="47" t="s">
        <v>7504</v>
      </c>
      <c r="M110" s="60" t="str">
        <f>IF(ISBLANK(E110),"",E110)</f>
        <v/>
      </c>
      <c r="N110" s="371" t="s">
        <v>220</v>
      </c>
      <c r="O110" s="91" t="e">
        <f>INDEX(Env_Source_Material,MATCH(E110, INDEX(Env_Source_Material,0,1),0),2)</f>
        <v>#N/A</v>
      </c>
    </row>
    <row r="111" spans="2:15" ht="6" customHeight="1" outlineLevel="1">
      <c r="B111" s="8"/>
      <c r="C111" s="8"/>
      <c r="E111" s="174"/>
      <c r="F111" s="174"/>
      <c r="G111" s="2"/>
      <c r="H111" s="180"/>
      <c r="I111" s="230"/>
      <c r="J111" s="233"/>
      <c r="K111" s="149"/>
      <c r="L111" s="47"/>
      <c r="M111" s="119"/>
      <c r="N111" s="373"/>
      <c r="O111" s="91"/>
    </row>
    <row r="112" spans="2:15" ht="15" customHeight="1" outlineLevel="1">
      <c r="B112" s="8" t="s">
        <v>9108</v>
      </c>
      <c r="C112" s="8"/>
      <c r="E112" s="496"/>
      <c r="F112" s="497"/>
      <c r="G112" s="498"/>
      <c r="H112" s="195" t="s">
        <v>7026</v>
      </c>
      <c r="I112" s="230"/>
      <c r="J112" s="233"/>
      <c r="K112" s="149" t="str">
        <f>ADDRESS(ROW(),5,4,1)</f>
        <v>E112</v>
      </c>
      <c r="L112" s="85" t="s">
        <v>7087</v>
      </c>
      <c r="M112" s="71" t="str">
        <f>IF(ISBLANK(E112),"",E112)</f>
        <v/>
      </c>
      <c r="N112" s="375" t="s">
        <v>7195</v>
      </c>
      <c r="O112" s="91">
        <f>IFERROR(INDEX(environmental_feature, MATCH(E112, INDEX(environmental_feature,0,1),0),2),E112)</f>
        <v>0</v>
      </c>
    </row>
    <row r="113" spans="2:15" ht="5" customHeight="1" outlineLevel="1">
      <c r="B113" s="9"/>
      <c r="C113" s="9"/>
      <c r="D113" s="209"/>
      <c r="E113" s="9"/>
      <c r="F113" s="158"/>
      <c r="G113" s="158"/>
      <c r="H113" s="157"/>
      <c r="I113" s="219"/>
      <c r="J113" s="223"/>
      <c r="K113" s="150"/>
      <c r="L113" s="47"/>
      <c r="M113" s="42"/>
      <c r="N113" s="372"/>
      <c r="O113" s="46"/>
    </row>
    <row r="114" spans="2:15" ht="64.5" customHeight="1" outlineLevel="1">
      <c r="B114" s="65" t="s">
        <v>9713</v>
      </c>
      <c r="C114" s="9"/>
      <c r="D114" s="209" t="s">
        <v>210</v>
      </c>
      <c r="E114" s="464"/>
      <c r="F114" s="465"/>
      <c r="G114" s="466"/>
      <c r="H114" s="508" t="s">
        <v>9938</v>
      </c>
      <c r="I114" s="509"/>
      <c r="J114" s="510"/>
      <c r="K114" s="272" t="s">
        <v>9711</v>
      </c>
      <c r="L114" s="93" t="s">
        <v>9710</v>
      </c>
      <c r="M114" s="71" t="str">
        <f>IF(ISBLANK(E114),"",E114)</f>
        <v/>
      </c>
      <c r="N114" s="369"/>
      <c r="O114" s="59"/>
    </row>
    <row r="115" spans="2:15" ht="12" customHeight="1" outlineLevel="1">
      <c r="B115" s="161"/>
      <c r="C115" s="161"/>
      <c r="D115" s="213"/>
      <c r="E115" s="161"/>
      <c r="F115" s="161"/>
      <c r="G115" s="161"/>
      <c r="H115" s="193"/>
      <c r="I115" s="220"/>
      <c r="J115" s="224"/>
      <c r="K115" s="149"/>
      <c r="L115" s="47" t="s">
        <v>232</v>
      </c>
      <c r="M115" s="49" t="str">
        <f>IF(ISBLANK(E114),"",E114) &amp; IF(ISBLANK(E94),"","; " &amp; E94) &amp; IF(ISBLANK(E96),"","; " &amp; E96) &amp; IF(ISBLANK(E98),"","; " &amp; E98) &amp; IF(ISBLANK(E102),"","; " &amp; E102) &amp; IF(ISBLANK(E104),"","; " &amp; E104) &amp; IF(ISBLANK(E106),"","; " &amp; E106) &amp; IF(ISBLANK(E108),"","; " &amp; E108) &amp; IF(ISBLANK(E110),"","; " &amp; E110) &amp; IF(ISBLANK(E112),"","; " &amp; E112)</f>
        <v/>
      </c>
      <c r="N115" s="371" t="s">
        <v>206</v>
      </c>
      <c r="O115" s="50" t="str">
        <f>IF(ISBLANK(E114),"",E114)</f>
        <v/>
      </c>
    </row>
    <row r="116" spans="2:15" ht="24" customHeight="1" outlineLevel="1" thickBot="1">
      <c r="B116" s="321" t="s">
        <v>9050</v>
      </c>
      <c r="C116" s="167"/>
      <c r="D116" s="210"/>
      <c r="E116" s="167"/>
      <c r="F116" s="167"/>
      <c r="G116" s="167"/>
      <c r="H116" s="167"/>
      <c r="I116" s="238"/>
      <c r="J116" s="239"/>
      <c r="K116" s="115"/>
      <c r="L116" s="47"/>
      <c r="M116" s="42"/>
      <c r="N116" s="372"/>
      <c r="O116" s="50"/>
    </row>
    <row r="117" spans="2:15" ht="5" customHeight="1" outlineLevel="1">
      <c r="B117" s="9"/>
      <c r="C117" s="9"/>
      <c r="D117" s="209"/>
      <c r="E117" s="163"/>
      <c r="F117" s="158"/>
      <c r="G117" s="158"/>
      <c r="H117" s="157"/>
      <c r="I117" s="219"/>
      <c r="J117" s="223"/>
      <c r="K117" s="150"/>
      <c r="L117" s="52"/>
      <c r="M117" s="53"/>
      <c r="N117" s="372"/>
      <c r="O117" s="50"/>
    </row>
    <row r="118" spans="2:15" ht="43" customHeight="1" outlineLevel="1">
      <c r="B118" s="65" t="s">
        <v>9352</v>
      </c>
      <c r="C118" s="9"/>
      <c r="D118" s="209" t="s">
        <v>210</v>
      </c>
      <c r="E118" s="451"/>
      <c r="F118" s="463"/>
      <c r="G118" s="467"/>
      <c r="H118" s="159"/>
      <c r="I118" s="234"/>
      <c r="J118" s="236"/>
      <c r="K118" s="149" t="str">
        <f>ADDRESS(ROW(),5,4,1)</f>
        <v>E118</v>
      </c>
      <c r="L118" s="47" t="s">
        <v>228</v>
      </c>
      <c r="M118" s="51" t="str">
        <f>IF(ISBLANK(E118),"",E118)</f>
        <v/>
      </c>
      <c r="N118" s="379" t="s">
        <v>9997</v>
      </c>
      <c r="O118" s="50" t="str">
        <f>IF(ISBLANK(E118),"",E118)</f>
        <v/>
      </c>
    </row>
    <row r="119" spans="2:15" s="33" customFormat="1" ht="5" customHeight="1" outlineLevel="1">
      <c r="B119" s="9"/>
      <c r="C119" s="9"/>
      <c r="D119" s="209"/>
      <c r="E119" s="163"/>
      <c r="F119" s="158"/>
      <c r="G119" s="158"/>
      <c r="H119" s="157"/>
      <c r="I119" s="235"/>
      <c r="J119" s="237"/>
      <c r="K119" s="150"/>
      <c r="L119" s="47"/>
      <c r="M119" s="42"/>
      <c r="N119" s="372"/>
      <c r="O119" s="50"/>
    </row>
    <row r="120" spans="2:15" ht="15" customHeight="1" outlineLevel="1">
      <c r="B120" s="9" t="s">
        <v>9051</v>
      </c>
      <c r="C120" s="9"/>
      <c r="D120" s="209"/>
      <c r="E120" s="179"/>
      <c r="F120" s="158"/>
      <c r="G120" s="158"/>
      <c r="H120" s="170"/>
      <c r="I120" s="219"/>
      <c r="J120" s="223"/>
      <c r="K120" s="149" t="str">
        <f>ADDRESS(ROW(),5,4,1)</f>
        <v>E120</v>
      </c>
      <c r="L120" s="52" t="s">
        <v>285</v>
      </c>
      <c r="M120" s="51" t="str">
        <f>IF(ISBLANK(E120),"",E120)</f>
        <v/>
      </c>
      <c r="N120" s="375" t="s">
        <v>9998</v>
      </c>
      <c r="O120" s="50" t="str">
        <f>IF(ISBLANK(E120),"",E120)</f>
        <v/>
      </c>
    </row>
    <row r="121" spans="2:15" ht="5" customHeight="1" outlineLevel="1">
      <c r="B121" s="9"/>
      <c r="C121" s="9"/>
      <c r="D121" s="209"/>
      <c r="E121" s="163"/>
      <c r="F121" s="158"/>
      <c r="G121" s="158"/>
      <c r="H121" s="157"/>
      <c r="I121" s="219"/>
      <c r="J121" s="223"/>
      <c r="K121" s="150"/>
      <c r="L121" s="52"/>
      <c r="M121" s="53"/>
      <c r="N121" s="372"/>
      <c r="O121" s="50"/>
    </row>
    <row r="122" spans="2:15" s="33" customFormat="1" outlineLevel="1">
      <c r="B122" s="8" t="s">
        <v>304</v>
      </c>
      <c r="C122" s="9"/>
      <c r="D122" s="209"/>
      <c r="E122" s="179"/>
      <c r="F122" s="158"/>
      <c r="G122" s="158"/>
      <c r="H122" s="157"/>
      <c r="I122" s="235"/>
      <c r="J122" s="237"/>
      <c r="K122" s="149" t="str">
        <f>ADDRESS(ROW(),5,4,1)</f>
        <v>E122</v>
      </c>
      <c r="L122" s="56" t="s">
        <v>288</v>
      </c>
      <c r="M122" s="51" t="str">
        <f>IF(ISBLANK(E122),"",E122)</f>
        <v/>
      </c>
      <c r="N122" s="375" t="s">
        <v>9999</v>
      </c>
      <c r="O122" s="50" t="str">
        <f>IF(ISBLANK(E122),"",E122)</f>
        <v/>
      </c>
    </row>
    <row r="123" spans="2:15" s="33" customFormat="1" ht="5" customHeight="1" outlineLevel="1">
      <c r="B123" s="9"/>
      <c r="C123" s="9"/>
      <c r="D123" s="209"/>
      <c r="E123" s="163"/>
      <c r="F123" s="158"/>
      <c r="G123" s="158"/>
      <c r="H123" s="157"/>
      <c r="I123" s="235"/>
      <c r="J123" s="237"/>
      <c r="K123" s="150"/>
      <c r="L123" s="47"/>
      <c r="M123" s="42"/>
      <c r="N123" s="372"/>
      <c r="O123" s="50"/>
    </row>
    <row r="124" spans="2:15" s="33" customFormat="1" ht="15" customHeight="1" outlineLevel="1">
      <c r="B124" s="9" t="s">
        <v>9968</v>
      </c>
      <c r="C124" s="9"/>
      <c r="D124" s="209" t="s">
        <v>210</v>
      </c>
      <c r="E124" s="451"/>
      <c r="F124" s="452"/>
      <c r="G124" s="506"/>
      <c r="H124" s="507"/>
      <c r="I124" s="235"/>
      <c r="J124" s="237"/>
      <c r="K124" s="149" t="str">
        <f>ADDRESS(ROW(),5,4,1)</f>
        <v>E124</v>
      </c>
      <c r="L124" s="329" t="s">
        <v>9981</v>
      </c>
      <c r="M124" s="51" t="str">
        <f>IF(ISBLANK(E124),"",E124)</f>
        <v/>
      </c>
      <c r="N124" s="375" t="s">
        <v>10000</v>
      </c>
      <c r="O124" s="50" t="str">
        <f>IF(ISBLANK(E124),"",E124)</f>
        <v/>
      </c>
    </row>
    <row r="125" spans="2:15" s="33" customFormat="1" ht="5" customHeight="1" outlineLevel="1">
      <c r="B125" s="9"/>
      <c r="C125" s="9"/>
      <c r="D125" s="209"/>
      <c r="E125" s="163"/>
      <c r="F125" s="158"/>
      <c r="G125" s="158"/>
      <c r="H125" s="157"/>
      <c r="I125" s="235"/>
      <c r="J125" s="237"/>
      <c r="K125" s="150"/>
      <c r="L125" s="47"/>
      <c r="M125" s="42"/>
      <c r="N125" s="372"/>
      <c r="O125" s="50"/>
    </row>
    <row r="126" spans="2:15" s="33" customFormat="1" outlineLevel="1">
      <c r="B126" s="9" t="s">
        <v>303</v>
      </c>
      <c r="C126" s="9"/>
      <c r="D126" s="209"/>
      <c r="E126" s="451"/>
      <c r="F126" s="452"/>
      <c r="G126" s="158"/>
      <c r="H126" s="157"/>
      <c r="I126" s="235"/>
      <c r="J126" s="237"/>
      <c r="K126" s="149" t="str">
        <f>ADDRESS(ROW(),5,4,1)</f>
        <v>E126</v>
      </c>
      <c r="L126" s="56" t="s">
        <v>290</v>
      </c>
      <c r="M126" s="51" t="str">
        <f>IF(ISBLANK(E126),"",E126)</f>
        <v/>
      </c>
      <c r="N126" s="375" t="s">
        <v>10001</v>
      </c>
      <c r="O126" s="50" t="str">
        <f>IF(ISBLANK(E126),"",E126)</f>
        <v/>
      </c>
    </row>
    <row r="127" spans="2:15" s="33" customFormat="1" ht="5" customHeight="1" outlineLevel="1">
      <c r="B127" s="9"/>
      <c r="C127" s="9"/>
      <c r="D127" s="209"/>
      <c r="E127" s="163"/>
      <c r="F127" s="158"/>
      <c r="G127" s="158"/>
      <c r="H127" s="157"/>
      <c r="I127" s="235"/>
      <c r="J127" s="237"/>
      <c r="K127" s="150"/>
      <c r="L127" s="47"/>
      <c r="M127" s="42"/>
      <c r="N127" s="372"/>
      <c r="O127" s="50"/>
    </row>
    <row r="128" spans="2:15" s="33" customFormat="1" outlineLevel="1">
      <c r="B128" s="9" t="s">
        <v>301</v>
      </c>
      <c r="C128" s="9"/>
      <c r="D128" s="209"/>
      <c r="E128" s="179"/>
      <c r="F128" s="158"/>
      <c r="G128" s="158"/>
      <c r="H128" s="157"/>
      <c r="I128" s="235"/>
      <c r="J128" s="237"/>
      <c r="K128" s="149" t="str">
        <f>ADDRESS(ROW(),5,4,1)</f>
        <v>E128</v>
      </c>
      <c r="L128" s="56" t="s">
        <v>291</v>
      </c>
      <c r="M128" s="51" t="str">
        <f>IF(ISBLANK(E128),"",E128)</f>
        <v/>
      </c>
      <c r="N128" s="375" t="s">
        <v>10002</v>
      </c>
      <c r="O128" s="50" t="str">
        <f>IF(ISBLANK(E128),"",E128)</f>
        <v/>
      </c>
    </row>
    <row r="129" spans="2:15" s="33" customFormat="1" ht="5" customHeight="1" outlineLevel="1">
      <c r="B129" s="9"/>
      <c r="C129" s="9"/>
      <c r="D129" s="209"/>
      <c r="E129" s="163"/>
      <c r="F129" s="158"/>
      <c r="G129" s="158"/>
      <c r="H129" s="157"/>
      <c r="I129" s="235"/>
      <c r="J129" s="237"/>
      <c r="K129" s="150"/>
      <c r="L129" s="47"/>
      <c r="M129" s="42"/>
      <c r="N129" s="372"/>
      <c r="O129" s="50"/>
    </row>
    <row r="130" spans="2:15" s="33" customFormat="1" outlineLevel="1">
      <c r="B130" s="9" t="s">
        <v>302</v>
      </c>
      <c r="C130" s="9"/>
      <c r="D130" s="209"/>
      <c r="E130" s="451"/>
      <c r="F130" s="452"/>
      <c r="G130" s="174"/>
      <c r="H130" s="157"/>
      <c r="I130" s="235"/>
      <c r="J130" s="237"/>
      <c r="K130" s="149" t="str">
        <f>ADDRESS(ROW(),5,4,1)</f>
        <v>E130</v>
      </c>
      <c r="L130" s="56" t="s">
        <v>292</v>
      </c>
      <c r="M130" s="51" t="str">
        <f>IF(ISBLANK(E130),"",E130)</f>
        <v/>
      </c>
      <c r="N130" s="375" t="s">
        <v>10004</v>
      </c>
      <c r="O130" s="50" t="str">
        <f>IF(ISBLANK(E130),"",E130)</f>
        <v/>
      </c>
    </row>
    <row r="131" spans="2:15" s="33" customFormat="1" ht="5" customHeight="1" outlineLevel="1">
      <c r="B131" s="9"/>
      <c r="C131" s="9"/>
      <c r="D131" s="209"/>
      <c r="E131" s="163"/>
      <c r="F131" s="158"/>
      <c r="G131" s="158"/>
      <c r="H131" s="157"/>
      <c r="I131" s="235"/>
      <c r="J131" s="237"/>
      <c r="K131" s="150"/>
      <c r="L131" s="47"/>
      <c r="M131" s="42"/>
      <c r="N131" s="372"/>
      <c r="O131" s="50"/>
    </row>
    <row r="132" spans="2:15" s="33" customFormat="1" ht="15" customHeight="1" outlineLevel="1">
      <c r="B132" s="9" t="s">
        <v>299</v>
      </c>
      <c r="C132" s="9"/>
      <c r="D132" s="209"/>
      <c r="E132" s="451"/>
      <c r="F132" s="452"/>
      <c r="G132" s="158"/>
      <c r="H132" s="157"/>
      <c r="I132" s="235"/>
      <c r="J132" s="237"/>
      <c r="K132" s="149" t="str">
        <f>ADDRESS(ROW(),5,4,1)</f>
        <v>E132</v>
      </c>
      <c r="L132" s="56" t="s">
        <v>293</v>
      </c>
      <c r="M132" s="51" t="str">
        <f>IF(ISBLANK(E132),"",E132)</f>
        <v/>
      </c>
      <c r="N132" s="375" t="s">
        <v>10005</v>
      </c>
      <c r="O132" s="50" t="str">
        <f>IF(ISBLANK(E132),"",E132)</f>
        <v/>
      </c>
    </row>
    <row r="133" spans="2:15" ht="5" customHeight="1" outlineLevel="1">
      <c r="B133" s="158"/>
      <c r="C133" s="9"/>
      <c r="D133" s="209"/>
      <c r="E133" s="163"/>
      <c r="F133" s="158"/>
      <c r="G133" s="158"/>
      <c r="H133" s="170"/>
      <c r="I133" s="219"/>
      <c r="J133" s="223"/>
      <c r="K133" s="150"/>
      <c r="L133" s="47"/>
      <c r="M133" s="42"/>
      <c r="N133" s="372"/>
      <c r="O133" s="50"/>
    </row>
    <row r="134" spans="2:15" s="33" customFormat="1" ht="28" customHeight="1" outlineLevel="1">
      <c r="B134" s="9" t="s">
        <v>7506</v>
      </c>
      <c r="C134" s="9"/>
      <c r="D134" s="209"/>
      <c r="E134" s="464"/>
      <c r="F134" s="465"/>
      <c r="G134" s="466"/>
      <c r="H134" s="157"/>
      <c r="I134" s="235"/>
      <c r="J134" s="237"/>
      <c r="K134" s="149" t="str">
        <f>ADDRESS(ROW(),5,4,1)</f>
        <v>E134</v>
      </c>
      <c r="L134" s="56" t="s">
        <v>289</v>
      </c>
      <c r="M134" s="51" t="str">
        <f>IF(ISBLANK(E134),"",E134)</f>
        <v/>
      </c>
      <c r="N134" s="375" t="s">
        <v>10006</v>
      </c>
      <c r="O134" s="50" t="str">
        <f>IF(ISBLANK(E134),"",E134)</f>
        <v/>
      </c>
    </row>
    <row r="135" spans="2:15" s="6" customFormat="1" ht="30" customHeight="1" thickBot="1">
      <c r="B135" s="323" t="s">
        <v>287</v>
      </c>
      <c r="C135" s="196"/>
      <c r="D135" s="215"/>
      <c r="E135" s="197"/>
      <c r="F135" s="198"/>
      <c r="G135" s="198"/>
      <c r="H135" s="198"/>
      <c r="I135" s="169"/>
      <c r="J135" s="240"/>
      <c r="K135" s="116"/>
      <c r="L135" s="126"/>
      <c r="M135" s="117"/>
      <c r="N135" s="374"/>
      <c r="O135" s="118"/>
    </row>
    <row r="136" spans="2:15" ht="5" customHeight="1" outlineLevel="1">
      <c r="B136" s="158"/>
      <c r="C136" s="9"/>
      <c r="D136" s="209"/>
      <c r="E136" s="163"/>
      <c r="F136" s="158"/>
      <c r="G136" s="158"/>
      <c r="H136" s="170"/>
      <c r="I136" s="220"/>
      <c r="J136" s="224"/>
      <c r="K136" s="150"/>
      <c r="L136" s="47"/>
      <c r="M136" s="42"/>
      <c r="N136" s="372"/>
      <c r="O136" s="59"/>
    </row>
    <row r="137" spans="2:15" ht="18" customHeight="1" outlineLevel="1">
      <c r="B137" s="9" t="s">
        <v>198</v>
      </c>
      <c r="C137" s="9"/>
      <c r="D137" s="209"/>
      <c r="E137" s="449"/>
      <c r="F137" s="449"/>
      <c r="G137" s="450"/>
      <c r="H137" s="159"/>
      <c r="I137" s="219"/>
      <c r="J137" s="223"/>
      <c r="K137" s="149" t="str">
        <f>ADDRESS(ROW(),5,4,1)</f>
        <v>E137</v>
      </c>
      <c r="L137" s="78" t="s">
        <v>7066</v>
      </c>
      <c r="M137" s="71" t="str">
        <f>IF(ISBLANK(E137),"",E137)</f>
        <v/>
      </c>
      <c r="N137" s="371" t="s">
        <v>10007</v>
      </c>
      <c r="O137" s="91">
        <f>IFERROR(INDEX(Sequencing_Facility, MATCH(E137, INDEX(Sequencing_Facility,0,1),0),2),E137)</f>
        <v>0</v>
      </c>
    </row>
    <row r="138" spans="2:15" ht="5" customHeight="1" outlineLevel="1">
      <c r="B138" s="9"/>
      <c r="C138" s="9"/>
      <c r="D138" s="209"/>
      <c r="E138" s="163"/>
      <c r="F138" s="158"/>
      <c r="G138" s="158"/>
      <c r="H138" s="157"/>
      <c r="I138" s="219"/>
      <c r="J138" s="223"/>
      <c r="K138" s="150"/>
      <c r="L138" s="47"/>
      <c r="M138" s="42"/>
      <c r="N138" s="372"/>
      <c r="O138" s="59"/>
    </row>
    <row r="139" spans="2:15" ht="18" customHeight="1" outlineLevel="1">
      <c r="B139" s="9" t="s">
        <v>7029</v>
      </c>
      <c r="C139" s="9"/>
      <c r="D139" s="209"/>
      <c r="E139" s="449"/>
      <c r="F139" s="450"/>
      <c r="G139" s="158"/>
      <c r="H139" s="157"/>
      <c r="I139" s="219"/>
      <c r="J139" s="223"/>
      <c r="K139" s="149" t="str">
        <f>ADDRESS(ROW(),5,4,1)</f>
        <v>E139</v>
      </c>
      <c r="L139" s="78" t="s">
        <v>7067</v>
      </c>
      <c r="M139" s="103" t="str">
        <f>IF(ISBLANK(E139),"",E139)</f>
        <v/>
      </c>
      <c r="N139" s="380" t="s">
        <v>7206</v>
      </c>
      <c r="O139" s="91">
        <f>IFERROR(INDEX(Sequencing_Platform, MATCH(E139, INDEX(Sequencing_Platform,0,1),0),2),E139)</f>
        <v>0</v>
      </c>
    </row>
    <row r="140" spans="2:15" s="6" customFormat="1" ht="38" customHeight="1" thickBot="1">
      <c r="B140" s="323" t="s">
        <v>7505</v>
      </c>
      <c r="C140" s="196"/>
      <c r="D140" s="215"/>
      <c r="E140" s="197"/>
      <c r="F140" s="198"/>
      <c r="G140" s="198"/>
      <c r="H140" s="198"/>
      <c r="I140" s="167"/>
      <c r="J140" s="226"/>
      <c r="K140" s="115"/>
      <c r="L140" s="47"/>
      <c r="M140" s="42"/>
      <c r="N140" s="372"/>
      <c r="O140" s="59"/>
    </row>
    <row r="141" spans="2:15" ht="6" customHeight="1" outlineLevel="1">
      <c r="B141" s="8"/>
      <c r="C141" s="8"/>
      <c r="E141" s="174"/>
      <c r="F141" s="174"/>
      <c r="G141" s="2"/>
      <c r="H141" s="180"/>
      <c r="I141" s="230"/>
      <c r="J141" s="233"/>
      <c r="K141" s="149"/>
      <c r="L141" s="47"/>
      <c r="M141" s="119"/>
      <c r="N141" s="373"/>
      <c r="O141" s="91"/>
    </row>
    <row r="142" spans="2:15" ht="15" customHeight="1" outlineLevel="1">
      <c r="B142" s="8" t="s">
        <v>9106</v>
      </c>
      <c r="C142" s="8"/>
      <c r="E142" s="496"/>
      <c r="F142" s="497"/>
      <c r="G142" s="498"/>
      <c r="H142" s="241"/>
      <c r="I142" s="230"/>
      <c r="J142" s="233"/>
      <c r="K142" s="149" t="str">
        <f>ADDRESS(ROW(),5,4,1)</f>
        <v>E142</v>
      </c>
      <c r="L142" s="85" t="s">
        <v>9104</v>
      </c>
      <c r="M142" s="71" t="str">
        <f>IF(ISBLANK(E142),"",E142)</f>
        <v/>
      </c>
      <c r="N142" s="375" t="s">
        <v>9107</v>
      </c>
      <c r="O142" s="91">
        <f>IFERROR(INDEX(environmental_feature, MATCH(E142, INDEX(environmental_feature,0,1),0),2),E142)</f>
        <v>0</v>
      </c>
    </row>
    <row r="143" spans="2:15" ht="7" customHeight="1" outlineLevel="1">
      <c r="B143" s="9"/>
      <c r="C143" s="9"/>
      <c r="D143" s="209"/>
      <c r="E143" s="163"/>
      <c r="F143" s="158"/>
      <c r="G143" s="158"/>
      <c r="H143" s="157"/>
      <c r="I143" s="234"/>
      <c r="J143" s="236"/>
      <c r="K143" s="150"/>
      <c r="L143" s="85"/>
      <c r="M143" s="42"/>
      <c r="N143" s="372"/>
      <c r="O143" s="59"/>
    </row>
    <row r="144" spans="2:15" ht="15" customHeight="1" outlineLevel="1">
      <c r="B144" s="8" t="s">
        <v>7027</v>
      </c>
      <c r="C144" s="8"/>
      <c r="E144" s="449"/>
      <c r="F144" s="449"/>
      <c r="G144" s="450"/>
      <c r="H144" s="242" t="s">
        <v>7026</v>
      </c>
      <c r="I144" s="230"/>
      <c r="J144" s="233"/>
      <c r="K144" s="149" t="str">
        <f>ADDRESS(ROW(),5,4,1)</f>
        <v>E144</v>
      </c>
      <c r="L144" s="85" t="s">
        <v>7084</v>
      </c>
      <c r="M144" s="71" t="str">
        <f>IF(ISBLANK(E144),"",E144)</f>
        <v/>
      </c>
      <c r="N144" s="375" t="s">
        <v>7196</v>
      </c>
      <c r="O144" s="91">
        <f>IFERROR(INDEX(Biome, MATCH(E144, INDEX(Biome,0,1),0),2),E144)</f>
        <v>0</v>
      </c>
    </row>
    <row r="145" spans="2:15" ht="5" customHeight="1" outlineLevel="1">
      <c r="B145" s="8"/>
      <c r="C145" s="8"/>
      <c r="E145" s="190"/>
      <c r="F145" s="2"/>
      <c r="G145" s="2"/>
      <c r="H145" s="180"/>
      <c r="I145" s="230"/>
      <c r="J145" s="233"/>
      <c r="K145" s="149"/>
      <c r="L145" s="47"/>
      <c r="M145" s="42"/>
      <c r="N145" s="372"/>
      <c r="O145" s="59"/>
    </row>
    <row r="146" spans="2:15" ht="15" outlineLevel="1">
      <c r="B146" s="9" t="s">
        <v>199</v>
      </c>
      <c r="C146" s="9"/>
      <c r="D146" s="209"/>
      <c r="E146" s="199"/>
      <c r="F146" s="158"/>
      <c r="G146" s="158"/>
      <c r="H146" s="157"/>
      <c r="I146" s="219"/>
      <c r="J146" s="223"/>
      <c r="K146" s="149" t="str">
        <f>ADDRESS(ROW(),5,4,1)</f>
        <v>E146</v>
      </c>
      <c r="L146" s="85" t="s">
        <v>7085</v>
      </c>
      <c r="M146" s="71" t="str">
        <f>IF(ISBLANK(E146),"",E146)</f>
        <v/>
      </c>
      <c r="N146" s="375" t="s">
        <v>7197</v>
      </c>
      <c r="O146" s="91">
        <f>IFERROR(INDEX(Season, MATCH(E146, INDEX(Season,0,1),0),2),E146)</f>
        <v>0</v>
      </c>
    </row>
    <row r="147" spans="2:15" ht="7" customHeight="1" outlineLevel="1">
      <c r="B147" s="8"/>
      <c r="C147" s="8"/>
      <c r="E147" s="190"/>
      <c r="F147" s="2"/>
      <c r="G147" s="2"/>
      <c r="H147" s="180"/>
      <c r="I147" s="230"/>
      <c r="J147" s="233"/>
      <c r="K147" s="150"/>
      <c r="L147" s="47"/>
      <c r="M147" s="42"/>
      <c r="N147" s="372"/>
      <c r="O147" s="59"/>
    </row>
    <row r="148" spans="2:15" ht="30" customHeight="1" outlineLevel="1">
      <c r="B148" s="8" t="s">
        <v>7028</v>
      </c>
      <c r="C148" s="8"/>
      <c r="E148" s="200"/>
      <c r="F148" s="158" t="s">
        <v>11</v>
      </c>
      <c r="G148" s="2"/>
      <c r="H148" s="180"/>
      <c r="I148" s="230"/>
      <c r="J148" s="233"/>
      <c r="K148" s="149" t="str">
        <f>ADDRESS(ROW(),5,4,1)</f>
        <v>E148</v>
      </c>
      <c r="L148" s="85" t="s">
        <v>7086</v>
      </c>
      <c r="M148" s="71" t="str">
        <f>IF(ISBLANK(E148),"",E148)</f>
        <v/>
      </c>
      <c r="N148" s="375" t="s">
        <v>10109</v>
      </c>
      <c r="O148" s="59" t="str">
        <f>IF(ISBLANK(E148),"",E148)</f>
        <v/>
      </c>
    </row>
    <row r="149" spans="2:15" ht="7" customHeight="1" outlineLevel="1">
      <c r="B149" s="8"/>
      <c r="C149" s="8"/>
      <c r="E149" s="190"/>
      <c r="F149" s="2"/>
      <c r="G149" s="2"/>
      <c r="H149" s="180"/>
      <c r="I149" s="230"/>
      <c r="J149" s="233"/>
      <c r="K149" s="150"/>
      <c r="L149" s="85"/>
      <c r="M149" s="42"/>
      <c r="N149" s="372"/>
      <c r="O149" s="59"/>
    </row>
    <row r="150" spans="2:15" outlineLevel="1">
      <c r="B150" s="8" t="s">
        <v>200</v>
      </c>
      <c r="C150" s="8"/>
      <c r="E150" s="200"/>
      <c r="F150" s="2" t="s">
        <v>9940</v>
      </c>
      <c r="G150" s="2"/>
      <c r="H150" s="180"/>
      <c r="I150" s="230"/>
      <c r="J150" s="233"/>
      <c r="K150" s="149" t="str">
        <f>ADDRESS(ROW(),5,4,1)</f>
        <v>E150</v>
      </c>
      <c r="L150" s="85" t="s">
        <v>7088</v>
      </c>
      <c r="M150" s="71" t="str">
        <f>IF(ISBLANK(E150),"",E150)</f>
        <v/>
      </c>
      <c r="N150" s="375" t="s">
        <v>10009</v>
      </c>
      <c r="O150" s="59" t="str">
        <f>IF(ISBLANK(E150),"",E150)</f>
        <v/>
      </c>
    </row>
    <row r="151" spans="2:15" ht="7" customHeight="1" outlineLevel="1">
      <c r="B151" s="8"/>
      <c r="C151" s="8"/>
      <c r="E151" s="201"/>
      <c r="F151" s="2"/>
      <c r="G151" s="2"/>
      <c r="H151" s="180"/>
      <c r="I151" s="230"/>
      <c r="J151" s="233"/>
      <c r="K151" s="150"/>
      <c r="L151" s="85"/>
      <c r="M151" s="42"/>
      <c r="N151" s="372"/>
      <c r="O151" s="59"/>
    </row>
    <row r="152" spans="2:15" outlineLevel="1">
      <c r="B152" s="8" t="s">
        <v>9588</v>
      </c>
      <c r="C152" s="8"/>
      <c r="E152" s="200"/>
      <c r="F152" s="2" t="s">
        <v>7214</v>
      </c>
      <c r="G152" s="2"/>
      <c r="H152" s="180"/>
      <c r="I152" s="230"/>
      <c r="J152" s="233"/>
      <c r="K152" s="149" t="str">
        <f>ADDRESS(ROW(),5,4,1)</f>
        <v>E152</v>
      </c>
      <c r="L152" s="85" t="s">
        <v>9593</v>
      </c>
      <c r="M152" s="71" t="str">
        <f>IF(ISBLANK(E152),"",E152)</f>
        <v/>
      </c>
      <c r="N152" s="375" t="s">
        <v>10108</v>
      </c>
      <c r="O152" s="59" t="str">
        <f>IF(ISBLANK(E152),"",E152)</f>
        <v/>
      </c>
    </row>
    <row r="153" spans="2:15" ht="7" customHeight="1" outlineLevel="1">
      <c r="B153" s="8"/>
      <c r="C153" s="8"/>
      <c r="E153" s="201"/>
      <c r="F153" s="2"/>
      <c r="G153" s="2"/>
      <c r="H153" s="180"/>
      <c r="I153" s="230"/>
      <c r="J153" s="233"/>
      <c r="K153" s="150"/>
      <c r="L153" s="85"/>
      <c r="M153" s="42"/>
      <c r="N153" s="372"/>
      <c r="O153" s="59"/>
    </row>
    <row r="154" spans="2:15" outlineLevel="1">
      <c r="B154" s="8" t="s">
        <v>9589</v>
      </c>
      <c r="C154" s="8"/>
      <c r="E154" s="200"/>
      <c r="F154" s="2" t="s">
        <v>7214</v>
      </c>
      <c r="G154" s="2"/>
      <c r="H154" s="180"/>
      <c r="I154" s="230"/>
      <c r="J154" s="233"/>
      <c r="K154" s="149" t="str">
        <f>ADDRESS(ROW(),5,4,1)</f>
        <v>E154</v>
      </c>
      <c r="L154" s="85" t="s">
        <v>9594</v>
      </c>
      <c r="M154" s="71" t="str">
        <f>IF(ISBLANK(E154),"",E154)</f>
        <v/>
      </c>
      <c r="N154" s="375" t="s">
        <v>10120</v>
      </c>
      <c r="O154" s="59" t="str">
        <f>IF(ISBLANK(E154),"",E154)</f>
        <v/>
      </c>
    </row>
    <row r="155" spans="2:15" ht="7" customHeight="1" outlineLevel="1">
      <c r="B155" s="8"/>
      <c r="C155" s="8"/>
      <c r="E155" s="201"/>
      <c r="F155" s="2"/>
      <c r="G155" s="2"/>
      <c r="H155" s="180"/>
      <c r="I155" s="230"/>
      <c r="J155" s="233"/>
      <c r="K155" s="150"/>
      <c r="L155" s="85"/>
      <c r="M155" s="42"/>
      <c r="N155" s="372"/>
      <c r="O155" s="59"/>
    </row>
    <row r="156" spans="2:15" ht="26" outlineLevel="1">
      <c r="B156" s="8" t="s">
        <v>9587</v>
      </c>
      <c r="C156" s="8"/>
      <c r="E156" s="200"/>
      <c r="F156" s="202" t="s">
        <v>9612</v>
      </c>
      <c r="G156" s="2"/>
      <c r="H156" s="180"/>
      <c r="I156" s="230"/>
      <c r="J156" s="233"/>
      <c r="K156" s="149" t="str">
        <f>ADDRESS(ROW(),5,4,1)</f>
        <v>E156</v>
      </c>
      <c r="L156" s="85" t="s">
        <v>9595</v>
      </c>
      <c r="M156" s="71" t="str">
        <f>IF(ISBLANK(E156),"",E156)</f>
        <v/>
      </c>
      <c r="N156" s="375" t="s">
        <v>10121</v>
      </c>
      <c r="O156" s="59" t="str">
        <f>IF(ISBLANK(E156),"",E156)</f>
        <v/>
      </c>
    </row>
    <row r="157" spans="2:15" ht="7" customHeight="1" outlineLevel="1">
      <c r="B157" s="8"/>
      <c r="C157" s="8"/>
      <c r="E157" s="201"/>
      <c r="F157" s="2"/>
      <c r="G157" s="2"/>
      <c r="H157" s="180"/>
      <c r="I157" s="230"/>
      <c r="J157" s="233"/>
      <c r="K157" s="150"/>
      <c r="L157" s="85"/>
      <c r="M157" s="42"/>
      <c r="N157" s="372"/>
      <c r="O157" s="59"/>
    </row>
    <row r="158" spans="2:15" ht="26" outlineLevel="1">
      <c r="B158" s="8" t="s">
        <v>9611</v>
      </c>
      <c r="C158" s="8"/>
      <c r="E158" s="200"/>
      <c r="F158" s="202" t="s">
        <v>9939</v>
      </c>
      <c r="G158" s="2"/>
      <c r="H158" s="180"/>
      <c r="I158" s="230"/>
      <c r="J158" s="233"/>
      <c r="K158" s="149" t="str">
        <f>ADDRESS(ROW(),5,4,1)</f>
        <v>E158</v>
      </c>
      <c r="L158" s="85" t="s">
        <v>9613</v>
      </c>
      <c r="M158" s="71" t="str">
        <f>IF(ISBLANK(E158),"",E158)</f>
        <v/>
      </c>
      <c r="N158" s="375" t="s">
        <v>10119</v>
      </c>
      <c r="O158" s="59" t="str">
        <f>IF(ISBLANK(E158),"",E158)</f>
        <v/>
      </c>
    </row>
    <row r="159" spans="2:15" ht="7" customHeight="1" outlineLevel="1">
      <c r="B159" s="8"/>
      <c r="C159" s="8"/>
      <c r="E159" s="201"/>
      <c r="F159" s="2"/>
      <c r="G159" s="2"/>
      <c r="H159" s="180"/>
      <c r="I159" s="230"/>
      <c r="J159" s="233"/>
      <c r="K159" s="150"/>
      <c r="L159" s="85"/>
      <c r="M159" s="42"/>
      <c r="N159" s="372"/>
      <c r="O159" s="59"/>
    </row>
    <row r="160" spans="2:15" outlineLevel="1">
      <c r="B160" s="8" t="s">
        <v>2</v>
      </c>
      <c r="C160" s="8"/>
      <c r="E160" s="200"/>
      <c r="F160" s="202" t="s">
        <v>328</v>
      </c>
      <c r="G160" s="2"/>
      <c r="H160" s="180"/>
      <c r="I160" s="230"/>
      <c r="J160" s="233"/>
      <c r="K160" s="149" t="str">
        <f>ADDRESS(ROW(),5,4,1)</f>
        <v>E160</v>
      </c>
      <c r="L160" s="85" t="s">
        <v>7089</v>
      </c>
      <c r="M160" s="71" t="str">
        <f>IF(ISBLANK(E160),"",E160)</f>
        <v/>
      </c>
      <c r="N160" s="375" t="s">
        <v>10157</v>
      </c>
      <c r="O160" s="59" t="str">
        <f>IF(ISBLANK(E160),"",E160)</f>
        <v/>
      </c>
    </row>
    <row r="161" spans="2:15" ht="7" customHeight="1" outlineLevel="1">
      <c r="B161" s="8"/>
      <c r="C161" s="8"/>
      <c r="E161" s="201"/>
      <c r="F161" s="2">
        <v>0</v>
      </c>
      <c r="G161" s="2"/>
      <c r="H161" s="180"/>
      <c r="I161" s="230"/>
      <c r="J161" s="233"/>
      <c r="K161" s="150"/>
      <c r="L161" s="85"/>
      <c r="M161" s="42"/>
      <c r="N161" s="372"/>
      <c r="O161" s="59"/>
    </row>
    <row r="162" spans="2:15" outlineLevel="1">
      <c r="B162" s="8" t="s">
        <v>3</v>
      </c>
      <c r="C162" s="8"/>
      <c r="E162" s="200"/>
      <c r="F162" s="457" t="s">
        <v>9615</v>
      </c>
      <c r="G162" s="458"/>
      <c r="H162" s="459"/>
      <c r="I162" s="230"/>
      <c r="J162" s="233"/>
      <c r="K162" s="149" t="str">
        <f>ADDRESS(ROW(),5,4,1)</f>
        <v>E162</v>
      </c>
      <c r="L162" s="85" t="s">
        <v>7090</v>
      </c>
      <c r="M162" s="71" t="str">
        <f>IF(ISBLANK(E162),"",E162)</f>
        <v/>
      </c>
      <c r="N162" s="375" t="s">
        <v>10118</v>
      </c>
      <c r="O162" s="59" t="str">
        <f>IF(ISBLANK(E162),"",E162)</f>
        <v/>
      </c>
    </row>
    <row r="163" spans="2:15" ht="7" customHeight="1" outlineLevel="1">
      <c r="B163" s="8"/>
      <c r="C163" s="8"/>
      <c r="E163" s="203"/>
      <c r="F163" s="2"/>
      <c r="G163" s="2"/>
      <c r="H163" s="180"/>
      <c r="I163" s="230"/>
      <c r="J163" s="233"/>
      <c r="K163" s="150"/>
      <c r="L163" s="85"/>
      <c r="M163" s="42"/>
      <c r="N163" s="372"/>
      <c r="O163" s="59"/>
    </row>
    <row r="164" spans="2:15" ht="26" outlineLevel="1">
      <c r="B164" s="8" t="s">
        <v>13</v>
      </c>
      <c r="C164" s="8"/>
      <c r="E164" s="200"/>
      <c r="F164" s="2" t="s">
        <v>7083</v>
      </c>
      <c r="G164" s="2"/>
      <c r="H164" s="157"/>
      <c r="I164" s="230"/>
      <c r="J164" s="233"/>
      <c r="K164" s="149" t="str">
        <f>ADDRESS(ROW(),5,4,1)</f>
        <v>E164</v>
      </c>
      <c r="L164" s="85" t="s">
        <v>7091</v>
      </c>
      <c r="M164" s="71" t="str">
        <f>IF(ISBLANK(E164),"",E164)</f>
        <v/>
      </c>
      <c r="N164" s="375" t="s">
        <v>10117</v>
      </c>
      <c r="O164" s="59" t="str">
        <f>IF(ISBLANK(E164),"",E164)</f>
        <v/>
      </c>
    </row>
    <row r="165" spans="2:15" ht="6" customHeight="1" outlineLevel="1">
      <c r="B165" s="8"/>
      <c r="C165" s="8"/>
      <c r="E165" s="201"/>
      <c r="F165" s="2"/>
      <c r="G165" s="2"/>
      <c r="H165" s="180"/>
      <c r="I165" s="230"/>
      <c r="J165" s="233"/>
      <c r="K165" s="150"/>
      <c r="L165" s="85"/>
      <c r="M165" s="42"/>
      <c r="N165" s="372"/>
      <c r="O165" s="59"/>
    </row>
    <row r="166" spans="2:15" outlineLevel="1">
      <c r="B166" s="8" t="s">
        <v>14</v>
      </c>
      <c r="C166" s="8"/>
      <c r="E166" s="200"/>
      <c r="F166" s="2" t="s">
        <v>4</v>
      </c>
      <c r="G166" s="2"/>
      <c r="H166" s="180"/>
      <c r="I166" s="230"/>
      <c r="J166" s="233"/>
      <c r="K166" s="149" t="str">
        <f>ADDRESS(ROW(),5,4,1)</f>
        <v>E166</v>
      </c>
      <c r="L166" s="85" t="s">
        <v>7092</v>
      </c>
      <c r="M166" s="71" t="str">
        <f>IF(ISBLANK(E166),"",E166)</f>
        <v/>
      </c>
      <c r="N166" s="386" t="s">
        <v>10116</v>
      </c>
      <c r="O166" s="59" t="str">
        <f>IF(ISBLANK(E166),"",E166)</f>
        <v/>
      </c>
    </row>
    <row r="167" spans="2:15" ht="6" customHeight="1" outlineLevel="1">
      <c r="B167" s="8"/>
      <c r="C167" s="8"/>
      <c r="E167" s="201"/>
      <c r="F167" s="2"/>
      <c r="G167" s="2"/>
      <c r="H167" s="180"/>
      <c r="I167" s="230"/>
      <c r="J167" s="233"/>
      <c r="K167" s="150"/>
      <c r="L167" s="85"/>
      <c r="M167" s="42"/>
      <c r="N167" s="372"/>
      <c r="O167" s="59"/>
    </row>
    <row r="168" spans="2:15" ht="26" outlineLevel="1">
      <c r="B168" s="8" t="s">
        <v>7208</v>
      </c>
      <c r="C168" s="8"/>
      <c r="E168" s="200"/>
      <c r="F168" s="162" t="s">
        <v>7207</v>
      </c>
      <c r="G168" s="174"/>
      <c r="H168" s="180"/>
      <c r="I168" s="230"/>
      <c r="J168" s="233"/>
      <c r="K168" s="149" t="str">
        <f>ADDRESS(ROW(),5,4,1)</f>
        <v>E168</v>
      </c>
      <c r="L168" s="85" t="s">
        <v>7093</v>
      </c>
      <c r="M168" s="71" t="str">
        <f>IF(ISBLANK(E168),"",E168)</f>
        <v/>
      </c>
      <c r="N168" s="375" t="s">
        <v>10115</v>
      </c>
      <c r="O168" s="59" t="str">
        <f>IF(ISBLANK(E168),"",E168)</f>
        <v/>
      </c>
    </row>
    <row r="169" spans="2:15" ht="6" customHeight="1" outlineLevel="1">
      <c r="B169" s="9"/>
      <c r="C169" s="9"/>
      <c r="E169" s="190"/>
      <c r="F169" s="158"/>
      <c r="G169" s="2"/>
      <c r="H169" s="180"/>
      <c r="I169" s="230"/>
      <c r="J169" s="233"/>
      <c r="K169" s="149"/>
      <c r="L169" s="102"/>
      <c r="M169" s="71"/>
      <c r="N169" s="372"/>
      <c r="O169" s="59"/>
    </row>
    <row r="170" spans="2:15" ht="26" outlineLevel="1">
      <c r="B170" s="8" t="s">
        <v>7211</v>
      </c>
      <c r="C170" s="8"/>
      <c r="E170" s="200"/>
      <c r="F170" s="2" t="s">
        <v>9941</v>
      </c>
      <c r="G170" s="2"/>
      <c r="H170" s="180"/>
      <c r="I170" s="230"/>
      <c r="J170" s="233"/>
      <c r="K170" s="149" t="str">
        <f>ADDRESS(ROW(),5,4,1)</f>
        <v>E170</v>
      </c>
      <c r="L170" s="85" t="s">
        <v>7094</v>
      </c>
      <c r="M170" s="71" t="str">
        <f>IF(ISBLANK(E170),"",E170)</f>
        <v/>
      </c>
      <c r="N170" s="375" t="s">
        <v>10110</v>
      </c>
      <c r="O170" s="59" t="str">
        <f>IF(ISBLANK(E170),"",E170)</f>
        <v/>
      </c>
    </row>
    <row r="171" spans="2:15" ht="6" customHeight="1" outlineLevel="1">
      <c r="B171" s="8"/>
      <c r="C171" s="8"/>
      <c r="E171" s="190"/>
      <c r="F171" s="2"/>
      <c r="G171" s="2"/>
      <c r="H171" s="180"/>
      <c r="I171" s="230"/>
      <c r="J171" s="233"/>
      <c r="K171" s="150"/>
      <c r="L171" s="85"/>
      <c r="M171" s="42"/>
      <c r="N171" s="372"/>
      <c r="O171" s="59"/>
    </row>
    <row r="172" spans="2:15" ht="26" outlineLevel="1">
      <c r="B172" s="8" t="s">
        <v>7210</v>
      </c>
      <c r="C172" s="8"/>
      <c r="E172" s="200"/>
      <c r="F172" s="2" t="s">
        <v>9941</v>
      </c>
      <c r="G172" s="2"/>
      <c r="H172" s="180"/>
      <c r="I172" s="230"/>
      <c r="J172" s="233"/>
      <c r="K172" s="149" t="str">
        <f>ADDRESS(ROW(),5,4,1)</f>
        <v>E172</v>
      </c>
      <c r="L172" s="85" t="s">
        <v>7095</v>
      </c>
      <c r="M172" s="71" t="str">
        <f>IF(ISBLANK(E172),"",E172)</f>
        <v/>
      </c>
      <c r="N172" s="375" t="s">
        <v>10114</v>
      </c>
      <c r="O172" s="59" t="str">
        <f>IF(ISBLANK(E172),"",E172)</f>
        <v/>
      </c>
    </row>
    <row r="173" spans="2:15" ht="6" customHeight="1" outlineLevel="1">
      <c r="B173" s="8"/>
      <c r="C173" s="8"/>
      <c r="E173" s="190"/>
      <c r="F173" s="2"/>
      <c r="G173" s="2"/>
      <c r="H173" s="180"/>
      <c r="I173" s="230"/>
      <c r="J173" s="233"/>
      <c r="K173" s="150"/>
      <c r="L173" s="85"/>
      <c r="M173" s="42"/>
      <c r="N173" s="372"/>
      <c r="O173" s="59"/>
    </row>
    <row r="174" spans="2:15" ht="32.25" customHeight="1" outlineLevel="1">
      <c r="B174" s="9" t="s">
        <v>7209</v>
      </c>
      <c r="C174" s="9"/>
      <c r="E174" s="200"/>
      <c r="F174" s="158" t="s">
        <v>9941</v>
      </c>
      <c r="G174" s="2"/>
      <c r="H174" s="180"/>
      <c r="I174" s="230"/>
      <c r="J174" s="233"/>
      <c r="K174" s="149" t="str">
        <f>ADDRESS(ROW(),5,4,1)</f>
        <v>E174</v>
      </c>
      <c r="L174" s="85" t="s">
        <v>7096</v>
      </c>
      <c r="M174" s="71" t="str">
        <f>IF(ISBLANK(E174),"",E174)</f>
        <v/>
      </c>
      <c r="N174" s="375" t="s">
        <v>10113</v>
      </c>
      <c r="O174" s="59" t="str">
        <f>IF(ISBLANK(E174),"",E174)</f>
        <v/>
      </c>
    </row>
    <row r="175" spans="2:15" ht="6" customHeight="1" outlineLevel="1">
      <c r="B175" s="8"/>
      <c r="C175" s="8"/>
      <c r="E175" s="190"/>
      <c r="F175" s="2"/>
      <c r="G175" s="2"/>
      <c r="H175" s="180"/>
      <c r="I175" s="230"/>
      <c r="J175" s="233"/>
      <c r="K175" s="150"/>
      <c r="L175" s="85"/>
      <c r="M175" s="42"/>
      <c r="N175" s="372"/>
      <c r="O175" s="59"/>
    </row>
    <row r="176" spans="2:15" ht="29.25" customHeight="1" outlineLevel="1">
      <c r="B176" s="266" t="s">
        <v>7212</v>
      </c>
      <c r="C176" s="8"/>
      <c r="E176" s="200"/>
      <c r="F176" s="9" t="s">
        <v>327</v>
      </c>
      <c r="G176" s="200"/>
      <c r="H176" s="243" t="s">
        <v>7207</v>
      </c>
      <c r="I176" s="230"/>
      <c r="J176" s="233"/>
      <c r="K176" s="149" t="str">
        <f>ADDRESS(ROW(),5,4,1)</f>
        <v>E176</v>
      </c>
      <c r="L176" s="85" t="s">
        <v>7097</v>
      </c>
      <c r="M176" s="71" t="str">
        <f>IF(ISBLANK(E176),"",E176)</f>
        <v/>
      </c>
      <c r="N176" s="375" t="s">
        <v>10111</v>
      </c>
      <c r="O176" s="59" t="str">
        <f>IF(ISBLANK(E176),"",E176)</f>
        <v/>
      </c>
    </row>
    <row r="177" spans="2:79" outlineLevel="1">
      <c r="B177" s="8"/>
      <c r="C177" s="8"/>
      <c r="E177" s="190"/>
      <c r="F177" s="2"/>
      <c r="G177" s="2"/>
      <c r="H177" s="180"/>
      <c r="I177" s="230"/>
      <c r="J177" s="233"/>
      <c r="K177" s="149" t="str">
        <f>ADDRESS(ROW()-1,7,4,1)</f>
        <v>G176</v>
      </c>
      <c r="L177" s="85" t="s">
        <v>7098</v>
      </c>
      <c r="M177" s="71" t="str">
        <f>IF(ISBLANK(G176),"",G176)</f>
        <v/>
      </c>
      <c r="N177" s="386" t="s">
        <v>10112</v>
      </c>
      <c r="O177" s="59" t="str">
        <f>IF(ISBLANK(G176),"",G176)</f>
        <v/>
      </c>
    </row>
    <row r="178" spans="2:79" ht="22" customHeight="1" thickBot="1">
      <c r="B178" s="204"/>
      <c r="C178" s="204"/>
      <c r="D178" s="216"/>
      <c r="E178" s="205"/>
      <c r="F178" s="204"/>
      <c r="G178" s="204"/>
      <c r="H178" s="204"/>
      <c r="I178" s="244"/>
      <c r="J178" s="245"/>
      <c r="K178" s="137"/>
      <c r="L178" s="61"/>
      <c r="M178" s="62"/>
      <c r="N178" s="63"/>
    </row>
    <row r="179" spans="2:79">
      <c r="K179" s="114"/>
      <c r="M179" s="64"/>
      <c r="N179" s="63"/>
    </row>
    <row r="180" spans="2:79" ht="33" customHeight="1">
      <c r="K180" s="460" t="s">
        <v>325</v>
      </c>
      <c r="L180" s="460"/>
      <c r="M180" s="460"/>
      <c r="N180" s="460"/>
      <c r="O180" s="460"/>
      <c r="P180" s="139"/>
      <c r="Q180" s="139"/>
      <c r="R180" s="22"/>
    </row>
    <row r="181" spans="2:79">
      <c r="K181" s="454" t="s">
        <v>266</v>
      </c>
      <c r="L181" s="454"/>
      <c r="M181" s="454"/>
      <c r="N181" s="454"/>
      <c r="O181" s="454"/>
      <c r="P181" s="141"/>
      <c r="R181" s="22"/>
    </row>
    <row r="182" spans="2:79" ht="44" customHeight="1">
      <c r="K182" s="453" t="s">
        <v>9547</v>
      </c>
      <c r="L182" s="453"/>
      <c r="M182" s="453"/>
      <c r="N182" s="453"/>
      <c r="O182" s="453"/>
      <c r="P182" s="140"/>
      <c r="Q182" s="140"/>
      <c r="R182" s="140"/>
    </row>
    <row r="183" spans="2:79" ht="22" customHeight="1">
      <c r="K183" s="455" t="s">
        <v>7120</v>
      </c>
      <c r="L183" s="455"/>
      <c r="M183" s="455"/>
      <c r="N183" s="455"/>
      <c r="O183" s="455"/>
      <c r="R183" s="22"/>
    </row>
    <row r="184" spans="2:79" ht="8" customHeight="1">
      <c r="K184" s="125"/>
      <c r="L184" s="125"/>
      <c r="M184" s="143"/>
      <c r="N184" s="125"/>
      <c r="O184" s="125"/>
      <c r="R184" s="22"/>
    </row>
    <row r="185" spans="2:79" ht="16" customHeight="1">
      <c r="J185" s="98"/>
      <c r="K185" s="456" t="s">
        <v>7121</v>
      </c>
      <c r="L185" s="456"/>
      <c r="M185" s="456"/>
      <c r="N185" s="456"/>
      <c r="O185" s="456"/>
      <c r="P185" s="142"/>
      <c r="Q185" s="142"/>
      <c r="R185" s="98"/>
      <c r="S185" s="98"/>
      <c r="T185" s="98"/>
      <c r="U185" s="98"/>
      <c r="V185" s="98"/>
      <c r="W185" s="98"/>
      <c r="X185" s="98"/>
      <c r="Y185" s="98"/>
      <c r="Z185" s="98"/>
      <c r="AA185" s="98"/>
      <c r="AB185" s="98"/>
      <c r="AC185" s="98"/>
      <c r="AD185" s="98"/>
      <c r="AE185" s="98"/>
      <c r="AF185" s="98"/>
      <c r="AG185" s="98"/>
      <c r="AH185" s="98"/>
      <c r="AI185" s="98"/>
      <c r="AJ185" s="98"/>
      <c r="AK185" s="98"/>
      <c r="AL185" s="98"/>
      <c r="AM185" s="98"/>
      <c r="AN185" s="98"/>
      <c r="AO185" s="98"/>
      <c r="AP185" s="98"/>
      <c r="AQ185" s="98"/>
      <c r="AR185" s="98"/>
      <c r="AS185" s="98"/>
      <c r="AT185" s="98"/>
      <c r="AU185" s="98"/>
      <c r="AV185" s="98"/>
      <c r="AW185" s="98"/>
      <c r="AX185" s="98"/>
      <c r="AY185" s="98"/>
      <c r="AZ185" s="98"/>
      <c r="BA185" s="98"/>
      <c r="BB185" s="98"/>
      <c r="BC185" s="98"/>
      <c r="BD185" s="98"/>
      <c r="BE185" s="98"/>
      <c r="BF185" s="98"/>
      <c r="BG185" s="98"/>
      <c r="BH185" s="98"/>
      <c r="BI185" s="98"/>
      <c r="BJ185" s="98"/>
      <c r="BK185" s="98"/>
      <c r="BL185" s="98"/>
      <c r="BM185" s="98"/>
      <c r="BN185" s="98"/>
      <c r="BO185" s="98"/>
      <c r="BP185" s="98"/>
      <c r="BQ185" s="98"/>
      <c r="BR185" s="98"/>
      <c r="BS185" s="98"/>
      <c r="BT185" s="98"/>
      <c r="BU185" s="98"/>
      <c r="BV185" s="98"/>
      <c r="BW185" s="98"/>
      <c r="BX185" s="98"/>
      <c r="BY185" s="98"/>
      <c r="BZ185" s="98"/>
      <c r="CA185" s="98"/>
    </row>
    <row r="186" spans="2:79">
      <c r="K186" s="138"/>
      <c r="L186" s="138"/>
      <c r="M186" s="138"/>
      <c r="N186" s="138"/>
      <c r="O186" s="138"/>
      <c r="P186" s="142"/>
      <c r="Q186" s="142"/>
      <c r="R186" s="22"/>
    </row>
    <row r="187" spans="2:79">
      <c r="K187"/>
      <c r="L187"/>
      <c r="M187" s="5"/>
      <c r="N187" s="112"/>
      <c r="O187"/>
      <c r="R187" s="22"/>
    </row>
    <row r="188" spans="2:79">
      <c r="K188"/>
      <c r="L188"/>
      <c r="M188" s="5"/>
      <c r="N188" s="112"/>
      <c r="O188"/>
      <c r="R188" s="22"/>
    </row>
    <row r="197" spans="3:15">
      <c r="C197" s="4"/>
      <c r="E197" s="1"/>
      <c r="H197" s="153"/>
      <c r="J197" s="68"/>
      <c r="K197" s="73"/>
      <c r="O197"/>
    </row>
    <row r="198" spans="3:15">
      <c r="C198" s="4"/>
      <c r="E198" s="1"/>
      <c r="H198" s="153"/>
      <c r="J198" s="68"/>
      <c r="K198" s="73"/>
      <c r="O198"/>
    </row>
    <row r="199" spans="3:15">
      <c r="C199" s="4"/>
      <c r="E199" s="1"/>
      <c r="H199" s="153"/>
      <c r="J199" s="68"/>
      <c r="K199" s="73"/>
      <c r="O199"/>
    </row>
    <row r="200" spans="3:15">
      <c r="C200" s="4"/>
      <c r="E200" s="1"/>
      <c r="H200" s="153"/>
      <c r="J200" s="68"/>
      <c r="K200" s="73"/>
      <c r="O200"/>
    </row>
    <row r="201" spans="3:15">
      <c r="C201" s="4"/>
      <c r="E201" s="1"/>
      <c r="H201" s="153"/>
      <c r="J201" s="68"/>
      <c r="K201" s="73"/>
      <c r="O201"/>
    </row>
    <row r="202" spans="3:15">
      <c r="C202" s="4"/>
      <c r="E202" s="1"/>
      <c r="H202" s="153"/>
      <c r="J202" s="68"/>
      <c r="K202" s="73"/>
      <c r="O202"/>
    </row>
    <row r="203" spans="3:15">
      <c r="C203" s="4"/>
      <c r="E203" s="1"/>
      <c r="H203" s="153"/>
      <c r="J203" s="68"/>
      <c r="K203" s="73"/>
      <c r="O203"/>
    </row>
    <row r="204" spans="3:15">
      <c r="C204" s="4"/>
      <c r="E204" s="1"/>
      <c r="H204" s="153"/>
      <c r="J204" s="68"/>
      <c r="K204" s="73"/>
      <c r="O204"/>
    </row>
    <row r="3375" spans="5:5">
      <c r="E3375" s="206"/>
    </row>
  </sheetData>
  <sheetProtection sheet="1" objects="1" scenarios="1"/>
  <dataConsolidate/>
  <mergeCells count="65">
    <mergeCell ref="E98:G98"/>
    <mergeCell ref="I7:J7"/>
    <mergeCell ref="H24:I24"/>
    <mergeCell ref="H27:I27"/>
    <mergeCell ref="E137:G137"/>
    <mergeCell ref="B33:E33"/>
    <mergeCell ref="I102:J102"/>
    <mergeCell ref="I98:J99"/>
    <mergeCell ref="E17:G17"/>
    <mergeCell ref="E81:F81"/>
    <mergeCell ref="E73:F73"/>
    <mergeCell ref="E61:F61"/>
    <mergeCell ref="G57:H57"/>
    <mergeCell ref="G59:H59"/>
    <mergeCell ref="E94:F94"/>
    <mergeCell ref="E67:F67"/>
    <mergeCell ref="E112:G112"/>
    <mergeCell ref="F100:G100"/>
    <mergeCell ref="E142:G142"/>
    <mergeCell ref="E106:G106"/>
    <mergeCell ref="E126:F126"/>
    <mergeCell ref="E114:G114"/>
    <mergeCell ref="E102:G102"/>
    <mergeCell ref="E139:F139"/>
    <mergeCell ref="E110:F110"/>
    <mergeCell ref="E108:F108"/>
    <mergeCell ref="G124:H124"/>
    <mergeCell ref="H114:J114"/>
    <mergeCell ref="E75:F75"/>
    <mergeCell ref="E19:G19"/>
    <mergeCell ref="E96:F96"/>
    <mergeCell ref="B1:F1"/>
    <mergeCell ref="E11:G11"/>
    <mergeCell ref="E13:G13"/>
    <mergeCell ref="G1:H1"/>
    <mergeCell ref="B5:H5"/>
    <mergeCell ref="B3:H3"/>
    <mergeCell ref="B2:H2"/>
    <mergeCell ref="B4:E4"/>
    <mergeCell ref="F6:G6"/>
    <mergeCell ref="G4:H4"/>
    <mergeCell ref="E9:G9"/>
    <mergeCell ref="B6:D6"/>
    <mergeCell ref="G54:H54"/>
    <mergeCell ref="K185:O185"/>
    <mergeCell ref="F162:H162"/>
    <mergeCell ref="K180:O180"/>
    <mergeCell ref="L2:O5"/>
    <mergeCell ref="E132:F132"/>
    <mergeCell ref="E31:G31"/>
    <mergeCell ref="E134:G134"/>
    <mergeCell ref="E118:G118"/>
    <mergeCell ref="F36:G36"/>
    <mergeCell ref="F40:G40"/>
    <mergeCell ref="E130:F130"/>
    <mergeCell ref="E104:G104"/>
    <mergeCell ref="E79:F79"/>
    <mergeCell ref="F26:G26"/>
    <mergeCell ref="H25:I25"/>
    <mergeCell ref="E15:F15"/>
    <mergeCell ref="E144:G144"/>
    <mergeCell ref="E124:F124"/>
    <mergeCell ref="K182:O182"/>
    <mergeCell ref="K181:O181"/>
    <mergeCell ref="K183:O183"/>
  </mergeCells>
  <phoneticPr fontId="9" type="noConversion"/>
  <dataValidations xWindow="964" yWindow="64949" count="39">
    <dataValidation type="list" showInputMessage="1" promptTitle="MIxS Country Selection" sqref="E79:F79">
      <formula1>INDEX(Country,0,1)</formula1>
    </dataValidation>
    <dataValidation type="list" showInputMessage="1" errorTitle="Organism species" error="You must select an organism species." sqref="E17:G17">
      <formula1>INDEX(Organism,0,1)</formula1>
    </dataValidation>
    <dataValidation type="list" allowBlank="1" showInputMessage="1" errorTitle="Data Entry Error" error="Host organism type must be selected from the list." sqref="E98">
      <formula1>INDEX(Specific_Host,0,2)</formula1>
    </dataValidation>
    <dataValidation type="decimal" allowBlank="1" showInputMessage="1" showErrorMessage="1" prompt="Decimal degree format with 6 decimal places" sqref="E91">
      <formula1>-180</formula1>
      <formula2>180</formula2>
    </dataValidation>
    <dataValidation type="list" allowBlank="1" showInputMessage="1" showErrorMessage="1" sqref="F110:F111 E110 F141">
      <formula1>INDEX(Env_Source_Material,0,1)</formula1>
    </dataValidation>
    <dataValidation type="list" allowBlank="1" showInputMessage="1" showErrorMessage="1" sqref="E146">
      <formula1>INDEX(Season,0,1)</formula1>
    </dataValidation>
    <dataValidation type="list" allowBlank="1" showInputMessage="1" showErrorMessage="1" sqref="E139:F139">
      <formula1>INDEX(Sequencing_Platform,0,1)</formula1>
    </dataValidation>
    <dataValidation type="list" allowBlank="1" showInputMessage="1" showErrorMessage="1" sqref="E31">
      <formula1>INDEX(Contributor,0,1)</formula1>
    </dataValidation>
    <dataValidation allowBlank="1" showInputMessage="1" sqref="G69 G75 E75 E71:E73 G61 G71:G73 E63 E65:E66 E68:E69 E61"/>
    <dataValidation type="list" allowBlank="1" showInputMessage="1" sqref="E118:G118">
      <formula1>INDEX(Illness_Type,0,1)</formula1>
    </dataValidation>
    <dataValidation type="list" allowBlank="1" showInputMessage="1" sqref="E137:G137">
      <formula1>INDEX(Sequencing_Facility,0,1)</formula1>
    </dataValidation>
    <dataValidation type="list" allowBlank="1" showInputMessage="1" showErrorMessage="1" sqref="E132:F132">
      <formula1>INDEX(Host_Sex,0,1)</formula1>
    </dataValidation>
    <dataValidation type="decimal" allowBlank="1" showInputMessage="1" showErrorMessage="1" sqref="E88">
      <formula1>-90</formula1>
      <formula2>90</formula2>
    </dataValidation>
    <dataValidation type="whole" allowBlank="1" showInputMessage="1" showErrorMessage="1" sqref="E156 E158 E160 E154">
      <formula1>1</formula1>
      <formula2>14</formula2>
    </dataValidation>
    <dataValidation allowBlank="1" promptTitle="Options" prompt="Select from list or enter text" sqref="F57 F59"/>
    <dataValidation allowBlank="1" showErrorMessage="1" sqref="E120"/>
    <dataValidation type="decimal" allowBlank="1" showErrorMessage="1" promptTitle="NCBI note" sqref="E122">
      <formula1>-1</formula1>
      <formula2>120</formula2>
    </dataValidation>
    <dataValidation type="whole" allowBlank="1" showInputMessage="1" showErrorMessage="1" sqref="F69">
      <formula1>0</formula1>
      <formula2>310</formula2>
    </dataValidation>
    <dataValidation type="whole" allowBlank="1" showInputMessage="1" showErrorMessage="1" sqref="F71:F72">
      <formula1>0</formula1>
      <formula2>67</formula2>
    </dataValidation>
    <dataValidation type="list" allowBlank="1" promptTitle="Options" prompt="Select from list or enter text" sqref="G57">
      <formula1>INDEX(Serovar,0,3)</formula1>
    </dataValidation>
    <dataValidation type="list" allowBlank="1" promptTitle="Options" prompt="Select from list or enter text" sqref="G59">
      <formula1>INDEX(Serovar,0,8)</formula1>
    </dataValidation>
    <dataValidation type="list" allowBlank="1" showInputMessage="1" showErrorMessage="1" sqref="E144">
      <formula1>INDEX(Biome,0,1)</formula1>
    </dataValidation>
    <dataValidation type="decimal" allowBlank="1" showInputMessage="1" showErrorMessage="1" sqref="E150">
      <formula1>0</formula1>
      <formula2>10000</formula2>
    </dataValidation>
    <dataValidation type="decimal" allowBlank="1" showInputMessage="1" showErrorMessage="1" sqref="E152">
      <formula1>-80</formula1>
      <formula2>200</formula2>
    </dataValidation>
    <dataValidation type="list" allowBlank="1" showInputMessage="1" showErrorMessage="1" sqref="E126">
      <formula1>INDEX(Host_Disease_Outcome,0,1)</formula1>
    </dataValidation>
    <dataValidation type="list" allowBlank="1" showInputMessage="1" showErrorMessage="1" sqref="E130">
      <formula1>INDEX(Host_Health_State,0,1)</formula1>
    </dataValidation>
    <dataValidation type="list" errorStyle="warning" allowBlank="1" showInputMessage="1" showErrorMessage="1" errorTitle="Item not in our short ENVO list" error="You might want to double check that that is a valid ENVO entry." sqref="E112:G112">
      <formula1>INDEX(Source_Location,0,1)</formula1>
    </dataValidation>
    <dataValidation type="list" errorStyle="warning" allowBlank="1" showInputMessage="1" showErrorMessage="1" errorTitle="Item not in our short ENVO list" error="You might want to double check that that is a valid ENVO entry." sqref="E142:G142">
      <formula1>INDEX(env_terrain,0,1)</formula1>
    </dataValidation>
    <dataValidation type="list" allowBlank="1" showInputMessage="1" sqref="E104:G104">
      <formula1>INDEX(Food_Category,0,1)</formula1>
    </dataValidation>
    <dataValidation type="list" allowBlank="1" showInputMessage="1" sqref="E106:G106">
      <formula1>OFFSET(Food_Subcategories,I106,3,J106-I106,1)</formula1>
    </dataValidation>
    <dataValidation type="list" allowBlank="1" showInputMessage="1" sqref="E102:G102">
      <formula1>INDEX(Source_Material,0,2)</formula1>
    </dataValidation>
    <dataValidation type="list" allowBlank="1" sqref="E81:F81">
      <formula1>OFFSET(Regions,I81,1,J81-I81,1)</formula1>
    </dataValidation>
    <dataValidation type="list" allowBlank="1" showInputMessage="1" showErrorMessage="1" sqref="G54">
      <formula1>INDEX(Listera_Serotypes,0,1)</formula1>
    </dataValidation>
    <dataValidation type="list" allowBlank="1" showInputMessage="1" showErrorMessage="1" sqref="E94">
      <formula1>INDEX(collection_matrix,0,1)</formula1>
    </dataValidation>
    <dataValidation type="list" allowBlank="1" showInputMessage="1" showErrorMessage="1" sqref="E108:F108">
      <formula1>INDEX(preservation_method,0,1)</formula1>
    </dataValidation>
    <dataValidation type="list" allowBlank="1" showInputMessage="1" showErrorMessage="1" sqref="E96:F96">
      <formula1>INDEX(source_material_category,0,1)</formula1>
    </dataValidation>
    <dataValidation type="textLength" allowBlank="1" showInputMessage="1" showErrorMessage="1" sqref="G63">
      <formula1>4</formula1>
      <formula2>4</formula2>
    </dataValidation>
    <dataValidation type="textLength" allowBlank="1" showInputMessage="1" showErrorMessage="1" sqref="G65:G66 G68">
      <formula1>3</formula1>
      <formula2>5</formula2>
    </dataValidation>
    <dataValidation type="list" allowBlank="1" showInputMessage="1" showErrorMessage="1" sqref="E124:F124">
      <formula1>INDEX(host_disease,0,1)</formula1>
    </dataValidation>
  </dataValidations>
  <hyperlinks>
    <hyperlink ref="H88" r:id="rId1"/>
    <hyperlink ref="K181" r:id="rId2"/>
    <hyperlink ref="H31" r:id="rId3"/>
    <hyperlink ref="H102" r:id="rId4" display="animal"/>
    <hyperlink ref="H79" r:id="rId5" display="See"/>
    <hyperlink ref="H144" r:id="rId6"/>
    <hyperlink ref="I102" r:id="rId7"/>
    <hyperlink ref="H112" r:id="rId8"/>
    <hyperlink ref="K185" r:id="rId9"/>
    <hyperlink ref="P181" r:id="rId10" display="https://submit.ncbi.nlm.nih.gov/subs/biosample/"/>
    <hyperlink ref="N60" r:id="rId11"/>
  </hyperlinks>
  <pageMargins left="0.25" right="0.25" top="0.75" bottom="0.75" header="0.3" footer="0.3"/>
  <pageSetup orientation="portrait" horizontalDpi="4294967292" verticalDpi="4294967292"/>
  <headerFooter>
    <oddHeader xml:space="preserve">&amp;C&amp;"-,Bold"&amp;14IRIDA Isolate NCBI Biosample Submission Form&amp;"-,Regular"&amp;11 
</oddHeader>
    <oddFooter>&amp;R&amp;P&amp;C03 March 2016</oddFooter>
  </headerFooter>
  <drawing r:id="rId12"/>
  <legacyDrawing r:id="rId13"/>
  <mc:AlternateContent xmlns:mc="http://schemas.openxmlformats.org/markup-compatibility/2006">
    <mc:Choice Requires="x14">
      <controls>
        <mc:AlternateContent xmlns:mc="http://schemas.openxmlformats.org/markup-compatibility/2006">
          <mc:Choice Requires="x14">
            <control shapeId="2" r:id="rId14" name="Button 100">
              <controlPr locked="0" defaultSize="0" print="0" autoFill="0" autoPict="0" macro="[0]!NewRow_NCBI_Biosample_table">
                <anchor moveWithCells="1" sizeWithCells="1">
                  <from>
                    <xdr:col>2</xdr:col>
                    <xdr:colOff>0</xdr:colOff>
                    <xdr:row>0</xdr:row>
                    <xdr:rowOff>76200</xdr:rowOff>
                  </from>
                  <to>
                    <xdr:col>4</xdr:col>
                    <xdr:colOff>127000</xdr:colOff>
                    <xdr:row>0</xdr:row>
                    <xdr:rowOff>355600</xdr:rowOff>
                  </to>
                </anchor>
              </controlPr>
            </control>
          </mc:Choice>
          <mc:Fallback/>
        </mc:AlternateContent>
        <mc:AlternateContent xmlns:mc="http://schemas.openxmlformats.org/markup-compatibility/2006">
          <mc:Choice Requires="x14">
            <control shapeId="3" r:id="rId15" name="Button 157">
              <controlPr defaultSize="0" print="0" autoFill="0" autoPict="0" macro="[0]!View_NCBI_Biosample_table">
                <anchor moveWithCells="1" sizeWithCells="1">
                  <from>
                    <xdr:col>6</xdr:col>
                    <xdr:colOff>190500</xdr:colOff>
                    <xdr:row>0</xdr:row>
                    <xdr:rowOff>330200</xdr:rowOff>
                  </from>
                  <to>
                    <xdr:col>6</xdr:col>
                    <xdr:colOff>825500</xdr:colOff>
                    <xdr:row>0</xdr:row>
                    <xdr:rowOff>673100</xdr:rowOff>
                  </to>
                </anchor>
              </controlPr>
            </control>
          </mc:Choice>
          <mc:Fallback/>
        </mc:AlternateContent>
        <mc:AlternateContent xmlns:mc="http://schemas.openxmlformats.org/markup-compatibility/2006">
          <mc:Choice Requires="x14">
            <control shapeId="4" r:id="rId16" name="Button 158">
              <controlPr defaultSize="0" print="0" autoFill="0" autoPict="0" macro="[0]!Save_NCBI_Biosample_table">
                <anchor moveWithCells="1" sizeWithCells="1">
                  <from>
                    <xdr:col>7</xdr:col>
                    <xdr:colOff>0</xdr:colOff>
                    <xdr:row>0</xdr:row>
                    <xdr:rowOff>342900</xdr:rowOff>
                  </from>
                  <to>
                    <xdr:col>7</xdr:col>
                    <xdr:colOff>673100</xdr:colOff>
                    <xdr:row>0</xdr:row>
                    <xdr:rowOff>660400</xdr:rowOff>
                  </to>
                </anchor>
              </controlPr>
            </control>
          </mc:Choice>
          <mc:Fallback/>
        </mc:AlternateContent>
        <mc:AlternateContent xmlns:mc="http://schemas.openxmlformats.org/markup-compatibility/2006">
          <mc:Choice Requires="x14">
            <control shapeId="5" r:id="rId17" name="Drop Down 202">
              <controlPr locked="0" defaultSize="0" autoLine="0" autoPict="0" macro="[0]!ChangeRow_NCBI_Biosample_table">
                <anchor moveWithCells="1">
                  <from>
                    <xdr:col>1</xdr:col>
                    <xdr:colOff>1016000</xdr:colOff>
                    <xdr:row>0</xdr:row>
                    <xdr:rowOff>444500</xdr:rowOff>
                  </from>
                  <to>
                    <xdr:col>5</xdr:col>
                    <xdr:colOff>635000</xdr:colOff>
                    <xdr:row>0</xdr:row>
                    <xdr:rowOff>711200</xdr:rowOff>
                  </to>
                </anchor>
              </controlPr>
            </control>
          </mc:Choice>
          <mc:Fallback/>
        </mc:AlternateContent>
        <mc:AlternateContent xmlns:mc="http://schemas.openxmlformats.org/markup-compatibility/2006">
          <mc:Choice Requires="x14">
            <control shapeId="6" r:id="rId18" name="Button 204">
              <controlPr locked="0" defaultSize="0" print="0" autoFill="0" autoPict="0" macro="[0]!SaveRow_NCBI_Biosample_table">
                <anchor moveWithCells="1" sizeWithCells="1">
                  <from>
                    <xdr:col>7</xdr:col>
                    <xdr:colOff>165100</xdr:colOff>
                    <xdr:row>5</xdr:row>
                    <xdr:rowOff>50800</xdr:rowOff>
                  </from>
                  <to>
                    <xdr:col>8</xdr:col>
                    <xdr:colOff>114300</xdr:colOff>
                    <xdr:row>5</xdr:row>
                    <xdr:rowOff>279400</xdr:rowOff>
                  </to>
                </anchor>
              </controlPr>
            </control>
          </mc:Choice>
          <mc:Fallback/>
        </mc:AlternateContent>
        <mc:AlternateContent xmlns:mc="http://schemas.openxmlformats.org/markup-compatibility/2006">
          <mc:Choice Requires="x14">
            <control shapeId="7" r:id="rId19" name="Button 216">
              <controlPr locked="0" defaultSize="0" print="0" autoFill="0" autoPict="0" macro="[0]!CopyRowNew_NCBI_Biosample_table">
                <anchor moveWithCells="1" sizeWithCells="1">
                  <from>
                    <xdr:col>4</xdr:col>
                    <xdr:colOff>368300</xdr:colOff>
                    <xdr:row>0</xdr:row>
                    <xdr:rowOff>76200</xdr:rowOff>
                  </from>
                  <to>
                    <xdr:col>5</xdr:col>
                    <xdr:colOff>520700</xdr:colOff>
                    <xdr:row>0</xdr:row>
                    <xdr:rowOff>355600</xdr:rowOff>
                  </to>
                </anchor>
              </controlPr>
            </control>
          </mc:Choice>
          <mc:Fallback/>
        </mc:AlternateContent>
        <mc:AlternateContent xmlns:mc="http://schemas.openxmlformats.org/markup-compatibility/2006">
          <mc:Choice Requires="x14">
            <control shapeId="8" r:id="rId20" name="Button 219">
              <controlPr locked="0" defaultSize="0" print="0" autoFill="0" autoPict="0" macro="[0]!DeleteRow_NCBI_Biosample_table">
                <anchor moveWithCells="1" sizeWithCells="1">
                  <from>
                    <xdr:col>4</xdr:col>
                    <xdr:colOff>88900</xdr:colOff>
                    <xdr:row>5</xdr:row>
                    <xdr:rowOff>38100</xdr:rowOff>
                  </from>
                  <to>
                    <xdr:col>5</xdr:col>
                    <xdr:colOff>0</xdr:colOff>
                    <xdr:row>5</xdr:row>
                    <xdr:rowOff>279400</xdr:rowOff>
                  </to>
                </anchor>
              </controlPr>
            </control>
          </mc:Choice>
          <mc:Fallback/>
        </mc:AlternateContent>
        <mc:AlternateContent xmlns:mc="http://schemas.openxmlformats.org/markup-compatibility/2006">
          <mc:Choice Requires="x14">
            <control shapeId="9" r:id="rId21" name="Drop Down 355">
              <controlPr locked="0" defaultSize="0" autoLine="0" autoPict="0" macro="[0]!ChangeRow_NCBI_Biosample_table">
                <anchor moveWithCells="1">
                  <from>
                    <xdr:col>1</xdr:col>
                    <xdr:colOff>25400</xdr:colOff>
                    <xdr:row>0</xdr:row>
                    <xdr:rowOff>457200</xdr:rowOff>
                  </from>
                  <to>
                    <xdr:col>1</xdr:col>
                    <xdr:colOff>1028700</xdr:colOff>
                    <xdr:row>0</xdr:row>
                    <xdr:rowOff>698500</xdr:rowOff>
                  </to>
                </anchor>
              </controlPr>
            </control>
          </mc:Choice>
          <mc:Fallback/>
        </mc:AlternateContent>
        <mc:AlternateContent xmlns:mc="http://schemas.openxmlformats.org/markup-compatibility/2006">
          <mc:Choice Requires="x14">
            <control shapeId="6671" r:id="rId22" name="Drop Down 527">
              <controlPr locked="0" defaultSize="0" autoLine="0" autoPict="0">
                <anchor moveWithCells="1">
                  <from>
                    <xdr:col>4</xdr:col>
                    <xdr:colOff>0</xdr:colOff>
                    <xdr:row>6</xdr:row>
                    <xdr:rowOff>127000</xdr:rowOff>
                  </from>
                  <to>
                    <xdr:col>5</xdr:col>
                    <xdr:colOff>762000</xdr:colOff>
                    <xdr:row>6</xdr:row>
                    <xdr:rowOff>431800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FR7"/>
  <sheetViews>
    <sheetView zoomScale="85" zoomScaleNormal="85" zoomScalePageLayoutView="85" workbookViewId="0">
      <selection activeCell="A4" sqref="A4"/>
    </sheetView>
  </sheetViews>
  <sheetFormatPr baseColWidth="10" defaultColWidth="11.42578125" defaultRowHeight="13" x14ac:dyDescent="0"/>
  <cols>
    <col min="1" max="1" width="5.7109375" style="279" customWidth="1"/>
    <col min="2" max="2" width="10.42578125" style="145" customWidth="1"/>
    <col min="3" max="3" width="25.42578125" style="145" customWidth="1"/>
    <col min="4" max="4" width="34.7109375" style="145" customWidth="1"/>
    <col min="5" max="5" width="23.5703125" style="3" customWidth="1"/>
    <col min="6" max="6" width="16.42578125" style="293" customWidth="1"/>
    <col min="7" max="7" width="9.42578125" style="145" customWidth="1"/>
    <col min="8" max="8" width="12" style="294" customWidth="1"/>
    <col min="9" max="9" width="9.85546875" style="294" customWidth="1"/>
    <col min="10" max="10" width="12.42578125" style="294" customWidth="1"/>
    <col min="11" max="11" width="17.28515625" style="294" customWidth="1"/>
    <col min="12" max="12" width="14.42578125" style="145" customWidth="1"/>
    <col min="13" max="13" width="19.140625" style="145" customWidth="1"/>
    <col min="14" max="14" width="2.85546875" style="145" customWidth="1"/>
    <col min="15" max="15" width="27.42578125" style="145" customWidth="1"/>
    <col min="16" max="16" width="13.140625" style="145" customWidth="1"/>
    <col min="17" max="17" width="15.5703125" style="145" customWidth="1"/>
    <col min="18" max="18" width="18.42578125" style="145" customWidth="1"/>
    <col min="19" max="21" width="12.7109375" style="146" customWidth="1"/>
    <col min="22" max="22" width="18.42578125" style="146" customWidth="1"/>
    <col min="23" max="23" width="15.42578125" style="146" customWidth="1"/>
    <col min="24" max="27" width="11.42578125" customWidth="1"/>
    <col min="28" max="29" width="15.42578125" style="145" customWidth="1"/>
    <col min="30" max="32" width="13.85546875" style="145" customWidth="1"/>
    <col min="33" max="33" width="10.7109375" style="145" customWidth="1"/>
    <col min="34" max="34" width="14" style="146" customWidth="1"/>
    <col min="35" max="35" width="10.42578125" style="146" customWidth="1"/>
    <col min="36" max="36" width="13.42578125" style="145" customWidth="1"/>
    <col min="37" max="37" width="12.42578125" style="145" customWidth="1"/>
    <col min="38" max="38" width="18" style="3" customWidth="1"/>
    <col min="39" max="39" width="22.5703125" style="145" customWidth="1"/>
    <col min="40" max="40" width="18.140625" style="145" customWidth="1"/>
    <col min="41" max="42" width="19.140625" style="280" customWidth="1"/>
    <col min="43" max="43" width="18.28515625" style="279" customWidth="1"/>
    <col min="44" max="44" width="17" style="145" customWidth="1"/>
    <col min="45" max="45" width="14.42578125" style="145" customWidth="1"/>
    <col min="46" max="47" width="16.85546875" style="146" customWidth="1"/>
    <col min="48" max="48" width="9.42578125" style="147" customWidth="1"/>
    <col min="49" max="49" width="11.42578125" style="147" customWidth="1"/>
    <col min="50" max="52" width="11.42578125" style="3" customWidth="1"/>
    <col min="53" max="53" width="15.42578125" style="145" customWidth="1"/>
    <col min="54" max="54" width="16.7109375" style="145" customWidth="1"/>
    <col min="55" max="55" width="28.42578125" style="145" customWidth="1"/>
    <col min="56" max="56" width="20" style="145" customWidth="1"/>
    <col min="57" max="57" width="11.42578125" style="3" customWidth="1"/>
    <col min="58" max="58" width="12.85546875" style="3" customWidth="1"/>
    <col min="59" max="59" width="20" style="145" customWidth="1"/>
    <col min="60" max="60" width="22.140625" style="3" customWidth="1"/>
    <col min="61" max="61" width="39.28515625" style="3" customWidth="1"/>
    <col min="62" max="62" width="25.42578125" style="3" customWidth="1"/>
    <col min="63" max="63" width="20.5703125" style="145" customWidth="1"/>
    <col min="64" max="64" width="20" style="145" customWidth="1"/>
    <col min="65" max="65" width="15.140625" style="145" customWidth="1"/>
    <col min="66" max="66" width="11.42578125" style="3"/>
    <col min="67" max="67" width="17.42578125" style="145" customWidth="1"/>
    <col min="68" max="68" width="11.42578125" style="3"/>
    <col min="70" max="70" width="19.7109375" style="3" customWidth="1"/>
    <col min="71" max="71" width="23.42578125" style="3" customWidth="1"/>
    <col min="72" max="72" width="25.85546875" style="3" customWidth="1"/>
    <col min="73" max="73" width="17.85546875" style="3" customWidth="1"/>
    <col min="74" max="75" width="22.42578125" style="3" customWidth="1"/>
    <col min="76" max="76" width="24.42578125" style="145" customWidth="1"/>
    <col min="77" max="77" width="11.42578125" style="3"/>
    <col min="78" max="83" width="11.42578125" style="3" customWidth="1"/>
    <col min="84" max="84" width="20" style="145" customWidth="1"/>
    <col min="85" max="87" width="11.42578125" style="3" customWidth="1"/>
    <col min="88" max="91" width="23" style="3" customWidth="1"/>
    <col min="92" max="93" width="11.42578125" style="3" customWidth="1"/>
    <col min="94" max="94" width="14" style="3" customWidth="1"/>
    <col min="95" max="95" width="11.42578125" style="3" customWidth="1"/>
    <col min="96" max="96" width="16" style="3" customWidth="1"/>
    <col min="97" max="97" width="16.140625" style="3" customWidth="1"/>
    <col min="98" max="98" width="15.42578125" style="3" customWidth="1"/>
    <col min="99" max="99" width="23.85546875" style="3" customWidth="1"/>
    <col min="100" max="100" width="24.42578125" style="145" customWidth="1"/>
    <col min="101" max="101" width="22.140625" style="145" customWidth="1"/>
    <col min="102" max="102" width="16.85546875" style="145" customWidth="1"/>
    <col min="103" max="103" width="24.140625" style="145" customWidth="1"/>
    <col min="104" max="104" width="22.42578125" style="145" customWidth="1"/>
    <col min="105" max="105" width="24.42578125" style="145" customWidth="1"/>
    <col min="106" max="106" width="20.42578125" style="145" customWidth="1"/>
    <col min="107" max="107" width="25.42578125" style="145" customWidth="1"/>
    <col min="108" max="108" width="23.42578125" style="145" customWidth="1"/>
    <col min="109" max="109" width="21" style="145" customWidth="1"/>
    <col min="110" max="110" width="19.42578125" style="145" customWidth="1"/>
    <col min="111" max="111" width="22.140625" style="146" customWidth="1"/>
    <col min="112" max="112" width="14.140625" style="146" customWidth="1"/>
    <col min="113" max="115" width="11.42578125" style="146"/>
    <col min="116" max="116" width="23" style="146" customWidth="1"/>
    <col min="117" max="117" width="12" style="145" customWidth="1"/>
    <col min="118" max="118" width="25.140625" style="3" customWidth="1"/>
    <col min="119" max="16384" width="11.42578125" style="145"/>
  </cols>
  <sheetData>
    <row r="1" spans="1:174" s="304" customFormat="1" ht="62.25" customHeight="1">
      <c r="A1" s="295" t="s">
        <v>7213</v>
      </c>
      <c r="B1" s="296" t="s">
        <v>224</v>
      </c>
      <c r="C1" s="307" t="s">
        <v>9942</v>
      </c>
      <c r="D1" s="307" t="s">
        <v>9878</v>
      </c>
      <c r="E1" s="297" t="s">
        <v>9123</v>
      </c>
      <c r="F1" s="298" t="s">
        <v>9124</v>
      </c>
      <c r="G1" s="299" t="s">
        <v>9943</v>
      </c>
      <c r="H1" s="299" t="s">
        <v>9944</v>
      </c>
      <c r="I1" s="299" t="s">
        <v>9945</v>
      </c>
      <c r="J1" s="299" t="s">
        <v>9946</v>
      </c>
      <c r="K1" s="300" t="s">
        <v>9980</v>
      </c>
      <c r="L1" s="301" t="s">
        <v>225</v>
      </c>
      <c r="M1" s="301" t="s">
        <v>9984</v>
      </c>
      <c r="N1" s="301" t="s">
        <v>226</v>
      </c>
      <c r="O1" s="296" t="s">
        <v>227</v>
      </c>
      <c r="P1" s="301" t="s">
        <v>229</v>
      </c>
      <c r="Q1" s="304" t="s">
        <v>9983</v>
      </c>
      <c r="R1" s="302" t="s">
        <v>7114</v>
      </c>
      <c r="S1" s="302" t="s">
        <v>7081</v>
      </c>
      <c r="T1" s="302" t="s">
        <v>7104</v>
      </c>
      <c r="U1" s="302" t="s">
        <v>7116</v>
      </c>
      <c r="V1" s="301" t="s">
        <v>238</v>
      </c>
      <c r="W1" s="301" t="s">
        <v>234</v>
      </c>
      <c r="X1" s="301" t="s">
        <v>5</v>
      </c>
      <c r="Y1" s="297" t="s">
        <v>7101</v>
      </c>
      <c r="Z1" s="297" t="s">
        <v>7102</v>
      </c>
      <c r="AA1" s="297" t="s">
        <v>7103</v>
      </c>
      <c r="AB1" s="362" t="s">
        <v>7151</v>
      </c>
      <c r="AC1" s="361" t="s">
        <v>9657</v>
      </c>
      <c r="AD1" s="363" t="s">
        <v>237</v>
      </c>
      <c r="AE1" s="297" t="s">
        <v>7099</v>
      </c>
      <c r="AF1" s="297" t="s">
        <v>7110</v>
      </c>
      <c r="AG1" s="302" t="s">
        <v>228</v>
      </c>
      <c r="AH1" s="363" t="s">
        <v>235</v>
      </c>
      <c r="AI1" s="363" t="s">
        <v>236</v>
      </c>
      <c r="AJ1" s="363" t="s">
        <v>239</v>
      </c>
      <c r="AK1" s="363" t="s">
        <v>240</v>
      </c>
      <c r="AL1" s="363" t="s">
        <v>338</v>
      </c>
      <c r="AM1" s="302" t="s">
        <v>7111</v>
      </c>
      <c r="AN1" s="302" t="s">
        <v>7112</v>
      </c>
      <c r="AO1" s="305" t="s">
        <v>9705</v>
      </c>
      <c r="AP1" s="305" t="s">
        <v>9706</v>
      </c>
      <c r="AQ1" s="306" t="s">
        <v>9704</v>
      </c>
      <c r="AR1" s="296" t="s">
        <v>230</v>
      </c>
      <c r="AS1" s="302" t="s">
        <v>7065</v>
      </c>
      <c r="AT1" s="297" t="s">
        <v>6</v>
      </c>
      <c r="AU1" s="297" t="s">
        <v>7</v>
      </c>
      <c r="AV1" s="297" t="s">
        <v>7100</v>
      </c>
      <c r="AW1" s="297" t="s">
        <v>9</v>
      </c>
      <c r="AX1" s="297" t="s">
        <v>8</v>
      </c>
      <c r="AY1" s="296" t="s">
        <v>231</v>
      </c>
      <c r="AZ1" s="296" t="s">
        <v>233</v>
      </c>
      <c r="BA1" s="307" t="s">
        <v>9109</v>
      </c>
      <c r="BB1" s="308" t="s">
        <v>9664</v>
      </c>
      <c r="BC1" s="308" t="s">
        <v>9699</v>
      </c>
      <c r="BD1" s="302" t="s">
        <v>7118</v>
      </c>
      <c r="BE1" s="301" t="s">
        <v>9982</v>
      </c>
      <c r="BF1" s="301" t="s">
        <v>7504</v>
      </c>
      <c r="BG1" s="303" t="s">
        <v>7087</v>
      </c>
      <c r="BH1" s="307" t="s">
        <v>9543</v>
      </c>
      <c r="BI1" s="301" t="s">
        <v>329</v>
      </c>
      <c r="BJ1" s="309" t="s">
        <v>9688</v>
      </c>
      <c r="BK1" s="296" t="s">
        <v>232</v>
      </c>
      <c r="BL1" s="308" t="s">
        <v>9710</v>
      </c>
      <c r="BM1" s="310" t="s">
        <v>289</v>
      </c>
      <c r="BN1" s="310" t="s">
        <v>9981</v>
      </c>
      <c r="BO1" s="365" t="s">
        <v>285</v>
      </c>
      <c r="BP1" s="364" t="s">
        <v>288</v>
      </c>
      <c r="BQ1" s="364" t="s">
        <v>290</v>
      </c>
      <c r="BR1" s="364" t="s">
        <v>291</v>
      </c>
      <c r="BS1" s="364" t="s">
        <v>292</v>
      </c>
      <c r="BT1" s="364" t="s">
        <v>293</v>
      </c>
      <c r="BU1" s="301" t="s">
        <v>286</v>
      </c>
      <c r="BV1" s="313" t="s">
        <v>7066</v>
      </c>
      <c r="BW1" s="313" t="s">
        <v>7067</v>
      </c>
      <c r="BX1" s="297" t="s">
        <v>7084</v>
      </c>
      <c r="BY1" s="297" t="s">
        <v>9104</v>
      </c>
      <c r="BZ1" s="297" t="s">
        <v>7085</v>
      </c>
      <c r="CA1" s="303" t="s">
        <v>7086</v>
      </c>
      <c r="CB1" s="297" t="s">
        <v>7088</v>
      </c>
      <c r="CC1" s="299" t="s">
        <v>9593</v>
      </c>
      <c r="CD1" s="299" t="s">
        <v>9594</v>
      </c>
      <c r="CE1" s="299" t="s">
        <v>9595</v>
      </c>
      <c r="CF1" s="299" t="s">
        <v>9613</v>
      </c>
      <c r="CG1" s="299" t="s">
        <v>7089</v>
      </c>
      <c r="CH1" s="299" t="s">
        <v>7090</v>
      </c>
      <c r="CI1" s="299" t="s">
        <v>7091</v>
      </c>
      <c r="CJ1" s="299" t="s">
        <v>7092</v>
      </c>
      <c r="CK1" s="299" t="s">
        <v>7093</v>
      </c>
      <c r="CL1" s="299" t="s">
        <v>7097</v>
      </c>
      <c r="CM1" s="299" t="s">
        <v>7098</v>
      </c>
      <c r="CN1" s="299" t="s">
        <v>7094</v>
      </c>
      <c r="CO1" s="299" t="s">
        <v>7095</v>
      </c>
      <c r="CP1" s="299" t="s">
        <v>7096</v>
      </c>
      <c r="CQ1" s="367" t="s">
        <v>9110</v>
      </c>
      <c r="CR1" s="311" t="s">
        <v>9111</v>
      </c>
      <c r="CS1" s="312" t="s">
        <v>9112</v>
      </c>
      <c r="CT1" s="311" t="s">
        <v>9113</v>
      </c>
      <c r="CU1" s="311" t="s">
        <v>9114</v>
      </c>
      <c r="CV1" s="311" t="s">
        <v>9115</v>
      </c>
      <c r="CW1" s="311" t="s">
        <v>9116</v>
      </c>
      <c r="CX1" s="311" t="s">
        <v>9117</v>
      </c>
      <c r="CY1" s="297" t="s">
        <v>9545</v>
      </c>
      <c r="CZ1" s="297" t="s">
        <v>9118</v>
      </c>
      <c r="DA1" s="297" t="s">
        <v>9119</v>
      </c>
      <c r="DB1" s="297" t="s">
        <v>9120</v>
      </c>
      <c r="DC1" s="297" t="s">
        <v>9121</v>
      </c>
      <c r="DD1" s="297" t="s">
        <v>9122</v>
      </c>
      <c r="DE1" s="311" t="s">
        <v>9617</v>
      </c>
      <c r="DF1" s="297" t="s">
        <v>9618</v>
      </c>
      <c r="DG1" s="297" t="s">
        <v>9619</v>
      </c>
    </row>
    <row r="2" spans="1:174" s="276" customFormat="1" ht="18.75" customHeight="1">
      <c r="A2" s="292">
        <v>1</v>
      </c>
      <c r="B2" s="340" t="s">
        <v>10167</v>
      </c>
      <c r="C2" s="340"/>
      <c r="D2" s="340"/>
      <c r="E2" s="341" t="s">
        <v>10168</v>
      </c>
      <c r="F2" s="344"/>
      <c r="G2" s="343"/>
      <c r="H2" s="356"/>
      <c r="I2" s="357" t="s">
        <v>10168</v>
      </c>
      <c r="J2" s="344"/>
      <c r="K2" s="358"/>
      <c r="L2" s="342"/>
      <c r="M2" s="342"/>
      <c r="N2" s="342"/>
      <c r="O2" s="346"/>
      <c r="P2" s="346"/>
      <c r="Q2" s="345" t="s">
        <v>10168</v>
      </c>
      <c r="R2" s="348"/>
      <c r="S2" s="348"/>
      <c r="T2" s="348"/>
      <c r="U2" s="348"/>
      <c r="V2" s="348"/>
      <c r="W2" s="348"/>
      <c r="X2" s="359"/>
      <c r="Y2" s="347"/>
      <c r="Z2" s="347"/>
      <c r="AA2" s="346"/>
      <c r="AB2" s="349" t="s">
        <v>10168</v>
      </c>
      <c r="AC2" s="359"/>
      <c r="AD2" s="348"/>
      <c r="AE2" s="348"/>
      <c r="AF2" s="348"/>
      <c r="AG2" s="348"/>
      <c r="AH2" s="350" t="s">
        <v>10168</v>
      </c>
      <c r="AI2" s="350"/>
      <c r="AJ2" s="350" t="s">
        <v>10168</v>
      </c>
      <c r="AK2" s="350" t="s">
        <v>10168</v>
      </c>
      <c r="AL2" s="350" t="s">
        <v>10168</v>
      </c>
      <c r="AM2" s="350" t="s">
        <v>10168</v>
      </c>
      <c r="AN2" s="350" t="s">
        <v>10168</v>
      </c>
      <c r="AO2" s="349" t="s">
        <v>10168</v>
      </c>
      <c r="AP2" s="349" t="s">
        <v>10168</v>
      </c>
      <c r="AQ2" s="355" t="s">
        <v>10168</v>
      </c>
      <c r="AR2" s="353" t="s">
        <v>10168</v>
      </c>
      <c r="AS2" s="348"/>
      <c r="AT2" s="346"/>
      <c r="AU2" s="346"/>
      <c r="AV2" s="346"/>
      <c r="AW2" s="348"/>
      <c r="AX2" s="348"/>
      <c r="AY2" s="348" t="s">
        <v>10169</v>
      </c>
      <c r="AZ2" s="348" t="s">
        <v>10170</v>
      </c>
      <c r="BA2" s="346"/>
      <c r="BB2" s="342"/>
      <c r="BC2" s="346"/>
      <c r="BD2" s="346"/>
      <c r="BE2" s="346">
        <v>0</v>
      </c>
      <c r="BF2" s="346"/>
      <c r="BG2" s="346"/>
      <c r="BH2" s="350" t="s">
        <v>10168</v>
      </c>
      <c r="BI2" s="348"/>
      <c r="BJ2" s="348"/>
      <c r="BK2" s="346"/>
      <c r="BL2" s="351"/>
      <c r="BM2" s="360"/>
      <c r="BN2" s="348"/>
      <c r="BO2" s="348"/>
      <c r="BP2" s="348"/>
      <c r="BQ2" s="348"/>
      <c r="BR2" s="348"/>
      <c r="BS2" s="348"/>
      <c r="BT2" s="348"/>
      <c r="BU2" s="348"/>
      <c r="BV2" s="348"/>
      <c r="BW2" s="348"/>
      <c r="BX2" s="349" t="s">
        <v>10168</v>
      </c>
      <c r="BY2" s="346"/>
      <c r="BZ2" s="348"/>
      <c r="CA2" s="349" t="s">
        <v>10168</v>
      </c>
      <c r="CB2" s="348"/>
      <c r="CC2" s="348"/>
      <c r="CD2" s="348"/>
      <c r="CE2" s="348"/>
      <c r="CF2" s="348"/>
      <c r="CG2" s="348"/>
      <c r="CH2" s="348"/>
      <c r="CI2" s="348"/>
      <c r="CJ2" s="348"/>
      <c r="CK2" s="348"/>
      <c r="CL2" s="348"/>
      <c r="CM2" s="348"/>
      <c r="CN2" s="348"/>
      <c r="CO2" s="348"/>
      <c r="CP2" s="348"/>
      <c r="CQ2" s="346"/>
      <c r="CR2" s="347"/>
      <c r="CS2" s="347"/>
      <c r="CT2" s="347"/>
      <c r="CU2" s="347"/>
      <c r="CV2" s="347"/>
      <c r="CW2" s="346"/>
      <c r="CX2" s="346"/>
      <c r="CY2" s="347"/>
      <c r="CZ2" s="347"/>
      <c r="DA2" s="347"/>
      <c r="DB2" s="347"/>
      <c r="DC2" s="347"/>
      <c r="DD2" s="347"/>
      <c r="DE2" s="352"/>
      <c r="DF2" s="348"/>
      <c r="DG2" s="348"/>
      <c r="DJ2" s="277"/>
      <c r="EB2" s="273"/>
      <c r="ER2" s="274"/>
      <c r="EU2" s="275"/>
      <c r="EV2" s="275"/>
      <c r="EW2" s="275"/>
      <c r="EX2" s="275"/>
      <c r="EY2" s="275"/>
      <c r="EZ2" s="275"/>
      <c r="FA2" s="275"/>
      <c r="FB2" s="275"/>
      <c r="FC2" s="275"/>
      <c r="FD2" s="275"/>
      <c r="FE2" s="275"/>
      <c r="FF2" s="275"/>
      <c r="FG2" s="275"/>
      <c r="FH2" s="275"/>
      <c r="FI2" s="275"/>
      <c r="FJ2" s="275"/>
      <c r="FK2" s="275"/>
      <c r="FL2" s="275"/>
      <c r="FM2" s="275"/>
      <c r="FN2" s="275"/>
      <c r="FO2" s="275"/>
      <c r="FP2" s="275"/>
      <c r="FQ2" s="275"/>
      <c r="FR2" s="275"/>
    </row>
    <row r="3" spans="1:174" ht="15" customHeight="1"/>
    <row r="4" spans="1:174" ht="15" customHeight="1"/>
    <row r="5" spans="1:174" ht="15" customHeight="1"/>
    <row r="6" spans="1:174" ht="15" customHeight="1"/>
    <row r="7" spans="1:174" ht="15" customHeight="1"/>
  </sheetData>
  <dataValidations count="3">
    <dataValidation type="list" allowBlank="1" showInputMessage="1" sqref="A2">
      <formula1>INDEX(Field_Status,0,1)</formula1>
    </dataValidation>
    <dataValidation type="list" allowBlank="1" showInputMessage="1" showErrorMessage="1" sqref="BI2:BJ2">
      <formula1>INDEX(Food_Subcategory,0,2)</formula1>
    </dataValidation>
    <dataValidation type="list" allowBlank="1" showInputMessage="1" showErrorMessage="1" sqref="BT2">
      <formula1>INDEX(Host_Sex,0,1)</formula1>
    </dataValidation>
  </dataValidations>
  <pageMargins left="0.75" right="0.75" top="1" bottom="1" header="0.5" footer="0.5"/>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1:BU4690"/>
  <sheetViews>
    <sheetView topLeftCell="A3" workbookViewId="0">
      <selection activeCell="N63" sqref="N63"/>
    </sheetView>
  </sheetViews>
  <sheetFormatPr baseColWidth="10" defaultColWidth="11.42578125" defaultRowHeight="13" x14ac:dyDescent="0"/>
  <cols>
    <col min="1" max="1" width="11.42578125" style="27"/>
    <col min="2" max="2" width="23.42578125" style="27" customWidth="1"/>
    <col min="3" max="3" width="17.42578125" style="27" customWidth="1"/>
    <col min="4" max="4" width="27.42578125" style="27" customWidth="1"/>
    <col min="5" max="5" width="34.42578125" style="27" customWidth="1"/>
    <col min="6" max="6" width="24.140625" style="27" customWidth="1"/>
    <col min="7" max="7" width="54" style="27" customWidth="1"/>
    <col min="8" max="8" width="11.42578125" style="27"/>
    <col min="9" max="9" width="14.140625" style="27" customWidth="1"/>
    <col min="10" max="11" width="24.5703125" style="27" customWidth="1"/>
    <col min="12" max="12" width="11.42578125" style="27"/>
    <col min="13" max="13" width="14.85546875" style="27" customWidth="1"/>
    <col min="14" max="14" width="20.42578125" style="27" customWidth="1"/>
    <col min="15" max="15" width="12.42578125" style="27" customWidth="1"/>
    <col min="16" max="17" width="17.42578125" style="27" customWidth="1"/>
    <col min="18" max="18" width="28" style="27" customWidth="1"/>
    <col min="19" max="19" width="17.42578125" style="27" customWidth="1"/>
    <col min="20" max="20" width="5.42578125" style="27" customWidth="1"/>
    <col min="21" max="21" width="17.42578125" style="27" customWidth="1"/>
    <col min="22" max="22" width="23.85546875" style="27" customWidth="1"/>
    <col min="23" max="23" width="17.28515625" style="27" customWidth="1"/>
    <col min="24" max="24" width="12.85546875" style="27" customWidth="1"/>
    <col min="25" max="25" width="29.42578125" style="27" customWidth="1"/>
    <col min="26" max="26" width="17.42578125" style="27" customWidth="1"/>
    <col min="27" max="27" width="7.42578125" style="27" customWidth="1"/>
    <col min="28" max="28" width="24" style="27" customWidth="1"/>
    <col min="29" max="29" width="17.42578125" style="27" customWidth="1"/>
    <col min="30" max="30" width="9.85546875" style="27" customWidth="1"/>
    <col min="31" max="32" width="17.42578125" style="27" customWidth="1"/>
    <col min="33" max="33" width="7.42578125" style="27" customWidth="1"/>
    <col min="34" max="34" width="30.85546875" style="27" customWidth="1"/>
    <col min="35" max="35" width="17.42578125" style="27" customWidth="1"/>
    <col min="36" max="36" width="8.42578125" style="27" customWidth="1"/>
    <col min="37" max="38" width="11.42578125" style="27"/>
    <col min="39" max="39" width="11.85546875" style="27" customWidth="1"/>
    <col min="40" max="40" width="13" style="27" customWidth="1"/>
    <col min="41" max="41" width="6.85546875" style="27" customWidth="1"/>
    <col min="42" max="42" width="13" style="27" customWidth="1"/>
    <col min="43" max="44" width="17.7109375" style="27" customWidth="1"/>
    <col min="45" max="45" width="11.42578125" style="27"/>
    <col min="46" max="46" width="21.42578125" style="27" customWidth="1"/>
    <col min="47" max="47" width="15.42578125" style="27" customWidth="1"/>
    <col min="48" max="49" width="11.42578125" style="27"/>
    <col min="50" max="50" width="29.42578125" style="27" customWidth="1"/>
    <col min="51" max="52" width="11.42578125" style="27"/>
    <col min="53" max="53" width="21.42578125" style="27" customWidth="1"/>
    <col min="54" max="59" width="11.42578125" style="27"/>
    <col min="60" max="60" width="14.42578125" style="27" customWidth="1"/>
    <col min="61" max="62" width="11.42578125" style="27"/>
    <col min="63" max="63" width="14.85546875" style="27" customWidth="1"/>
    <col min="64" max="65" width="11.42578125" style="27"/>
    <col min="66" max="67" width="14.5703125" style="27" customWidth="1"/>
    <col min="68" max="68" width="11.42578125" style="27"/>
    <col min="69" max="69" width="45.42578125" style="27" bestFit="1" customWidth="1"/>
    <col min="70" max="70" width="6.42578125" style="27" customWidth="1"/>
    <col min="71" max="16384" width="11.42578125" style="27"/>
  </cols>
  <sheetData>
    <row r="1" spans="2:72">
      <c r="BD1" s="62"/>
    </row>
    <row r="2" spans="2:72" s="394" customFormat="1" ht="21" customHeight="1">
      <c r="B2" s="395" t="s">
        <v>9344</v>
      </c>
      <c r="C2" s="395"/>
      <c r="D2" s="520" t="s">
        <v>9350</v>
      </c>
      <c r="E2" s="520"/>
      <c r="F2" s="520"/>
      <c r="G2" s="520"/>
      <c r="H2" s="395"/>
      <c r="I2" s="395"/>
      <c r="J2" s="527" t="s">
        <v>9688</v>
      </c>
      <c r="K2" s="527"/>
      <c r="L2" s="395"/>
      <c r="M2" s="520" t="s">
        <v>9049</v>
      </c>
      <c r="N2" s="520"/>
      <c r="O2" s="520"/>
      <c r="P2" s="520"/>
      <c r="R2" s="395" t="s">
        <v>9664</v>
      </c>
      <c r="S2" s="441" t="s">
        <v>9700</v>
      </c>
      <c r="U2" s="520" t="s">
        <v>9048</v>
      </c>
      <c r="V2" s="520"/>
      <c r="W2" s="520"/>
      <c r="X2" s="395"/>
      <c r="Y2" s="520" t="s">
        <v>9029</v>
      </c>
      <c r="Z2" s="520"/>
      <c r="AB2" s="444" t="s">
        <v>9088</v>
      </c>
      <c r="AC2" s="444"/>
      <c r="AD2" s="387"/>
      <c r="AE2" s="520" t="s">
        <v>9104</v>
      </c>
      <c r="AF2" s="520"/>
      <c r="AG2" s="395"/>
      <c r="AH2" s="526" t="s">
        <v>9583</v>
      </c>
      <c r="AI2" s="526"/>
      <c r="AJ2" s="395"/>
      <c r="AK2" s="520" t="s">
        <v>46</v>
      </c>
      <c r="AL2" s="520"/>
      <c r="AM2" s="520"/>
      <c r="AN2" s="520"/>
      <c r="AO2" s="395"/>
      <c r="AP2" s="520" t="s">
        <v>45</v>
      </c>
      <c r="AQ2" s="520"/>
      <c r="AR2" s="395"/>
      <c r="AS2" s="395"/>
      <c r="AT2" s="520" t="s">
        <v>20</v>
      </c>
      <c r="AU2" s="520"/>
      <c r="AV2" s="395"/>
      <c r="AW2" s="395"/>
      <c r="AX2" s="530" t="s">
        <v>9627</v>
      </c>
      <c r="AY2" s="530"/>
      <c r="AZ2" s="395"/>
      <c r="BA2" s="444" t="s">
        <v>10008</v>
      </c>
      <c r="BB2" s="444"/>
      <c r="BD2" s="520" t="s">
        <v>9715</v>
      </c>
      <c r="BE2" s="520"/>
      <c r="BF2" s="520"/>
      <c r="BG2" s="520"/>
      <c r="BH2" s="520"/>
      <c r="BI2" s="520"/>
      <c r="BJ2" s="520"/>
      <c r="BK2" s="520"/>
      <c r="BL2" s="520"/>
      <c r="BN2" s="520" t="s">
        <v>10163</v>
      </c>
      <c r="BO2" s="521"/>
      <c r="BQ2" s="395" t="s">
        <v>9028</v>
      </c>
    </row>
    <row r="3" spans="2:72" s="396" customFormat="1" ht="18" customHeight="1" thickBot="1">
      <c r="B3" s="38" t="s">
        <v>7159</v>
      </c>
      <c r="C3" s="335"/>
      <c r="D3" s="38" t="s">
        <v>9346</v>
      </c>
      <c r="E3" s="39" t="s">
        <v>9347</v>
      </c>
      <c r="F3" s="39" t="s">
        <v>9345</v>
      </c>
      <c r="G3" s="39" t="s">
        <v>7159</v>
      </c>
      <c r="H3" s="335"/>
      <c r="J3" s="251" t="s">
        <v>7159</v>
      </c>
      <c r="K3" s="251" t="s">
        <v>7158</v>
      </c>
      <c r="L3" s="251"/>
      <c r="M3" s="40" t="s">
        <v>272</v>
      </c>
      <c r="N3" s="40" t="s">
        <v>213</v>
      </c>
      <c r="O3" s="40" t="s">
        <v>196</v>
      </c>
      <c r="P3" s="34" t="s">
        <v>305</v>
      </c>
      <c r="Q3" s="34"/>
      <c r="R3" s="27" t="s">
        <v>7159</v>
      </c>
      <c r="S3" s="27" t="s">
        <v>7158</v>
      </c>
      <c r="T3" s="34"/>
      <c r="U3" s="397" t="s">
        <v>253</v>
      </c>
      <c r="V3" s="398" t="s">
        <v>211</v>
      </c>
      <c r="W3" s="398" t="s">
        <v>196</v>
      </c>
      <c r="X3" s="35"/>
      <c r="Y3" s="62" t="s">
        <v>211</v>
      </c>
      <c r="Z3" s="62" t="s">
        <v>196</v>
      </c>
      <c r="AB3" s="62" t="s">
        <v>213</v>
      </c>
      <c r="AC3" s="62" t="s">
        <v>196</v>
      </c>
      <c r="AD3" s="62"/>
      <c r="AE3" s="62" t="s">
        <v>7159</v>
      </c>
      <c r="AF3" s="62" t="s">
        <v>7158</v>
      </c>
      <c r="AG3" s="35"/>
      <c r="AH3" s="62" t="s">
        <v>211</v>
      </c>
      <c r="AI3" s="62" t="s">
        <v>196</v>
      </c>
      <c r="AK3" s="36" t="s">
        <v>45</v>
      </c>
      <c r="AL3" s="36" t="s">
        <v>46</v>
      </c>
      <c r="AM3" s="36" t="s">
        <v>193</v>
      </c>
      <c r="AN3" s="36" t="s">
        <v>185</v>
      </c>
      <c r="AO3" s="62"/>
      <c r="AP3" s="62" t="s">
        <v>45</v>
      </c>
      <c r="AQ3" s="62" t="s">
        <v>192</v>
      </c>
      <c r="AR3" s="383" t="s">
        <v>196</v>
      </c>
      <c r="AS3" s="335"/>
      <c r="AT3" s="62" t="s">
        <v>20</v>
      </c>
      <c r="AU3" s="62" t="s">
        <v>212</v>
      </c>
      <c r="AV3" s="335"/>
      <c r="AW3" s="37"/>
      <c r="AX3" s="335" t="s">
        <v>213</v>
      </c>
      <c r="AY3" s="335" t="s">
        <v>196</v>
      </c>
      <c r="AZ3" s="335"/>
      <c r="BA3" s="396" t="s">
        <v>213</v>
      </c>
      <c r="BB3" s="396" t="s">
        <v>196</v>
      </c>
      <c r="BD3" s="399" t="s">
        <v>326</v>
      </c>
      <c r="BE3" s="399" t="s">
        <v>339</v>
      </c>
      <c r="BF3" s="251" t="s">
        <v>340</v>
      </c>
      <c r="BG3" s="399" t="s">
        <v>341</v>
      </c>
      <c r="BH3" s="252" t="s">
        <v>342</v>
      </c>
      <c r="BI3" s="251" t="s">
        <v>343</v>
      </c>
      <c r="BJ3" s="251" t="s">
        <v>344</v>
      </c>
      <c r="BK3" s="251" t="s">
        <v>345</v>
      </c>
      <c r="BL3" s="251" t="s">
        <v>346</v>
      </c>
      <c r="BN3" s="27" t="s">
        <v>9656</v>
      </c>
      <c r="BO3" s="27" t="s">
        <v>196</v>
      </c>
      <c r="BQ3" s="396" t="s">
        <v>213</v>
      </c>
      <c r="BR3" s="396" t="s">
        <v>196</v>
      </c>
      <c r="BT3" s="27"/>
    </row>
    <row r="4" spans="2:72" ht="16" thickTop="1">
      <c r="B4" s="400" t="s">
        <v>9777</v>
      </c>
      <c r="C4" s="333"/>
      <c r="D4" s="401" t="s">
        <v>9777</v>
      </c>
      <c r="E4" s="251" t="s">
        <v>9333</v>
      </c>
      <c r="F4" s="251" t="s">
        <v>9839</v>
      </c>
      <c r="G4" s="402" t="s">
        <v>9840</v>
      </c>
      <c r="H4" s="333"/>
      <c r="I4" s="251"/>
      <c r="J4" s="251" t="s">
        <v>9764</v>
      </c>
      <c r="K4" s="251" t="s">
        <v>10065</v>
      </c>
      <c r="L4" s="251"/>
      <c r="M4" s="120" t="s">
        <v>223</v>
      </c>
      <c r="N4" s="336" t="s">
        <v>223</v>
      </c>
      <c r="O4" s="336">
        <v>7711</v>
      </c>
      <c r="P4" s="336" t="s">
        <v>318</v>
      </c>
      <c r="Q4" s="26"/>
      <c r="R4" s="403" t="s">
        <v>9707</v>
      </c>
      <c r="S4" s="27" t="s">
        <v>10131</v>
      </c>
      <c r="T4" s="26"/>
      <c r="U4" s="25" t="s">
        <v>223</v>
      </c>
      <c r="V4" s="404" t="s">
        <v>7131</v>
      </c>
      <c r="W4" s="25" t="s">
        <v>9561</v>
      </c>
      <c r="X4" s="32"/>
      <c r="Y4" s="62" t="s">
        <v>267</v>
      </c>
      <c r="Z4" s="283" t="s">
        <v>7218</v>
      </c>
      <c r="AB4" s="62" t="s">
        <v>9034</v>
      </c>
      <c r="AC4" s="62"/>
      <c r="AD4" s="62"/>
      <c r="AE4" s="27" t="s">
        <v>9047</v>
      </c>
      <c r="AF4" s="27" t="s">
        <v>7172</v>
      </c>
      <c r="AG4" s="32"/>
      <c r="AH4" s="70" t="s">
        <v>7025</v>
      </c>
      <c r="AI4" s="70" t="s">
        <v>7050</v>
      </c>
      <c r="AK4" s="15" t="s">
        <v>49</v>
      </c>
      <c r="AL4" s="15" t="s">
        <v>54</v>
      </c>
      <c r="AM4" s="16" t="s">
        <v>53</v>
      </c>
      <c r="AN4" s="15" t="s">
        <v>55</v>
      </c>
      <c r="AO4" s="15"/>
      <c r="AP4" s="62" t="s">
        <v>7141</v>
      </c>
      <c r="AQ4" s="62" t="s">
        <v>7143</v>
      </c>
      <c r="AR4" s="383" t="s">
        <v>10122</v>
      </c>
      <c r="AS4" s="333"/>
      <c r="AT4" s="62" t="s">
        <v>214</v>
      </c>
      <c r="AU4" s="62">
        <v>816</v>
      </c>
      <c r="AV4" s="333"/>
      <c r="AW4" s="10"/>
      <c r="AX4" s="446" t="s">
        <v>10159</v>
      </c>
      <c r="AY4" s="446" t="s">
        <v>10160</v>
      </c>
      <c r="AZ4" s="333"/>
      <c r="BA4" s="81" t="s">
        <v>9101</v>
      </c>
      <c r="BB4" s="81" t="s">
        <v>7202</v>
      </c>
      <c r="BD4" s="399">
        <v>1</v>
      </c>
      <c r="BE4" s="399" t="s">
        <v>347</v>
      </c>
      <c r="BF4" s="251" t="s">
        <v>348</v>
      </c>
      <c r="BG4" s="399" t="s">
        <v>349</v>
      </c>
      <c r="BH4" s="252">
        <v>17</v>
      </c>
      <c r="BI4" s="251" t="s">
        <v>350</v>
      </c>
      <c r="BJ4" s="251" t="s">
        <v>351</v>
      </c>
      <c r="BK4" s="251" t="s">
        <v>352</v>
      </c>
      <c r="BL4" s="251" t="s">
        <v>353</v>
      </c>
      <c r="BN4" s="406" t="s">
        <v>9714</v>
      </c>
      <c r="BO4" s="406" t="s">
        <v>10081</v>
      </c>
      <c r="BQ4" s="27" t="s">
        <v>7507</v>
      </c>
      <c r="BR4" s="27" t="s">
        <v>7508</v>
      </c>
    </row>
    <row r="5" spans="2:72" ht="15">
      <c r="B5" s="251" t="s">
        <v>9356</v>
      </c>
      <c r="C5" s="333"/>
      <c r="D5" s="401" t="s">
        <v>9777</v>
      </c>
      <c r="E5" s="251" t="s">
        <v>9333</v>
      </c>
      <c r="F5" s="251" t="s">
        <v>9335</v>
      </c>
      <c r="G5" s="402" t="s">
        <v>9453</v>
      </c>
      <c r="H5" s="333"/>
      <c r="I5" s="251"/>
      <c r="J5" s="251" t="s">
        <v>9188</v>
      </c>
      <c r="K5" s="251" t="s">
        <v>9695</v>
      </c>
      <c r="L5" s="251"/>
      <c r="M5" s="120" t="s">
        <v>223</v>
      </c>
      <c r="N5" s="337" t="s">
        <v>306</v>
      </c>
      <c r="O5" s="121" t="s">
        <v>7219</v>
      </c>
      <c r="P5" s="336" t="s">
        <v>307</v>
      </c>
      <c r="Q5" s="26"/>
      <c r="R5" s="403" t="s">
        <v>9722</v>
      </c>
      <c r="S5" s="27" t="s">
        <v>10017</v>
      </c>
      <c r="T5" s="26"/>
      <c r="U5" s="25" t="s">
        <v>223</v>
      </c>
      <c r="V5" s="404" t="s">
        <v>9565</v>
      </c>
      <c r="W5" s="25" t="s">
        <v>7500</v>
      </c>
      <c r="X5" s="32"/>
      <c r="Y5" s="383" t="s">
        <v>9590</v>
      </c>
      <c r="Z5" s="283" t="s">
        <v>7218</v>
      </c>
      <c r="AB5" s="62" t="s">
        <v>9044</v>
      </c>
      <c r="AC5" s="62" t="s">
        <v>7247</v>
      </c>
      <c r="AD5" s="62"/>
      <c r="AE5" s="27" t="s">
        <v>7493</v>
      </c>
      <c r="AF5" s="27" t="s">
        <v>7499</v>
      </c>
      <c r="AG5" s="32"/>
      <c r="AH5" s="70" t="s">
        <v>7024</v>
      </c>
      <c r="AI5" s="70" t="s">
        <v>7032</v>
      </c>
      <c r="AK5" s="15" t="s">
        <v>49</v>
      </c>
      <c r="AL5" s="15" t="s">
        <v>51</v>
      </c>
      <c r="AM5" s="17" t="s">
        <v>52</v>
      </c>
      <c r="AN5" s="15" t="s">
        <v>55</v>
      </c>
      <c r="AO5" s="15"/>
      <c r="AP5" s="62" t="s">
        <v>7154</v>
      </c>
      <c r="AQ5" s="62" t="s">
        <v>7155</v>
      </c>
      <c r="AR5" s="383" t="s">
        <v>10123</v>
      </c>
      <c r="AS5" s="333"/>
      <c r="AT5" s="62" t="s">
        <v>21</v>
      </c>
      <c r="AU5" s="62">
        <v>194</v>
      </c>
      <c r="AV5" s="333"/>
      <c r="AW5" s="10"/>
      <c r="AX5" s="337"/>
      <c r="AY5" s="336"/>
      <c r="AZ5" s="333"/>
      <c r="BA5" s="81" t="s">
        <v>7149</v>
      </c>
      <c r="BB5" s="81" t="s">
        <v>7205</v>
      </c>
      <c r="BD5" s="399">
        <v>2</v>
      </c>
      <c r="BE5" s="399" t="s">
        <v>354</v>
      </c>
      <c r="BF5" s="251" t="s">
        <v>355</v>
      </c>
      <c r="BG5" s="399" t="s">
        <v>356</v>
      </c>
      <c r="BH5" s="252">
        <v>18</v>
      </c>
      <c r="BI5" s="251" t="s">
        <v>357</v>
      </c>
      <c r="BJ5" s="251" t="s">
        <v>358</v>
      </c>
      <c r="BK5" s="251" t="s">
        <v>359</v>
      </c>
      <c r="BL5" s="251" t="s">
        <v>360</v>
      </c>
      <c r="BN5" s="27" t="s">
        <v>9647</v>
      </c>
      <c r="BO5" s="27" t="s">
        <v>10078</v>
      </c>
      <c r="BQ5" s="27" t="s">
        <v>7509</v>
      </c>
      <c r="BR5" s="27" t="s">
        <v>7364</v>
      </c>
    </row>
    <row r="6" spans="2:72" ht="15" customHeight="1">
      <c r="B6" s="251" t="s">
        <v>9257</v>
      </c>
      <c r="C6" s="333"/>
      <c r="D6" s="401" t="s">
        <v>9777</v>
      </c>
      <c r="E6" s="251" t="s">
        <v>9333</v>
      </c>
      <c r="F6" s="251" t="s">
        <v>9336</v>
      </c>
      <c r="G6" s="402" t="s">
        <v>9454</v>
      </c>
      <c r="H6" s="333"/>
      <c r="I6" s="251"/>
      <c r="J6" s="251" t="s">
        <v>9683</v>
      </c>
      <c r="K6" s="251" t="s">
        <v>9697</v>
      </c>
      <c r="L6" s="251"/>
      <c r="M6" s="120" t="s">
        <v>223</v>
      </c>
      <c r="N6" s="337" t="s">
        <v>9638</v>
      </c>
      <c r="O6" s="121" t="s">
        <v>9641</v>
      </c>
      <c r="P6" s="251" t="s">
        <v>9633</v>
      </c>
      <c r="Q6" s="26"/>
      <c r="R6" s="403" t="s">
        <v>9849</v>
      </c>
      <c r="S6" s="27" t="s">
        <v>10013</v>
      </c>
      <c r="T6" s="26"/>
      <c r="U6" s="25" t="s">
        <v>223</v>
      </c>
      <c r="V6" s="404" t="s">
        <v>9848</v>
      </c>
      <c r="W6" s="25" t="s">
        <v>10013</v>
      </c>
      <c r="X6" s="24"/>
      <c r="Y6" s="62" t="s">
        <v>268</v>
      </c>
      <c r="Z6" s="283" t="s">
        <v>7218</v>
      </c>
      <c r="AB6" s="62" t="s">
        <v>9040</v>
      </c>
      <c r="AC6" s="62" t="s">
        <v>7185</v>
      </c>
      <c r="AD6" s="62"/>
      <c r="AE6" s="27" t="s">
        <v>7494</v>
      </c>
      <c r="AF6" s="27" t="s">
        <v>7498</v>
      </c>
      <c r="AG6" s="24"/>
      <c r="AH6" s="70" t="s">
        <v>7023</v>
      </c>
      <c r="AI6" s="70" t="s">
        <v>7033</v>
      </c>
      <c r="AK6" s="15" t="s">
        <v>49</v>
      </c>
      <c r="AL6" s="15" t="s">
        <v>57</v>
      </c>
      <c r="AM6" s="17" t="s">
        <v>56</v>
      </c>
      <c r="AN6" s="15" t="s">
        <v>55</v>
      </c>
      <c r="AO6" s="15"/>
      <c r="AP6" s="62" t="s">
        <v>40</v>
      </c>
      <c r="AQ6" s="62" t="s">
        <v>49</v>
      </c>
      <c r="AR6" s="390" t="s">
        <v>10124</v>
      </c>
      <c r="AS6" s="333"/>
      <c r="AT6" s="62" t="s">
        <v>202</v>
      </c>
      <c r="AU6" s="62">
        <v>197</v>
      </c>
      <c r="AV6" s="333"/>
      <c r="AW6" s="10"/>
      <c r="AX6" s="523" t="s">
        <v>10161</v>
      </c>
      <c r="AY6" s="523"/>
      <c r="AZ6" s="333"/>
      <c r="BA6" s="27" t="s">
        <v>9103</v>
      </c>
      <c r="BB6" s="407" t="s">
        <v>7218</v>
      </c>
      <c r="BD6" s="399">
        <v>3</v>
      </c>
      <c r="BE6" s="399" t="s">
        <v>361</v>
      </c>
      <c r="BF6" s="251" t="s">
        <v>362</v>
      </c>
      <c r="BG6" s="399" t="s">
        <v>363</v>
      </c>
      <c r="BH6" s="252" t="s">
        <v>364</v>
      </c>
      <c r="BI6" s="251" t="s">
        <v>365</v>
      </c>
      <c r="BJ6" s="251" t="s">
        <v>366</v>
      </c>
      <c r="BK6" s="251" t="s">
        <v>367</v>
      </c>
      <c r="BL6" s="251" t="s">
        <v>368</v>
      </c>
      <c r="BN6" s="27" t="s">
        <v>9651</v>
      </c>
      <c r="BO6" s="27" t="s">
        <v>10079</v>
      </c>
      <c r="BQ6" s="27" t="s">
        <v>7510</v>
      </c>
      <c r="BR6" s="27" t="s">
        <v>7511</v>
      </c>
    </row>
    <row r="7" spans="2:72" ht="15">
      <c r="B7" s="251" t="s">
        <v>9245</v>
      </c>
      <c r="C7" s="333"/>
      <c r="D7" s="401" t="s">
        <v>9777</v>
      </c>
      <c r="E7" s="251" t="s">
        <v>9333</v>
      </c>
      <c r="F7" s="251" t="s">
        <v>9334</v>
      </c>
      <c r="G7" s="402" t="s">
        <v>9452</v>
      </c>
      <c r="H7" s="333"/>
      <c r="I7" s="251"/>
      <c r="J7" s="401" t="s">
        <v>9837</v>
      </c>
      <c r="K7" s="251" t="s">
        <v>10064</v>
      </c>
      <c r="L7" s="251"/>
      <c r="M7" s="120" t="s">
        <v>223</v>
      </c>
      <c r="N7" s="337" t="s">
        <v>9639</v>
      </c>
      <c r="O7" s="121" t="s">
        <v>9642</v>
      </c>
      <c r="P7" s="336" t="s">
        <v>9634</v>
      </c>
      <c r="Q7" s="26"/>
      <c r="R7" s="403" t="s">
        <v>9717</v>
      </c>
      <c r="S7" s="104" t="s">
        <v>7500</v>
      </c>
      <c r="T7" s="26"/>
      <c r="U7" s="25"/>
      <c r="V7" s="404" t="s">
        <v>10012</v>
      </c>
      <c r="W7" s="25" t="s">
        <v>10011</v>
      </c>
      <c r="X7" s="24"/>
      <c r="Y7" s="383" t="s">
        <v>9591</v>
      </c>
      <c r="Z7" s="383" t="s">
        <v>9592</v>
      </c>
      <c r="AB7" s="62" t="s">
        <v>9039</v>
      </c>
      <c r="AC7" s="62" t="s">
        <v>7235</v>
      </c>
      <c r="AD7" s="62"/>
      <c r="AE7" s="27" t="s">
        <v>7495</v>
      </c>
      <c r="AF7" s="27" t="s">
        <v>7497</v>
      </c>
      <c r="AG7" s="24"/>
      <c r="AH7" s="70" t="s">
        <v>7031</v>
      </c>
      <c r="AI7" s="77" t="s">
        <v>7034</v>
      </c>
      <c r="AK7" s="15" t="s">
        <v>49</v>
      </c>
      <c r="AL7" s="15" t="s">
        <v>187</v>
      </c>
      <c r="AM7" s="18" t="s">
        <v>58</v>
      </c>
      <c r="AN7" s="15" t="s">
        <v>55</v>
      </c>
      <c r="AO7" s="15"/>
      <c r="AP7" s="383" t="s">
        <v>9081</v>
      </c>
      <c r="AQ7" s="383" t="s">
        <v>9083</v>
      </c>
      <c r="AR7" s="390" t="s">
        <v>10125</v>
      </c>
      <c r="AS7" s="333"/>
      <c r="AT7" s="408" t="s">
        <v>9836</v>
      </c>
      <c r="AU7" s="62">
        <v>1365258</v>
      </c>
      <c r="AV7" s="333"/>
      <c r="AW7" s="10"/>
      <c r="AX7" s="523"/>
      <c r="AY7" s="523"/>
      <c r="AZ7" s="333"/>
      <c r="BA7" s="27" t="s">
        <v>9546</v>
      </c>
      <c r="BB7" s="407" t="s">
        <v>7218</v>
      </c>
      <c r="BD7" s="399">
        <v>4</v>
      </c>
      <c r="BE7" s="399" t="s">
        <v>369</v>
      </c>
      <c r="BF7" s="251" t="s">
        <v>370</v>
      </c>
      <c r="BG7" s="399" t="s">
        <v>371</v>
      </c>
      <c r="BH7" s="252">
        <v>28</v>
      </c>
      <c r="BI7" s="251" t="s">
        <v>372</v>
      </c>
      <c r="BJ7" s="251" t="s">
        <v>373</v>
      </c>
      <c r="BK7" s="251" t="s">
        <v>374</v>
      </c>
      <c r="BL7" s="251" t="s">
        <v>375</v>
      </c>
      <c r="BN7" s="27" t="s">
        <v>9648</v>
      </c>
      <c r="BO7" s="27" t="s">
        <v>10080</v>
      </c>
      <c r="BQ7" s="27" t="s">
        <v>7512</v>
      </c>
      <c r="BR7" s="27" t="s">
        <v>7279</v>
      </c>
    </row>
    <row r="8" spans="2:72" ht="15">
      <c r="B8" s="251" t="s">
        <v>9191</v>
      </c>
      <c r="C8" s="333"/>
      <c r="D8" s="401" t="s">
        <v>9777</v>
      </c>
      <c r="E8" s="251" t="s">
        <v>9333</v>
      </c>
      <c r="F8" s="251" t="s">
        <v>9337</v>
      </c>
      <c r="G8" s="402" t="s">
        <v>9455</v>
      </c>
      <c r="H8" s="333"/>
      <c r="I8" s="251"/>
      <c r="J8" s="401" t="s">
        <v>9838</v>
      </c>
      <c r="K8" s="251" t="s">
        <v>9692</v>
      </c>
      <c r="L8" s="251"/>
      <c r="M8" s="120" t="s">
        <v>223</v>
      </c>
      <c r="N8" s="337" t="s">
        <v>317</v>
      </c>
      <c r="O8" s="121" t="s">
        <v>7220</v>
      </c>
      <c r="P8" s="336" t="s">
        <v>7079</v>
      </c>
      <c r="Q8" s="26"/>
      <c r="R8" s="403" t="s">
        <v>9716</v>
      </c>
      <c r="S8" s="27" t="s">
        <v>9564</v>
      </c>
      <c r="T8" s="26"/>
      <c r="U8" s="25" t="s">
        <v>223</v>
      </c>
      <c r="V8" s="404" t="s">
        <v>9947</v>
      </c>
      <c r="W8" s="25"/>
      <c r="X8" s="105"/>
      <c r="Y8" s="409" t="s">
        <v>9978</v>
      </c>
      <c r="Z8" s="409"/>
      <c r="AB8" s="62" t="s">
        <v>9038</v>
      </c>
      <c r="AC8" s="62" t="s">
        <v>7176</v>
      </c>
      <c r="AD8" s="62"/>
      <c r="AE8" s="27" t="s">
        <v>9055</v>
      </c>
      <c r="AF8" s="27" t="s">
        <v>7168</v>
      </c>
      <c r="AG8" s="105"/>
      <c r="AH8" s="70" t="s">
        <v>7022</v>
      </c>
      <c r="AI8" s="70" t="s">
        <v>7035</v>
      </c>
      <c r="AK8" s="15" t="s">
        <v>49</v>
      </c>
      <c r="AL8" s="15" t="s">
        <v>188</v>
      </c>
      <c r="AM8" s="16" t="s">
        <v>59</v>
      </c>
      <c r="AN8" s="15" t="s">
        <v>55</v>
      </c>
      <c r="AO8" s="15"/>
      <c r="AP8" s="62" t="s">
        <v>7140</v>
      </c>
      <c r="AQ8" s="62" t="s">
        <v>7144</v>
      </c>
      <c r="AR8" s="383" t="s">
        <v>10126</v>
      </c>
      <c r="AS8" s="333"/>
      <c r="AT8" s="62" t="s">
        <v>321</v>
      </c>
      <c r="AU8" s="62">
        <v>562</v>
      </c>
      <c r="AV8" s="333"/>
      <c r="AW8" s="10"/>
      <c r="AX8" s="523"/>
      <c r="AY8" s="523"/>
      <c r="AZ8" s="333"/>
      <c r="BA8" s="81" t="s">
        <v>7150</v>
      </c>
      <c r="BB8" s="410" t="s">
        <v>7218</v>
      </c>
      <c r="BD8" s="399">
        <v>5</v>
      </c>
      <c r="BE8" s="399" t="s">
        <v>376</v>
      </c>
      <c r="BF8" s="251" t="s">
        <v>377</v>
      </c>
      <c r="BG8" s="399" t="s">
        <v>378</v>
      </c>
      <c r="BH8" s="252">
        <v>11</v>
      </c>
      <c r="BI8" s="251" t="s">
        <v>379</v>
      </c>
      <c r="BJ8" s="251" t="s">
        <v>380</v>
      </c>
      <c r="BK8" s="251" t="s">
        <v>381</v>
      </c>
      <c r="BL8" s="251" t="s">
        <v>382</v>
      </c>
      <c r="BN8" s="27" t="s">
        <v>9649</v>
      </c>
      <c r="BO8" s="27" t="s">
        <v>10082</v>
      </c>
      <c r="BQ8" s="27" t="s">
        <v>7513</v>
      </c>
      <c r="BR8" s="27" t="s">
        <v>7514</v>
      </c>
    </row>
    <row r="9" spans="2:72" ht="15">
      <c r="B9" s="251" t="s">
        <v>9668</v>
      </c>
      <c r="C9" s="333"/>
      <c r="D9" s="251" t="s">
        <v>9356</v>
      </c>
      <c r="E9" s="251" t="s">
        <v>9298</v>
      </c>
      <c r="F9" s="251" t="s">
        <v>9299</v>
      </c>
      <c r="G9" s="402" t="s">
        <v>9357</v>
      </c>
      <c r="H9" s="333"/>
      <c r="I9" s="251"/>
      <c r="J9" s="251" t="s">
        <v>9685</v>
      </c>
      <c r="K9" s="251" t="s">
        <v>9696</v>
      </c>
      <c r="L9" s="251"/>
      <c r="M9" s="120" t="s">
        <v>223</v>
      </c>
      <c r="N9" s="337" t="s">
        <v>311</v>
      </c>
      <c r="O9" s="122" t="s">
        <v>7221</v>
      </c>
      <c r="P9" s="336" t="s">
        <v>312</v>
      </c>
      <c r="Q9" s="26"/>
      <c r="R9" s="331" t="s">
        <v>9971</v>
      </c>
      <c r="S9" s="27" t="s">
        <v>10054</v>
      </c>
      <c r="T9" s="26"/>
      <c r="U9" s="25" t="s">
        <v>223</v>
      </c>
      <c r="V9" s="404" t="s">
        <v>7130</v>
      </c>
      <c r="W9" s="25" t="s">
        <v>9564</v>
      </c>
      <c r="X9" s="105"/>
      <c r="Y9" s="62" t="s">
        <v>7250</v>
      </c>
      <c r="Z9" s="62" t="s">
        <v>7239</v>
      </c>
      <c r="AB9" s="384" t="s">
        <v>9079</v>
      </c>
      <c r="AC9" s="354" t="s">
        <v>10014</v>
      </c>
      <c r="AD9" s="411"/>
      <c r="AE9" s="27" t="s">
        <v>9056</v>
      </c>
      <c r="AF9" s="27" t="s">
        <v>7160</v>
      </c>
      <c r="AG9" s="105"/>
      <c r="AH9" s="70" t="s">
        <v>7021</v>
      </c>
      <c r="AI9" s="70" t="s">
        <v>7036</v>
      </c>
      <c r="AK9" s="15" t="s">
        <v>49</v>
      </c>
      <c r="AL9" s="15" t="s">
        <v>189</v>
      </c>
      <c r="AM9" s="17" t="s">
        <v>60</v>
      </c>
      <c r="AN9" s="15" t="s">
        <v>55</v>
      </c>
      <c r="AO9" s="15"/>
      <c r="AP9" s="62" t="s">
        <v>7156</v>
      </c>
      <c r="AQ9" s="62" t="s">
        <v>7157</v>
      </c>
      <c r="AR9" s="383" t="s">
        <v>10127</v>
      </c>
      <c r="AS9" s="333"/>
      <c r="AT9" s="62" t="s">
        <v>22</v>
      </c>
      <c r="AU9" s="62">
        <v>1637</v>
      </c>
      <c r="AV9" s="333"/>
      <c r="AW9" s="10"/>
      <c r="AX9" s="334"/>
      <c r="AY9" s="334"/>
      <c r="AZ9" s="334"/>
      <c r="BA9" s="81" t="s">
        <v>7148</v>
      </c>
      <c r="BB9" s="81" t="s">
        <v>7203</v>
      </c>
      <c r="BD9" s="399">
        <v>6</v>
      </c>
      <c r="BE9" s="399" t="s">
        <v>383</v>
      </c>
      <c r="BF9" s="251" t="s">
        <v>384</v>
      </c>
      <c r="BG9" s="399" t="s">
        <v>378</v>
      </c>
      <c r="BH9" s="252">
        <v>11</v>
      </c>
      <c r="BI9" s="251" t="s">
        <v>365</v>
      </c>
      <c r="BJ9" s="251" t="s">
        <v>385</v>
      </c>
      <c r="BK9" s="251" t="s">
        <v>386</v>
      </c>
      <c r="BL9" s="251" t="s">
        <v>382</v>
      </c>
      <c r="BN9" s="27" t="s">
        <v>9652</v>
      </c>
      <c r="BO9" s="27" t="s">
        <v>10084</v>
      </c>
      <c r="BQ9" s="27" t="s">
        <v>7515</v>
      </c>
      <c r="BR9" s="27" t="s">
        <v>7516</v>
      </c>
    </row>
    <row r="10" spans="2:72" ht="15">
      <c r="B10" s="251" t="s">
        <v>9301</v>
      </c>
      <c r="C10" s="333"/>
      <c r="D10" s="251" t="s">
        <v>9356</v>
      </c>
      <c r="E10" s="251" t="s">
        <v>9298</v>
      </c>
      <c r="F10" s="251" t="s">
        <v>9297</v>
      </c>
      <c r="G10" s="402" t="s">
        <v>9359</v>
      </c>
      <c r="H10" s="333"/>
      <c r="I10" s="251"/>
      <c r="J10" s="251" t="s">
        <v>9684</v>
      </c>
      <c r="K10" s="251"/>
      <c r="L10" s="251"/>
      <c r="M10" s="120" t="s">
        <v>223</v>
      </c>
      <c r="N10" s="338" t="s">
        <v>9951</v>
      </c>
      <c r="O10" s="121" t="s">
        <v>7222</v>
      </c>
      <c r="P10" s="336" t="s">
        <v>7080</v>
      </c>
      <c r="Q10" s="26"/>
      <c r="R10" s="403" t="s">
        <v>10022</v>
      </c>
      <c r="S10" s="27" t="s">
        <v>10021</v>
      </c>
      <c r="T10" s="26"/>
      <c r="U10" s="25" t="s">
        <v>223</v>
      </c>
      <c r="V10" s="404" t="s">
        <v>7129</v>
      </c>
      <c r="W10" s="25" t="s">
        <v>9549</v>
      </c>
      <c r="Y10" s="135" t="s">
        <v>9579</v>
      </c>
      <c r="Z10" s="283" t="s">
        <v>7218</v>
      </c>
      <c r="AB10" s="62" t="s">
        <v>9036</v>
      </c>
      <c r="AC10" s="62" t="s">
        <v>7177</v>
      </c>
      <c r="AD10" s="62"/>
      <c r="AE10" s="27" t="s">
        <v>9073</v>
      </c>
      <c r="AF10" s="27" t="s">
        <v>7161</v>
      </c>
      <c r="AH10" s="70" t="s">
        <v>7020</v>
      </c>
      <c r="AI10" s="70" t="s">
        <v>7037</v>
      </c>
      <c r="AK10" s="15" t="s">
        <v>49</v>
      </c>
      <c r="AL10" s="15" t="s">
        <v>62</v>
      </c>
      <c r="AM10" s="17" t="s">
        <v>61</v>
      </c>
      <c r="AN10" s="15" t="s">
        <v>68</v>
      </c>
      <c r="AO10" s="15"/>
      <c r="AP10" s="62" t="s">
        <v>7142</v>
      </c>
      <c r="AQ10" s="62" t="s">
        <v>7145</v>
      </c>
      <c r="AR10" s="389" t="s">
        <v>10128</v>
      </c>
      <c r="AS10" s="333"/>
      <c r="AT10" s="62" t="s">
        <v>23</v>
      </c>
      <c r="AU10" s="62">
        <v>1639</v>
      </c>
      <c r="AV10" s="333"/>
      <c r="AW10" s="10"/>
      <c r="AX10" s="334"/>
      <c r="AY10" s="334"/>
      <c r="AZ10" s="334"/>
      <c r="BA10" s="81" t="s">
        <v>9102</v>
      </c>
      <c r="BB10" s="411" t="s">
        <v>7204</v>
      </c>
      <c r="BD10" s="399">
        <v>7</v>
      </c>
      <c r="BE10" s="399" t="s">
        <v>387</v>
      </c>
      <c r="BF10" s="251" t="s">
        <v>388</v>
      </c>
      <c r="BG10" s="399" t="s">
        <v>389</v>
      </c>
      <c r="BH10" s="252">
        <v>39</v>
      </c>
      <c r="BI10" s="251" t="s">
        <v>332</v>
      </c>
      <c r="BJ10" s="251" t="s">
        <v>390</v>
      </c>
      <c r="BK10" s="251" t="s">
        <v>391</v>
      </c>
      <c r="BL10" s="251" t="s">
        <v>392</v>
      </c>
      <c r="BN10" s="27" t="s">
        <v>9650</v>
      </c>
      <c r="BO10" s="27" t="s">
        <v>10083</v>
      </c>
      <c r="BQ10" s="27" t="s">
        <v>7517</v>
      </c>
      <c r="BR10" s="27" t="s">
        <v>7518</v>
      </c>
    </row>
    <row r="11" spans="2:72" ht="15">
      <c r="B11" s="251" t="s">
        <v>9126</v>
      </c>
      <c r="C11" s="333"/>
      <c r="D11" s="251" t="s">
        <v>9356</v>
      </c>
      <c r="E11" s="251" t="s">
        <v>9298</v>
      </c>
      <c r="F11" s="251" t="s">
        <v>9300</v>
      </c>
      <c r="G11" s="402" t="s">
        <v>9358</v>
      </c>
      <c r="H11" s="333"/>
      <c r="I11" s="251"/>
      <c r="J11" s="251" t="s">
        <v>9163</v>
      </c>
      <c r="K11" s="251" t="s">
        <v>9691</v>
      </c>
      <c r="L11" s="251"/>
      <c r="M11" s="120" t="s">
        <v>223</v>
      </c>
      <c r="N11" s="338" t="s">
        <v>9970</v>
      </c>
      <c r="O11" s="121" t="s">
        <v>9987</v>
      </c>
      <c r="P11" s="336" t="s">
        <v>9986</v>
      </c>
      <c r="Q11" s="26"/>
      <c r="R11" s="403" t="s">
        <v>9721</v>
      </c>
      <c r="S11" s="27" t="s">
        <v>9551</v>
      </c>
      <c r="T11" s="26"/>
      <c r="U11" s="25" t="s">
        <v>223</v>
      </c>
      <c r="V11" s="404" t="s">
        <v>7128</v>
      </c>
      <c r="W11" s="25" t="s">
        <v>9560</v>
      </c>
      <c r="X11" s="106"/>
      <c r="Y11" s="383" t="s">
        <v>9573</v>
      </c>
      <c r="Z11" s="283" t="s">
        <v>7218</v>
      </c>
      <c r="AB11" s="62" t="s">
        <v>9037</v>
      </c>
      <c r="AC11" s="62" t="s">
        <v>7178</v>
      </c>
      <c r="AD11" s="62"/>
      <c r="AE11" s="27" t="s">
        <v>9075</v>
      </c>
      <c r="AF11" s="27" t="s">
        <v>7169</v>
      </c>
      <c r="AG11" s="105"/>
      <c r="AH11" s="70" t="s">
        <v>7019</v>
      </c>
      <c r="AI11" s="70" t="s">
        <v>7038</v>
      </c>
      <c r="AK11" s="15" t="s">
        <v>49</v>
      </c>
      <c r="AL11" s="15" t="s">
        <v>186</v>
      </c>
      <c r="AM11" s="18" t="s">
        <v>63</v>
      </c>
      <c r="AN11" s="15" t="s">
        <v>55</v>
      </c>
      <c r="AO11" s="15"/>
      <c r="AP11" s="413" t="s">
        <v>9082</v>
      </c>
      <c r="AQ11" s="62" t="s">
        <v>50</v>
      </c>
      <c r="AR11" s="383" t="s">
        <v>10129</v>
      </c>
      <c r="AS11" s="333"/>
      <c r="AT11" s="62" t="s">
        <v>260</v>
      </c>
      <c r="AU11" s="62" t="s">
        <v>260</v>
      </c>
      <c r="AV11" s="333"/>
      <c r="AW11" s="10"/>
      <c r="AZ11" s="333"/>
      <c r="BA11" s="81" t="s">
        <v>16</v>
      </c>
      <c r="BB11" s="414" t="s">
        <v>7218</v>
      </c>
      <c r="BD11" s="399">
        <v>8</v>
      </c>
      <c r="BE11" s="399" t="s">
        <v>393</v>
      </c>
      <c r="BF11" s="251" t="s">
        <v>394</v>
      </c>
      <c r="BG11" s="399" t="s">
        <v>395</v>
      </c>
      <c r="BH11" s="252">
        <v>16</v>
      </c>
      <c r="BI11" s="251" t="s">
        <v>396</v>
      </c>
      <c r="BJ11" s="251" t="s">
        <v>397</v>
      </c>
      <c r="BK11" s="251" t="s">
        <v>398</v>
      </c>
      <c r="BL11" s="251" t="s">
        <v>399</v>
      </c>
      <c r="BN11" s="27" t="s">
        <v>9631</v>
      </c>
      <c r="BO11" s="27" t="s">
        <v>10074</v>
      </c>
      <c r="BQ11" s="27" t="s">
        <v>7519</v>
      </c>
      <c r="BR11" s="27" t="s">
        <v>7520</v>
      </c>
    </row>
    <row r="12" spans="2:72" ht="15">
      <c r="B12" s="251" t="s">
        <v>9140</v>
      </c>
      <c r="C12" s="333"/>
      <c r="D12" s="251" t="s">
        <v>9356</v>
      </c>
      <c r="E12" s="251" t="s">
        <v>9295</v>
      </c>
      <c r="F12" s="251" t="s">
        <v>9297</v>
      </c>
      <c r="G12" s="402" t="s">
        <v>9361</v>
      </c>
      <c r="H12" s="333"/>
      <c r="I12" s="251"/>
      <c r="J12" s="401" t="s">
        <v>9826</v>
      </c>
      <c r="K12" s="251"/>
      <c r="L12" s="251"/>
      <c r="M12" s="120" t="s">
        <v>223</v>
      </c>
      <c r="N12" s="337" t="s">
        <v>9708</v>
      </c>
      <c r="O12" s="121" t="s">
        <v>9643</v>
      </c>
      <c r="P12" s="336" t="s">
        <v>9635</v>
      </c>
      <c r="Q12" s="25"/>
      <c r="R12" s="403" t="s">
        <v>9723</v>
      </c>
      <c r="S12" s="27" t="s">
        <v>10024</v>
      </c>
      <c r="T12" s="25"/>
      <c r="U12" s="25" t="s">
        <v>223</v>
      </c>
      <c r="V12" s="404" t="s">
        <v>7127</v>
      </c>
      <c r="W12" s="25" t="s">
        <v>9559</v>
      </c>
      <c r="X12" s="416"/>
      <c r="Y12" s="62" t="s">
        <v>7251</v>
      </c>
      <c r="Z12" s="62" t="s">
        <v>7240</v>
      </c>
      <c r="AB12" s="383" t="s">
        <v>9089</v>
      </c>
      <c r="AC12" s="383" t="s">
        <v>7234</v>
      </c>
      <c r="AD12" s="383"/>
      <c r="AE12" s="27" t="s">
        <v>9072</v>
      </c>
      <c r="AF12" s="27" t="s">
        <v>7180</v>
      </c>
      <c r="AG12" s="105"/>
      <c r="AH12" s="70" t="s">
        <v>7018</v>
      </c>
      <c r="AI12" s="70" t="s">
        <v>7017</v>
      </c>
      <c r="AK12" s="15" t="s">
        <v>49</v>
      </c>
      <c r="AL12" s="15" t="s">
        <v>190</v>
      </c>
      <c r="AM12" s="16" t="s">
        <v>64</v>
      </c>
      <c r="AN12" s="15" t="s">
        <v>55</v>
      </c>
      <c r="AO12" s="15"/>
      <c r="AP12" s="413" t="s">
        <v>7146</v>
      </c>
      <c r="AQ12" s="62" t="s">
        <v>7147</v>
      </c>
      <c r="AR12" s="383" t="s">
        <v>10130</v>
      </c>
      <c r="AS12" s="333"/>
      <c r="AT12" s="62" t="s">
        <v>262</v>
      </c>
      <c r="AU12" s="62" t="s">
        <v>262</v>
      </c>
      <c r="AV12" s="333"/>
      <c r="AW12" s="10"/>
      <c r="AX12" s="417" t="s">
        <v>7062</v>
      </c>
      <c r="AZ12" s="333"/>
      <c r="BD12" s="399">
        <v>9</v>
      </c>
      <c r="BE12" s="399" t="s">
        <v>400</v>
      </c>
      <c r="BF12" s="251" t="s">
        <v>401</v>
      </c>
      <c r="BG12" s="399" t="s">
        <v>395</v>
      </c>
      <c r="BH12" s="252">
        <v>16</v>
      </c>
      <c r="BI12" s="251" t="s">
        <v>365</v>
      </c>
      <c r="BJ12" s="251" t="s">
        <v>397</v>
      </c>
      <c r="BK12" s="251" t="s">
        <v>402</v>
      </c>
      <c r="BL12" s="251" t="s">
        <v>399</v>
      </c>
      <c r="BN12" s="27" t="s">
        <v>9630</v>
      </c>
      <c r="BO12" s="27" t="s">
        <v>10075</v>
      </c>
      <c r="BQ12" s="27" t="s">
        <v>7521</v>
      </c>
      <c r="BR12" s="27" t="s">
        <v>7280</v>
      </c>
    </row>
    <row r="13" spans="2:72" ht="15">
      <c r="B13" s="251" t="s">
        <v>9161</v>
      </c>
      <c r="C13" s="333"/>
      <c r="D13" s="251" t="s">
        <v>9356</v>
      </c>
      <c r="E13" s="251" t="s">
        <v>9295</v>
      </c>
      <c r="F13" s="251" t="s">
        <v>9296</v>
      </c>
      <c r="G13" s="402" t="s">
        <v>9360</v>
      </c>
      <c r="H13" s="333"/>
      <c r="I13" s="251"/>
      <c r="J13" s="251" t="s">
        <v>9194</v>
      </c>
      <c r="K13" s="251" t="s">
        <v>9690</v>
      </c>
      <c r="L13" s="251"/>
      <c r="M13" s="120" t="s">
        <v>223</v>
      </c>
      <c r="N13" s="337" t="s">
        <v>258</v>
      </c>
      <c r="O13" s="121" t="s">
        <v>7223</v>
      </c>
      <c r="P13" s="336" t="s">
        <v>309</v>
      </c>
      <c r="Q13" s="26"/>
      <c r="R13" s="403" t="s">
        <v>9724</v>
      </c>
      <c r="S13" s="27" t="s">
        <v>10025</v>
      </c>
      <c r="T13" s="26"/>
      <c r="U13" s="25" t="s">
        <v>223</v>
      </c>
      <c r="V13" s="25" t="s">
        <v>9663</v>
      </c>
      <c r="W13" s="412"/>
      <c r="Y13" s="62" t="s">
        <v>7252</v>
      </c>
      <c r="Z13" s="62" t="s">
        <v>7241</v>
      </c>
      <c r="AB13" s="62" t="s">
        <v>9035</v>
      </c>
      <c r="AC13" s="62" t="s">
        <v>7174</v>
      </c>
      <c r="AD13" s="62"/>
      <c r="AE13" s="27" t="s">
        <v>9057</v>
      </c>
      <c r="AF13" s="27" t="s">
        <v>7162</v>
      </c>
      <c r="AG13" s="106"/>
      <c r="AH13" s="70" t="s">
        <v>7016</v>
      </c>
      <c r="AI13" s="70" t="s">
        <v>7039</v>
      </c>
      <c r="AK13" s="15" t="s">
        <v>49</v>
      </c>
      <c r="AL13" s="15" t="s">
        <v>66</v>
      </c>
      <c r="AM13" s="17" t="s">
        <v>65</v>
      </c>
      <c r="AN13" s="15" t="s">
        <v>55</v>
      </c>
      <c r="AO13" s="15"/>
      <c r="AP13" s="413" t="s">
        <v>16</v>
      </c>
      <c r="AQ13" s="413" t="s">
        <v>16</v>
      </c>
      <c r="AR13" s="388"/>
      <c r="AS13" s="333"/>
      <c r="AT13" s="62" t="s">
        <v>261</v>
      </c>
      <c r="AU13" s="62" t="s">
        <v>261</v>
      </c>
      <c r="AV13" s="333"/>
      <c r="AW13" s="333"/>
      <c r="AX13" s="530" t="s">
        <v>9979</v>
      </c>
      <c r="AY13" s="530"/>
      <c r="AZ13" s="333"/>
      <c r="BD13" s="399">
        <v>10</v>
      </c>
      <c r="BE13" s="399" t="s">
        <v>403</v>
      </c>
      <c r="BF13" s="251" t="s">
        <v>404</v>
      </c>
      <c r="BG13" s="399" t="s">
        <v>405</v>
      </c>
      <c r="BH13" s="252" t="s">
        <v>406</v>
      </c>
      <c r="BI13" s="251" t="s">
        <v>332</v>
      </c>
      <c r="BJ13" s="251" t="s">
        <v>407</v>
      </c>
      <c r="BK13" s="251" t="s">
        <v>408</v>
      </c>
      <c r="BL13" s="251" t="s">
        <v>409</v>
      </c>
      <c r="BN13" s="27" t="s">
        <v>9655</v>
      </c>
      <c r="BO13" s="27" t="s">
        <v>10076</v>
      </c>
      <c r="BQ13" s="27" t="s">
        <v>7522</v>
      </c>
      <c r="BR13" s="27" t="s">
        <v>7523</v>
      </c>
    </row>
    <row r="14" spans="2:72" ht="15">
      <c r="B14" s="251" t="s">
        <v>9125</v>
      </c>
      <c r="C14" s="333"/>
      <c r="D14" s="251" t="s">
        <v>9356</v>
      </c>
      <c r="E14" s="251" t="s">
        <v>9235</v>
      </c>
      <c r="F14" s="251" t="s">
        <v>9292</v>
      </c>
      <c r="G14" s="402" t="s">
        <v>9365</v>
      </c>
      <c r="H14" s="333"/>
      <c r="I14" s="251"/>
      <c r="J14" s="401" t="s">
        <v>9766</v>
      </c>
      <c r="K14" s="251" t="s">
        <v>10062</v>
      </c>
      <c r="L14" s="251"/>
      <c r="M14" s="120" t="s">
        <v>223</v>
      </c>
      <c r="N14" s="337" t="s">
        <v>259</v>
      </c>
      <c r="O14" s="121" t="s">
        <v>7224</v>
      </c>
      <c r="P14" s="336" t="s">
        <v>310</v>
      </c>
      <c r="Q14" s="26"/>
      <c r="R14" s="403" t="s">
        <v>9658</v>
      </c>
      <c r="S14" s="27" t="s">
        <v>10020</v>
      </c>
      <c r="T14" s="26"/>
      <c r="U14" s="25" t="s">
        <v>223</v>
      </c>
      <c r="V14" s="404" t="s">
        <v>9566</v>
      </c>
      <c r="W14" s="404" t="s">
        <v>9562</v>
      </c>
      <c r="X14" s="418"/>
      <c r="Y14" s="383" t="s">
        <v>9575</v>
      </c>
      <c r="Z14" s="383" t="s">
        <v>9576</v>
      </c>
      <c r="AB14" s="408" t="s">
        <v>9790</v>
      </c>
      <c r="AC14" s="286" t="s">
        <v>7218</v>
      </c>
      <c r="AD14" s="62"/>
      <c r="AE14" s="27" t="s">
        <v>9058</v>
      </c>
      <c r="AF14" s="27" t="s">
        <v>7173</v>
      </c>
      <c r="AG14" s="416"/>
      <c r="AH14" s="70" t="s">
        <v>9584</v>
      </c>
      <c r="AI14" s="411" t="s">
        <v>7039</v>
      </c>
      <c r="AK14" s="15" t="s">
        <v>49</v>
      </c>
      <c r="AL14" s="15" t="s">
        <v>191</v>
      </c>
      <c r="AM14" s="17" t="s">
        <v>67</v>
      </c>
      <c r="AN14" s="15" t="s">
        <v>55</v>
      </c>
      <c r="AO14" s="15"/>
      <c r="AP14" s="62" t="s">
        <v>261</v>
      </c>
      <c r="AQ14" s="62" t="s">
        <v>261</v>
      </c>
      <c r="AR14" s="383"/>
      <c r="AS14" s="333"/>
      <c r="AT14" s="62" t="s">
        <v>322</v>
      </c>
      <c r="AU14" s="62">
        <v>590</v>
      </c>
      <c r="AV14" s="333"/>
      <c r="AW14" s="333"/>
      <c r="AX14" s="333" t="s">
        <v>213</v>
      </c>
      <c r="AY14" s="333" t="s">
        <v>196</v>
      </c>
      <c r="AZ14" s="333"/>
      <c r="BD14" s="399">
        <v>11</v>
      </c>
      <c r="BE14" s="399" t="s">
        <v>410</v>
      </c>
      <c r="BF14" s="251" t="s">
        <v>411</v>
      </c>
      <c r="BG14" s="399" t="s">
        <v>405</v>
      </c>
      <c r="BH14" s="252" t="s">
        <v>412</v>
      </c>
      <c r="BI14" s="251" t="s">
        <v>413</v>
      </c>
      <c r="BJ14" s="251" t="s">
        <v>407</v>
      </c>
      <c r="BK14" s="251" t="s">
        <v>414</v>
      </c>
      <c r="BL14" s="251" t="s">
        <v>409</v>
      </c>
      <c r="BN14" s="27" t="s">
        <v>9653</v>
      </c>
      <c r="BO14" s="27" t="s">
        <v>10072</v>
      </c>
      <c r="BQ14" s="27" t="s">
        <v>7524</v>
      </c>
      <c r="BR14" s="27" t="s">
        <v>7263</v>
      </c>
    </row>
    <row r="15" spans="2:72" ht="15">
      <c r="B15" s="251"/>
      <c r="C15" s="333"/>
      <c r="D15" s="251" t="s">
        <v>9356</v>
      </c>
      <c r="E15" s="251" t="s">
        <v>9235</v>
      </c>
      <c r="F15" s="251" t="s">
        <v>9289</v>
      </c>
      <c r="G15" s="402" t="s">
        <v>9362</v>
      </c>
      <c r="H15" s="333"/>
      <c r="I15" s="251"/>
      <c r="J15" s="401" t="s">
        <v>9765</v>
      </c>
      <c r="K15" s="419" t="s">
        <v>10063</v>
      </c>
      <c r="L15" s="251"/>
      <c r="M15" s="120" t="s">
        <v>223</v>
      </c>
      <c r="N15" s="337" t="s">
        <v>9709</v>
      </c>
      <c r="O15" s="121" t="s">
        <v>9644</v>
      </c>
      <c r="P15" s="251" t="s">
        <v>9637</v>
      </c>
      <c r="Q15" s="26"/>
      <c r="R15" s="403" t="s">
        <v>9718</v>
      </c>
      <c r="S15" s="27" t="s">
        <v>10156</v>
      </c>
      <c r="T15" s="26"/>
      <c r="U15" s="25" t="s">
        <v>223</v>
      </c>
      <c r="V15" s="404" t="s">
        <v>9567</v>
      </c>
      <c r="W15" s="25" t="s">
        <v>9558</v>
      </c>
      <c r="X15" s="107"/>
      <c r="Y15" s="383" t="s">
        <v>9577</v>
      </c>
      <c r="Z15" s="27" t="s">
        <v>9574</v>
      </c>
      <c r="AB15" s="383" t="s">
        <v>9614</v>
      </c>
      <c r="AC15" s="283" t="s">
        <v>7218</v>
      </c>
      <c r="AD15" s="62"/>
      <c r="AE15" s="27" t="s">
        <v>9059</v>
      </c>
      <c r="AF15" s="27" t="s">
        <v>7189</v>
      </c>
      <c r="AG15" s="105"/>
      <c r="AH15" s="70" t="s">
        <v>7015</v>
      </c>
      <c r="AI15" s="70" t="s">
        <v>7040</v>
      </c>
      <c r="AK15" s="15" t="s">
        <v>49</v>
      </c>
      <c r="AL15" s="15" t="s">
        <v>70</v>
      </c>
      <c r="AM15" s="18" t="s">
        <v>69</v>
      </c>
      <c r="AN15" s="15" t="s">
        <v>68</v>
      </c>
      <c r="AO15" s="15"/>
      <c r="AP15" s="62" t="s">
        <v>262</v>
      </c>
      <c r="AQ15" s="62" t="s">
        <v>262</v>
      </c>
      <c r="AR15" s="383"/>
      <c r="AS15" s="333"/>
      <c r="AT15" s="62" t="s">
        <v>320</v>
      </c>
      <c r="AU15" s="62">
        <v>54736</v>
      </c>
      <c r="AV15" s="333"/>
      <c r="AW15" s="333"/>
      <c r="AX15" s="405"/>
      <c r="AY15" s="405"/>
      <c r="AZ15" s="333"/>
      <c r="BD15" s="399">
        <v>12</v>
      </c>
      <c r="BE15" s="399" t="s">
        <v>415</v>
      </c>
      <c r="BF15" s="251" t="s">
        <v>416</v>
      </c>
      <c r="BG15" s="399" t="s">
        <v>405</v>
      </c>
      <c r="BH15" s="252" t="s">
        <v>412</v>
      </c>
      <c r="BI15" s="251" t="s">
        <v>333</v>
      </c>
      <c r="BJ15" s="251" t="s">
        <v>351</v>
      </c>
      <c r="BK15" s="251" t="s">
        <v>417</v>
      </c>
      <c r="BL15" s="251" t="s">
        <v>409</v>
      </c>
      <c r="BN15" s="27" t="s">
        <v>9654</v>
      </c>
      <c r="BO15" s="27" t="s">
        <v>10073</v>
      </c>
      <c r="BQ15" s="27" t="s">
        <v>7525</v>
      </c>
      <c r="BR15" s="27" t="s">
        <v>7526</v>
      </c>
    </row>
    <row r="16" spans="2:72" ht="15">
      <c r="B16" s="252"/>
      <c r="C16" s="333"/>
      <c r="D16" s="251" t="s">
        <v>9356</v>
      </c>
      <c r="E16" s="251" t="s">
        <v>9235</v>
      </c>
      <c r="F16" s="251" t="s">
        <v>9290</v>
      </c>
      <c r="G16" s="402" t="s">
        <v>9363</v>
      </c>
      <c r="H16" s="333"/>
      <c r="I16" s="333"/>
      <c r="J16" s="251" t="s">
        <v>9258</v>
      </c>
      <c r="K16" s="251" t="s">
        <v>9689</v>
      </c>
      <c r="L16" s="333"/>
      <c r="M16" s="120" t="s">
        <v>223</v>
      </c>
      <c r="N16" s="337" t="s">
        <v>9640</v>
      </c>
      <c r="O16" s="252">
        <v>10141</v>
      </c>
      <c r="P16" s="251" t="s">
        <v>9636</v>
      </c>
      <c r="Q16" s="26"/>
      <c r="R16" s="403" t="s">
        <v>9768</v>
      </c>
      <c r="S16" s="27" t="s">
        <v>10016</v>
      </c>
      <c r="T16" s="26"/>
      <c r="U16" s="25" t="s">
        <v>223</v>
      </c>
      <c r="V16" s="404" t="s">
        <v>9568</v>
      </c>
      <c r="W16" s="25" t="s">
        <v>9557</v>
      </c>
      <c r="X16" s="109"/>
      <c r="Y16" s="134" t="s">
        <v>9580</v>
      </c>
      <c r="Z16" s="283" t="s">
        <v>7218</v>
      </c>
      <c r="AB16" s="62" t="s">
        <v>9045</v>
      </c>
      <c r="AC16" s="62" t="s">
        <v>7175</v>
      </c>
      <c r="AD16" s="283"/>
      <c r="AE16" s="27" t="s">
        <v>9060</v>
      </c>
      <c r="AF16" s="27" t="s">
        <v>7190</v>
      </c>
      <c r="AG16" s="418"/>
      <c r="AH16" s="70" t="s">
        <v>9585</v>
      </c>
      <c r="AI16" s="70" t="s">
        <v>7041</v>
      </c>
      <c r="AK16" s="15" t="s">
        <v>49</v>
      </c>
      <c r="AL16" s="15" t="s">
        <v>72</v>
      </c>
      <c r="AM16" s="16" t="s">
        <v>71</v>
      </c>
      <c r="AN16" s="15" t="s">
        <v>68</v>
      </c>
      <c r="AO16" s="15"/>
      <c r="AP16" s="62" t="s">
        <v>260</v>
      </c>
      <c r="AQ16" s="62" t="s">
        <v>260</v>
      </c>
      <c r="AR16" s="383"/>
      <c r="AS16" s="333"/>
      <c r="AT16" s="62" t="s">
        <v>319</v>
      </c>
      <c r="AU16" s="62">
        <v>28901</v>
      </c>
      <c r="AV16" s="333"/>
      <c r="AW16" s="333"/>
      <c r="AX16" s="405"/>
      <c r="AY16" s="405"/>
      <c r="AZ16" s="333"/>
      <c r="BD16" s="399">
        <v>13</v>
      </c>
      <c r="BE16" s="399" t="s">
        <v>418</v>
      </c>
      <c r="BF16" s="251" t="s">
        <v>419</v>
      </c>
      <c r="BG16" s="399" t="s">
        <v>378</v>
      </c>
      <c r="BH16" s="252">
        <v>11</v>
      </c>
      <c r="BI16" s="251" t="s">
        <v>372</v>
      </c>
      <c r="BJ16" s="251" t="s">
        <v>380</v>
      </c>
      <c r="BK16" s="251" t="s">
        <v>420</v>
      </c>
      <c r="BL16" s="251" t="s">
        <v>382</v>
      </c>
      <c r="BN16" s="27" t="s">
        <v>260</v>
      </c>
      <c r="BO16" s="27" t="s">
        <v>10077</v>
      </c>
      <c r="BQ16" s="27" t="s">
        <v>7527</v>
      </c>
      <c r="BR16" s="27" t="s">
        <v>7528</v>
      </c>
    </row>
    <row r="17" spans="2:73" ht="17">
      <c r="B17" s="399"/>
      <c r="C17" s="333"/>
      <c r="D17" s="251" t="s">
        <v>9356</v>
      </c>
      <c r="E17" s="251" t="s">
        <v>9235</v>
      </c>
      <c r="F17" s="251" t="s">
        <v>9291</v>
      </c>
      <c r="G17" s="402" t="s">
        <v>9364</v>
      </c>
      <c r="H17" s="333"/>
      <c r="I17" s="333"/>
      <c r="J17" s="401" t="s">
        <v>9767</v>
      </c>
      <c r="K17" s="251"/>
      <c r="L17" s="333"/>
      <c r="M17" s="120" t="s">
        <v>223</v>
      </c>
      <c r="N17" s="337" t="s">
        <v>257</v>
      </c>
      <c r="O17" s="122" t="s">
        <v>7225</v>
      </c>
      <c r="P17" s="336" t="s">
        <v>313</v>
      </c>
      <c r="R17" s="403" t="s">
        <v>9659</v>
      </c>
      <c r="S17" s="27" t="s">
        <v>10132</v>
      </c>
      <c r="U17" s="25" t="s">
        <v>223</v>
      </c>
      <c r="V17" s="404" t="s">
        <v>9569</v>
      </c>
      <c r="W17" s="25" t="s">
        <v>9556</v>
      </c>
      <c r="X17" s="107"/>
      <c r="Y17" s="136" t="s">
        <v>9581</v>
      </c>
      <c r="Z17" s="283" t="s">
        <v>7218</v>
      </c>
      <c r="AB17" s="62" t="s">
        <v>9092</v>
      </c>
      <c r="AC17" s="62" t="s">
        <v>7171</v>
      </c>
      <c r="AD17" s="283"/>
      <c r="AE17" s="27" t="s">
        <v>9061</v>
      </c>
      <c r="AF17" s="27" t="s">
        <v>7170</v>
      </c>
      <c r="AG17" s="107"/>
      <c r="AH17" s="70" t="s">
        <v>9586</v>
      </c>
      <c r="AI17" s="70" t="s">
        <v>7042</v>
      </c>
      <c r="AK17" s="15" t="s">
        <v>50</v>
      </c>
      <c r="AL17" s="15" t="s">
        <v>134</v>
      </c>
      <c r="AM17" s="15" t="s">
        <v>73</v>
      </c>
      <c r="AN17" s="15" t="s">
        <v>74</v>
      </c>
      <c r="AO17" s="15"/>
      <c r="AP17" s="15"/>
      <c r="AQ17" s="15"/>
      <c r="AR17" s="15"/>
      <c r="AS17" s="333"/>
      <c r="AT17" s="333"/>
      <c r="AU17" s="333"/>
      <c r="AV17" s="333"/>
      <c r="AW17" s="333"/>
      <c r="AX17" s="333"/>
      <c r="AY17" s="333"/>
      <c r="AZ17" s="333"/>
      <c r="BA17" s="522" t="s">
        <v>219</v>
      </c>
      <c r="BB17" s="522"/>
      <c r="BD17" s="399">
        <v>14</v>
      </c>
      <c r="BE17" s="399" t="s">
        <v>421</v>
      </c>
      <c r="BF17" s="251" t="s">
        <v>422</v>
      </c>
      <c r="BG17" s="399" t="s">
        <v>423</v>
      </c>
      <c r="BH17" s="252" t="s">
        <v>424</v>
      </c>
      <c r="BI17" s="251" t="s">
        <v>332</v>
      </c>
      <c r="BJ17" s="251" t="s">
        <v>397</v>
      </c>
      <c r="BK17" s="251" t="s">
        <v>425</v>
      </c>
      <c r="BL17" s="251" t="s">
        <v>426</v>
      </c>
      <c r="BN17" s="27" t="s">
        <v>9876</v>
      </c>
      <c r="BO17" s="27" t="s">
        <v>10071</v>
      </c>
      <c r="BQ17" s="27" t="s">
        <v>7529</v>
      </c>
      <c r="BR17" s="27" t="s">
        <v>7287</v>
      </c>
    </row>
    <row r="18" spans="2:73" ht="15">
      <c r="B18" s="251"/>
      <c r="C18" s="333"/>
      <c r="D18" s="251" t="s">
        <v>9356</v>
      </c>
      <c r="E18" s="251" t="s">
        <v>9235</v>
      </c>
      <c r="F18" s="251" t="s">
        <v>9294</v>
      </c>
      <c r="G18" s="402" t="s">
        <v>9367</v>
      </c>
      <c r="H18" s="333"/>
      <c r="I18" s="333"/>
      <c r="J18" s="420" t="s">
        <v>9910</v>
      </c>
      <c r="K18" s="251"/>
      <c r="L18" s="333"/>
      <c r="M18" s="123" t="s">
        <v>223</v>
      </c>
      <c r="N18" s="337" t="s">
        <v>9054</v>
      </c>
      <c r="O18" s="337">
        <v>9925</v>
      </c>
      <c r="P18" s="337" t="s">
        <v>9053</v>
      </c>
      <c r="R18" s="403" t="s">
        <v>9661</v>
      </c>
      <c r="S18" s="27" t="s">
        <v>10133</v>
      </c>
      <c r="U18" s="25" t="s">
        <v>223</v>
      </c>
      <c r="V18" s="404" t="s">
        <v>9570</v>
      </c>
      <c r="W18" s="25" t="s">
        <v>10010</v>
      </c>
      <c r="X18" s="108"/>
      <c r="Y18" s="421" t="s">
        <v>7253</v>
      </c>
      <c r="Z18" s="62" t="s">
        <v>7242</v>
      </c>
      <c r="AB18" s="62" t="s">
        <v>9094</v>
      </c>
      <c r="AC18" s="283" t="s">
        <v>7218</v>
      </c>
      <c r="AD18" s="283"/>
      <c r="AE18" s="27" t="s">
        <v>9074</v>
      </c>
      <c r="AF18" s="27" t="s">
        <v>7181</v>
      </c>
      <c r="AG18" s="107"/>
      <c r="AH18" s="70" t="s">
        <v>7014</v>
      </c>
      <c r="AI18" s="70" t="s">
        <v>7043</v>
      </c>
      <c r="AK18" s="15" t="s">
        <v>50</v>
      </c>
      <c r="AL18" s="15" t="s">
        <v>135</v>
      </c>
      <c r="AM18" s="15" t="s">
        <v>75</v>
      </c>
      <c r="AN18" s="15" t="s">
        <v>74</v>
      </c>
      <c r="AO18" s="15"/>
      <c r="AP18" s="15"/>
      <c r="AQ18" s="15"/>
      <c r="AR18" s="15"/>
      <c r="AS18" s="333"/>
      <c r="AU18" s="333"/>
      <c r="AV18" s="333"/>
      <c r="AW18" s="333"/>
      <c r="AY18" s="333"/>
      <c r="AZ18" s="333"/>
      <c r="BA18" s="27" t="s">
        <v>10162</v>
      </c>
      <c r="BB18" s="27" t="s">
        <v>196</v>
      </c>
      <c r="BD18" s="399">
        <v>15</v>
      </c>
      <c r="BE18" s="399" t="s">
        <v>427</v>
      </c>
      <c r="BF18" s="251" t="s">
        <v>428</v>
      </c>
      <c r="BG18" s="399" t="s">
        <v>429</v>
      </c>
      <c r="BH18" s="252" t="s">
        <v>430</v>
      </c>
      <c r="BI18" s="251" t="s">
        <v>390</v>
      </c>
      <c r="BJ18" s="251" t="s">
        <v>413</v>
      </c>
      <c r="BK18" s="251" t="s">
        <v>431</v>
      </c>
      <c r="BL18" s="251" t="s">
        <v>432</v>
      </c>
      <c r="BQ18" s="27" t="s">
        <v>7530</v>
      </c>
      <c r="BR18" s="62" t="s">
        <v>7531</v>
      </c>
    </row>
    <row r="19" spans="2:73" ht="15">
      <c r="B19" s="251"/>
      <c r="C19" s="333"/>
      <c r="D19" s="251" t="s">
        <v>9356</v>
      </c>
      <c r="E19" s="251" t="s">
        <v>9235</v>
      </c>
      <c r="F19" s="251" t="s">
        <v>9293</v>
      </c>
      <c r="G19" s="402" t="s">
        <v>9366</v>
      </c>
      <c r="H19" s="333"/>
      <c r="I19" s="333"/>
      <c r="J19" s="251" t="s">
        <v>9162</v>
      </c>
      <c r="K19" s="251" t="s">
        <v>9694</v>
      </c>
      <c r="L19" s="333"/>
      <c r="M19" s="123" t="s">
        <v>223</v>
      </c>
      <c r="N19" s="337" t="s">
        <v>7138</v>
      </c>
      <c r="O19" s="337">
        <v>9940</v>
      </c>
      <c r="P19" s="337" t="s">
        <v>7139</v>
      </c>
      <c r="R19" s="403" t="s">
        <v>9720</v>
      </c>
      <c r="S19" s="27" t="s">
        <v>10023</v>
      </c>
      <c r="U19" s="25" t="s">
        <v>223</v>
      </c>
      <c r="V19" s="404" t="s">
        <v>9571</v>
      </c>
      <c r="W19" s="25" t="s">
        <v>9563</v>
      </c>
      <c r="X19" s="105"/>
      <c r="Y19" s="383" t="s">
        <v>9578</v>
      </c>
      <c r="Z19" s="283" t="s">
        <v>7218</v>
      </c>
      <c r="AB19" s="62" t="s">
        <v>9093</v>
      </c>
      <c r="AC19" s="283" t="s">
        <v>7218</v>
      </c>
      <c r="AD19" s="283"/>
      <c r="AE19" s="27" t="s">
        <v>9062</v>
      </c>
      <c r="AF19" s="27" t="s">
        <v>7217</v>
      </c>
      <c r="AG19" s="107"/>
      <c r="AH19" s="70" t="s">
        <v>7013</v>
      </c>
      <c r="AI19" s="70" t="s">
        <v>7044</v>
      </c>
      <c r="AK19" s="15" t="s">
        <v>50</v>
      </c>
      <c r="AL19" s="15" t="s">
        <v>39</v>
      </c>
      <c r="AM19" s="15" t="s">
        <v>126</v>
      </c>
      <c r="AN19" s="15" t="s">
        <v>127</v>
      </c>
      <c r="AO19" s="15"/>
      <c r="AP19" s="15"/>
      <c r="AQ19" s="15"/>
      <c r="AR19" s="15"/>
      <c r="AS19" s="333"/>
      <c r="AU19" s="333"/>
      <c r="AV19" s="333"/>
      <c r="AW19" s="333"/>
      <c r="AX19" s="333"/>
      <c r="AY19" s="333"/>
      <c r="AZ19" s="333"/>
      <c r="BA19" s="27" t="s">
        <v>217</v>
      </c>
      <c r="BB19" s="27" t="s">
        <v>7198</v>
      </c>
      <c r="BD19" s="399">
        <v>16</v>
      </c>
      <c r="BE19" s="399" t="s">
        <v>433</v>
      </c>
      <c r="BF19" s="251" t="s">
        <v>434</v>
      </c>
      <c r="BG19" s="399" t="s">
        <v>435</v>
      </c>
      <c r="BH19" s="252" t="s">
        <v>436</v>
      </c>
      <c r="BI19" s="251" t="s">
        <v>357</v>
      </c>
      <c r="BJ19" s="251" t="s">
        <v>437</v>
      </c>
      <c r="BK19" s="251" t="s">
        <v>438</v>
      </c>
      <c r="BL19" s="251" t="s">
        <v>439</v>
      </c>
      <c r="BQ19" s="27" t="s">
        <v>7532</v>
      </c>
      <c r="BR19" s="62" t="s">
        <v>7284</v>
      </c>
      <c r="BU19" s="62"/>
    </row>
    <row r="20" spans="2:73" ht="15">
      <c r="B20" s="84"/>
      <c r="C20" s="333"/>
      <c r="D20" s="251" t="s">
        <v>9257</v>
      </c>
      <c r="E20" s="251" t="s">
        <v>9231</v>
      </c>
      <c r="F20" s="251" t="s">
        <v>9285</v>
      </c>
      <c r="G20" s="402" t="s">
        <v>9370</v>
      </c>
      <c r="H20" s="333"/>
      <c r="I20" s="333"/>
      <c r="J20" s="251" t="s">
        <v>9686</v>
      </c>
      <c r="K20" s="251" t="s">
        <v>9693</v>
      </c>
      <c r="L20" s="333"/>
      <c r="M20" s="120" t="s">
        <v>223</v>
      </c>
      <c r="N20" s="337" t="s">
        <v>255</v>
      </c>
      <c r="O20" s="122" t="s">
        <v>7226</v>
      </c>
      <c r="P20" s="336" t="s">
        <v>314</v>
      </c>
      <c r="R20" s="331" t="s">
        <v>9850</v>
      </c>
      <c r="S20" s="27" t="s">
        <v>10135</v>
      </c>
      <c r="U20" s="25" t="s">
        <v>223</v>
      </c>
      <c r="V20" s="404" t="s">
        <v>9572</v>
      </c>
      <c r="W20" s="404"/>
      <c r="X20" s="107"/>
      <c r="Y20" s="62" t="s">
        <v>9544</v>
      </c>
      <c r="Z20" s="62" t="s">
        <v>7053</v>
      </c>
      <c r="AB20" s="62" t="s">
        <v>269</v>
      </c>
      <c r="AC20" s="283" t="s">
        <v>7218</v>
      </c>
      <c r="AD20" s="62"/>
      <c r="AE20" s="27" t="s">
        <v>9063</v>
      </c>
      <c r="AF20" s="27" t="s">
        <v>7186</v>
      </c>
      <c r="AG20" s="107"/>
      <c r="AH20" s="70" t="s">
        <v>7012</v>
      </c>
      <c r="AI20" s="70" t="s">
        <v>7045</v>
      </c>
      <c r="AK20" s="15" t="s">
        <v>50</v>
      </c>
      <c r="AL20" s="15" t="s">
        <v>136</v>
      </c>
      <c r="AM20" s="15" t="s">
        <v>76</v>
      </c>
      <c r="AN20" s="15" t="s">
        <v>74</v>
      </c>
      <c r="AO20" s="15"/>
      <c r="AP20" s="15"/>
      <c r="AQ20" s="15"/>
      <c r="AR20" s="15"/>
      <c r="AS20" s="333"/>
      <c r="AU20" s="333"/>
      <c r="AV20" s="333"/>
      <c r="AW20" s="333"/>
      <c r="AX20" s="333"/>
      <c r="AY20" s="333"/>
      <c r="AZ20" s="333"/>
      <c r="BA20" s="27" t="s">
        <v>218</v>
      </c>
      <c r="BB20" s="27" t="s">
        <v>7200</v>
      </c>
      <c r="BD20" s="399">
        <v>17</v>
      </c>
      <c r="BE20" s="399" t="s">
        <v>440</v>
      </c>
      <c r="BF20" s="251" t="s">
        <v>441</v>
      </c>
      <c r="BG20" s="399" t="s">
        <v>371</v>
      </c>
      <c r="BH20" s="252">
        <v>28</v>
      </c>
      <c r="BI20" s="251" t="s">
        <v>379</v>
      </c>
      <c r="BJ20" s="251" t="s">
        <v>351</v>
      </c>
      <c r="BK20" s="251" t="s">
        <v>442</v>
      </c>
      <c r="BL20" s="251" t="s">
        <v>375</v>
      </c>
      <c r="BQ20" s="27" t="s">
        <v>7533</v>
      </c>
      <c r="BR20" s="62" t="s">
        <v>7534</v>
      </c>
      <c r="BU20" s="62"/>
    </row>
    <row r="21" spans="2:73" ht="15">
      <c r="B21" s="84"/>
      <c r="D21" s="251" t="s">
        <v>9257</v>
      </c>
      <c r="E21" s="251" t="s">
        <v>9231</v>
      </c>
      <c r="F21" s="251" t="s">
        <v>9287</v>
      </c>
      <c r="G21" s="402" t="s">
        <v>9372</v>
      </c>
      <c r="H21" s="333"/>
      <c r="I21" s="333"/>
      <c r="J21" s="251" t="s">
        <v>9687</v>
      </c>
      <c r="K21" s="251"/>
      <c r="L21" s="333"/>
      <c r="M21" s="120" t="s">
        <v>223</v>
      </c>
      <c r="N21" s="337" t="s">
        <v>256</v>
      </c>
      <c r="O21" s="121" t="s">
        <v>7227</v>
      </c>
      <c r="P21" s="336" t="s">
        <v>315</v>
      </c>
      <c r="R21" s="403" t="s">
        <v>9660</v>
      </c>
      <c r="S21" s="27" t="s">
        <v>9549</v>
      </c>
      <c r="U21" s="25" t="s">
        <v>223</v>
      </c>
      <c r="V21" s="404" t="s">
        <v>7126</v>
      </c>
      <c r="W21" s="25" t="s">
        <v>9551</v>
      </c>
      <c r="Y21" s="408" t="s">
        <v>9835</v>
      </c>
      <c r="Z21" s="281" t="s">
        <v>7218</v>
      </c>
      <c r="AB21" s="62" t="s">
        <v>247</v>
      </c>
      <c r="AC21" s="283" t="s">
        <v>7218</v>
      </c>
      <c r="AD21" s="283"/>
      <c r="AE21" s="27" t="s">
        <v>9064</v>
      </c>
      <c r="AF21" s="27" t="s">
        <v>7163</v>
      </c>
      <c r="AG21" s="105"/>
      <c r="AH21" s="70" t="s">
        <v>7011</v>
      </c>
      <c r="AI21" s="70" t="s">
        <v>7046</v>
      </c>
      <c r="AK21" s="15" t="s">
        <v>50</v>
      </c>
      <c r="AL21" s="15" t="s">
        <v>137</v>
      </c>
      <c r="AM21" s="15" t="s">
        <v>77</v>
      </c>
      <c r="AN21" s="15" t="s">
        <v>74</v>
      </c>
      <c r="AO21" s="15"/>
      <c r="AP21" s="15"/>
      <c r="AQ21" s="15"/>
      <c r="AR21" s="15"/>
      <c r="AS21" s="333"/>
      <c r="AT21" s="333"/>
      <c r="AU21" s="333"/>
      <c r="AV21" s="333"/>
      <c r="AW21" s="333"/>
      <c r="AX21" s="333"/>
      <c r="AY21" s="333"/>
      <c r="AZ21" s="333"/>
      <c r="BA21" s="27" t="s">
        <v>215</v>
      </c>
      <c r="BB21" s="27" t="s">
        <v>7201</v>
      </c>
      <c r="BD21" s="399">
        <v>18</v>
      </c>
      <c r="BE21" s="399" t="s">
        <v>443</v>
      </c>
      <c r="BF21" s="251" t="s">
        <v>444</v>
      </c>
      <c r="BG21" s="399" t="s">
        <v>378</v>
      </c>
      <c r="BH21" s="252">
        <v>11</v>
      </c>
      <c r="BI21" s="251" t="s">
        <v>445</v>
      </c>
      <c r="BJ21" s="251" t="s">
        <v>351</v>
      </c>
      <c r="BK21" s="251" t="s">
        <v>446</v>
      </c>
      <c r="BL21" s="251" t="s">
        <v>382</v>
      </c>
      <c r="BQ21" s="27" t="s">
        <v>7535</v>
      </c>
      <c r="BR21" s="62" t="s">
        <v>7402</v>
      </c>
      <c r="BU21" s="62"/>
    </row>
    <row r="22" spans="2:73" ht="15" customHeight="1">
      <c r="D22" s="251" t="s">
        <v>9257</v>
      </c>
      <c r="E22" s="251" t="s">
        <v>9231</v>
      </c>
      <c r="F22" s="251" t="s">
        <v>9288</v>
      </c>
      <c r="G22" s="402" t="s">
        <v>9373</v>
      </c>
      <c r="H22" s="333"/>
      <c r="I22" s="333"/>
      <c r="J22" s="251"/>
      <c r="K22" s="251"/>
      <c r="L22" s="333"/>
      <c r="M22" s="120" t="s">
        <v>223</v>
      </c>
      <c r="N22" s="336" t="s">
        <v>246</v>
      </c>
      <c r="O22" s="121" t="s">
        <v>7228</v>
      </c>
      <c r="P22" s="336" t="s">
        <v>308</v>
      </c>
      <c r="R22" s="403" t="s">
        <v>9662</v>
      </c>
      <c r="S22" s="27" t="s">
        <v>9553</v>
      </c>
      <c r="U22" s="25" t="s">
        <v>223</v>
      </c>
      <c r="V22" s="404" t="s">
        <v>7125</v>
      </c>
      <c r="W22" s="25" t="s">
        <v>9555</v>
      </c>
      <c r="X22" s="109"/>
      <c r="Y22" s="62" t="s">
        <v>276</v>
      </c>
      <c r="Z22" s="62" t="s">
        <v>7054</v>
      </c>
      <c r="AB22" s="62" t="s">
        <v>9789</v>
      </c>
      <c r="AC22" s="62" t="s">
        <v>7179</v>
      </c>
      <c r="AD22" s="283"/>
      <c r="AE22" s="27" t="s">
        <v>9065</v>
      </c>
      <c r="AF22" s="27" t="s">
        <v>7191</v>
      </c>
      <c r="AG22" s="107"/>
      <c r="AH22" s="70" t="s">
        <v>7010</v>
      </c>
      <c r="AI22" s="70" t="s">
        <v>7047</v>
      </c>
      <c r="AK22" s="15" t="s">
        <v>50</v>
      </c>
      <c r="AL22" s="15" t="s">
        <v>138</v>
      </c>
      <c r="AM22" s="15" t="s">
        <v>78</v>
      </c>
      <c r="AN22" s="15" t="s">
        <v>74</v>
      </c>
      <c r="AO22" s="15"/>
      <c r="AP22" s="15"/>
      <c r="AQ22" s="15"/>
      <c r="AR22" s="15"/>
      <c r="AS22" s="333"/>
      <c r="AT22" s="333"/>
      <c r="AU22" s="333"/>
      <c r="AV22" s="333"/>
      <c r="AW22" s="333"/>
      <c r="AX22" s="529" t="s">
        <v>275</v>
      </c>
      <c r="AY22" s="529"/>
      <c r="AZ22" s="333"/>
      <c r="BA22" s="27" t="s">
        <v>216</v>
      </c>
      <c r="BB22" s="27" t="s">
        <v>7199</v>
      </c>
      <c r="BD22" s="399">
        <v>19</v>
      </c>
      <c r="BE22" s="399" t="s">
        <v>447</v>
      </c>
      <c r="BF22" s="251" t="s">
        <v>448</v>
      </c>
      <c r="BG22" s="399" t="s">
        <v>449</v>
      </c>
      <c r="BH22" s="252">
        <v>43</v>
      </c>
      <c r="BI22" s="251" t="s">
        <v>450</v>
      </c>
      <c r="BJ22" s="251" t="s">
        <v>380</v>
      </c>
      <c r="BK22" s="251" t="s">
        <v>451</v>
      </c>
      <c r="BL22" s="251" t="s">
        <v>452</v>
      </c>
      <c r="BQ22" s="27" t="s">
        <v>7536</v>
      </c>
      <c r="BR22" s="62" t="s">
        <v>7485</v>
      </c>
      <c r="BU22" s="62"/>
    </row>
    <row r="23" spans="2:73" ht="15">
      <c r="D23" s="251" t="s">
        <v>9257</v>
      </c>
      <c r="E23" s="251" t="s">
        <v>9231</v>
      </c>
      <c r="F23" s="251" t="s">
        <v>9284</v>
      </c>
      <c r="G23" s="402" t="s">
        <v>9369</v>
      </c>
      <c r="H23" s="333"/>
      <c r="I23" s="333"/>
      <c r="J23" s="333"/>
      <c r="K23" s="333"/>
      <c r="L23" s="333"/>
      <c r="M23" s="124" t="s">
        <v>222</v>
      </c>
      <c r="N23" s="336" t="s">
        <v>222</v>
      </c>
      <c r="O23" s="121" t="s">
        <v>7229</v>
      </c>
      <c r="P23" s="336" t="s">
        <v>316</v>
      </c>
      <c r="R23" s="331" t="s">
        <v>9972</v>
      </c>
      <c r="S23" s="27" t="s">
        <v>10137</v>
      </c>
      <c r="U23" s="25" t="s">
        <v>223</v>
      </c>
      <c r="V23" s="404" t="s">
        <v>7122</v>
      </c>
      <c r="W23" s="25" t="s">
        <v>9552</v>
      </c>
      <c r="Y23" s="62" t="s">
        <v>221</v>
      </c>
      <c r="Z23" s="62" t="s">
        <v>7055</v>
      </c>
      <c r="AB23" s="408" t="s">
        <v>9733</v>
      </c>
      <c r="AC23" s="281" t="s">
        <v>7218</v>
      </c>
      <c r="AD23" s="62"/>
      <c r="AE23" s="27" t="s">
        <v>9066</v>
      </c>
      <c r="AF23" s="27" t="s">
        <v>7164</v>
      </c>
      <c r="AG23" s="108"/>
      <c r="AH23" s="70" t="s">
        <v>7009</v>
      </c>
      <c r="AI23" s="70" t="s">
        <v>7048</v>
      </c>
      <c r="AK23" s="15" t="s">
        <v>50</v>
      </c>
      <c r="AL23" s="15" t="s">
        <v>139</v>
      </c>
      <c r="AM23" s="15" t="s">
        <v>79</v>
      </c>
      <c r="AN23" s="15" t="s">
        <v>74</v>
      </c>
      <c r="AO23" s="15"/>
      <c r="AP23" s="15"/>
      <c r="AQ23" s="15"/>
      <c r="AR23" s="15"/>
      <c r="AS23" s="333"/>
      <c r="AT23" s="333"/>
      <c r="AU23" s="333"/>
      <c r="AV23" s="333"/>
      <c r="AW23" s="333"/>
      <c r="AX23" s="30" t="s">
        <v>213</v>
      </c>
      <c r="AY23" s="31" t="s">
        <v>196</v>
      </c>
      <c r="AZ23" s="333"/>
      <c r="BD23" s="399">
        <v>20</v>
      </c>
      <c r="BE23" s="399" t="s">
        <v>453</v>
      </c>
      <c r="BF23" s="251" t="s">
        <v>454</v>
      </c>
      <c r="BG23" s="399" t="s">
        <v>455</v>
      </c>
      <c r="BH23" s="252">
        <v>35</v>
      </c>
      <c r="BI23" s="251" t="s">
        <v>456</v>
      </c>
      <c r="BJ23" s="251" t="s">
        <v>413</v>
      </c>
      <c r="BK23" s="251" t="s">
        <v>457</v>
      </c>
      <c r="BL23" s="251" t="s">
        <v>458</v>
      </c>
      <c r="BQ23" s="27" t="s">
        <v>7537</v>
      </c>
      <c r="BR23" s="62" t="s">
        <v>7538</v>
      </c>
      <c r="BU23" s="62"/>
    </row>
    <row r="24" spans="2:73" ht="17">
      <c r="D24" s="251" t="s">
        <v>9257</v>
      </c>
      <c r="E24" s="251" t="s">
        <v>9231</v>
      </c>
      <c r="F24" s="251" t="s">
        <v>9286</v>
      </c>
      <c r="G24" s="402" t="s">
        <v>9371</v>
      </c>
      <c r="H24" s="333"/>
      <c r="I24" s="333"/>
      <c r="J24" s="333"/>
      <c r="K24" s="333"/>
      <c r="L24" s="333"/>
      <c r="R24" s="331" t="s">
        <v>9973</v>
      </c>
      <c r="S24" s="27" t="s">
        <v>10136</v>
      </c>
      <c r="U24" s="25" t="s">
        <v>223</v>
      </c>
      <c r="V24" s="404" t="s">
        <v>7123</v>
      </c>
      <c r="W24" s="25" t="s">
        <v>9553</v>
      </c>
      <c r="Y24" s="62" t="s">
        <v>277</v>
      </c>
      <c r="Z24" s="62" t="s">
        <v>7056</v>
      </c>
      <c r="AB24" s="62" t="s">
        <v>9095</v>
      </c>
      <c r="AC24" s="283" t="s">
        <v>7218</v>
      </c>
      <c r="AD24" s="62"/>
      <c r="AE24" s="27" t="s">
        <v>9067</v>
      </c>
      <c r="AF24" s="27" t="s">
        <v>7165</v>
      </c>
      <c r="AG24" s="107"/>
      <c r="AH24" s="70" t="s">
        <v>7008</v>
      </c>
      <c r="AI24" s="70" t="s">
        <v>7049</v>
      </c>
      <c r="AK24" s="15" t="s">
        <v>50</v>
      </c>
      <c r="AL24" s="15" t="s">
        <v>140</v>
      </c>
      <c r="AM24" s="15" t="s">
        <v>80</v>
      </c>
      <c r="AN24" s="15" t="s">
        <v>74</v>
      </c>
      <c r="AO24" s="15"/>
      <c r="AP24" s="15"/>
      <c r="AQ24" s="15"/>
      <c r="AR24" s="15"/>
      <c r="AS24" s="333"/>
      <c r="AT24" s="522" t="s">
        <v>7061</v>
      </c>
      <c r="AU24" s="522"/>
      <c r="AV24" s="522"/>
      <c r="AW24" s="333"/>
      <c r="AX24" s="445" t="s">
        <v>10158</v>
      </c>
      <c r="AY24" s="445" t="s">
        <v>10160</v>
      </c>
      <c r="AZ24" s="333"/>
      <c r="BD24" s="399">
        <v>21</v>
      </c>
      <c r="BE24" s="399" t="s">
        <v>459</v>
      </c>
      <c r="BF24" s="251" t="s">
        <v>460</v>
      </c>
      <c r="BG24" s="399" t="s">
        <v>395</v>
      </c>
      <c r="BH24" s="252">
        <v>16</v>
      </c>
      <c r="BI24" s="251" t="s">
        <v>461</v>
      </c>
      <c r="BJ24" s="251" t="s">
        <v>413</v>
      </c>
      <c r="BK24" s="251" t="s">
        <v>462</v>
      </c>
      <c r="BL24" s="251" t="s">
        <v>399</v>
      </c>
      <c r="BQ24" s="27" t="s">
        <v>7539</v>
      </c>
      <c r="BR24" s="62" t="s">
        <v>7281</v>
      </c>
      <c r="BU24" s="62"/>
    </row>
    <row r="25" spans="2:73" ht="17">
      <c r="D25" s="401" t="s">
        <v>9257</v>
      </c>
      <c r="E25" s="401" t="s">
        <v>9231</v>
      </c>
      <c r="F25" s="401" t="s">
        <v>9283</v>
      </c>
      <c r="G25" s="423" t="s">
        <v>9368</v>
      </c>
      <c r="H25" s="333"/>
      <c r="I25" s="333"/>
      <c r="J25" s="333"/>
      <c r="K25" s="333"/>
      <c r="L25" s="333"/>
      <c r="M25" s="14"/>
      <c r="N25" s="14"/>
      <c r="O25" s="424"/>
      <c r="R25" s="331" t="s">
        <v>9832</v>
      </c>
      <c r="S25" s="27" t="s">
        <v>10138</v>
      </c>
      <c r="U25" s="25" t="s">
        <v>223</v>
      </c>
      <c r="V25" s="404" t="s">
        <v>7124</v>
      </c>
      <c r="W25" s="412" t="s">
        <v>9554</v>
      </c>
      <c r="Y25" s="62" t="s">
        <v>278</v>
      </c>
      <c r="Z25" s="62" t="s">
        <v>7057</v>
      </c>
      <c r="AB25" s="62" t="s">
        <v>9030</v>
      </c>
      <c r="AC25" s="354" t="s">
        <v>7246</v>
      </c>
      <c r="AD25" s="283"/>
      <c r="AE25" s="27" t="s">
        <v>9068</v>
      </c>
      <c r="AF25" s="27" t="s">
        <v>7194</v>
      </c>
      <c r="AG25" s="109"/>
      <c r="AK25" s="15" t="s">
        <v>50</v>
      </c>
      <c r="AL25" s="15" t="s">
        <v>141</v>
      </c>
      <c r="AM25" s="15" t="s">
        <v>81</v>
      </c>
      <c r="AN25" s="15" t="s">
        <v>74</v>
      </c>
      <c r="AO25" s="15"/>
      <c r="AP25" s="15"/>
      <c r="AQ25" s="15"/>
      <c r="AR25" s="15"/>
      <c r="AS25" s="333"/>
      <c r="AT25" s="396" t="s">
        <v>20</v>
      </c>
      <c r="AU25" s="396" t="s">
        <v>25</v>
      </c>
      <c r="AV25" s="396" t="s">
        <v>26</v>
      </c>
      <c r="AW25" s="333"/>
      <c r="AX25" s="333"/>
      <c r="AY25" s="333"/>
      <c r="AZ25" s="333"/>
      <c r="BD25" s="399">
        <v>22</v>
      </c>
      <c r="BE25" s="399" t="s">
        <v>463</v>
      </c>
      <c r="BF25" s="251" t="s">
        <v>464</v>
      </c>
      <c r="BG25" s="399" t="s">
        <v>371</v>
      </c>
      <c r="BH25" s="252">
        <v>28</v>
      </c>
      <c r="BI25" s="251" t="s">
        <v>465</v>
      </c>
      <c r="BJ25" s="251" t="s">
        <v>366</v>
      </c>
      <c r="BK25" s="251" t="s">
        <v>466</v>
      </c>
      <c r="BL25" s="251" t="s">
        <v>375</v>
      </c>
      <c r="BQ25" s="27" t="s">
        <v>7540</v>
      </c>
      <c r="BR25" s="62" t="s">
        <v>7482</v>
      </c>
      <c r="BU25" s="62"/>
    </row>
    <row r="26" spans="2:73" ht="17">
      <c r="D26" s="251" t="s">
        <v>9257</v>
      </c>
      <c r="E26" s="251" t="s">
        <v>9163</v>
      </c>
      <c r="F26" s="251" t="s">
        <v>9280</v>
      </c>
      <c r="G26" s="402" t="s">
        <v>9375</v>
      </c>
      <c r="H26" s="333"/>
      <c r="I26" s="333"/>
      <c r="J26" s="333"/>
      <c r="K26" s="333"/>
      <c r="L26" s="333"/>
      <c r="R26" s="331" t="s">
        <v>9974</v>
      </c>
      <c r="S26" s="27" t="s">
        <v>10139</v>
      </c>
      <c r="U26" s="25" t="s">
        <v>222</v>
      </c>
      <c r="V26" s="404" t="s">
        <v>7215</v>
      </c>
      <c r="W26" s="25" t="s">
        <v>7496</v>
      </c>
      <c r="Y26" s="62" t="s">
        <v>279</v>
      </c>
      <c r="Z26" s="62" t="s">
        <v>7058</v>
      </c>
      <c r="AB26" s="62" t="s">
        <v>9031</v>
      </c>
      <c r="AC26" s="354" t="s">
        <v>7248</v>
      </c>
      <c r="AD26" s="411"/>
      <c r="AE26" s="27" t="s">
        <v>9087</v>
      </c>
      <c r="AF26" s="27" t="s">
        <v>7166</v>
      </c>
      <c r="AG26" s="107"/>
      <c r="AH26" s="111"/>
      <c r="AI26" s="81"/>
      <c r="AJ26" s="333"/>
      <c r="AK26" s="15" t="s">
        <v>50</v>
      </c>
      <c r="AL26" s="15" t="s">
        <v>182</v>
      </c>
      <c r="AM26" s="15" t="s">
        <v>124</v>
      </c>
      <c r="AN26" s="15" t="s">
        <v>125</v>
      </c>
      <c r="AO26" s="15"/>
      <c r="AP26" s="15"/>
      <c r="AQ26" s="15"/>
      <c r="AR26" s="15"/>
      <c r="AS26" s="333"/>
      <c r="AT26" s="27" t="s">
        <v>19</v>
      </c>
      <c r="AU26" s="27" t="s">
        <v>28</v>
      </c>
      <c r="AV26" s="27" t="s">
        <v>29</v>
      </c>
      <c r="AW26" s="333"/>
      <c r="AX26" s="333"/>
      <c r="AY26" s="333"/>
      <c r="AZ26" s="333"/>
      <c r="BA26" s="522" t="s">
        <v>265</v>
      </c>
      <c r="BB26" s="522"/>
      <c r="BD26" s="399">
        <v>23</v>
      </c>
      <c r="BE26" s="399" t="s">
        <v>467</v>
      </c>
      <c r="BF26" s="251" t="s">
        <v>468</v>
      </c>
      <c r="BG26" s="399" t="s">
        <v>469</v>
      </c>
      <c r="BH26" s="252" t="s">
        <v>470</v>
      </c>
      <c r="BI26" s="251" t="s">
        <v>332</v>
      </c>
      <c r="BJ26" s="251" t="s">
        <v>351</v>
      </c>
      <c r="BK26" s="251" t="s">
        <v>471</v>
      </c>
      <c r="BL26" s="251" t="s">
        <v>472</v>
      </c>
      <c r="BQ26" s="27" t="s">
        <v>7541</v>
      </c>
      <c r="BR26" s="62" t="s">
        <v>7542</v>
      </c>
      <c r="BU26" s="62"/>
    </row>
    <row r="27" spans="2:73" ht="19" customHeight="1">
      <c r="D27" s="251" t="s">
        <v>9257</v>
      </c>
      <c r="E27" s="251" t="s">
        <v>9163</v>
      </c>
      <c r="F27" s="251" t="s">
        <v>9281</v>
      </c>
      <c r="G27" s="402" t="s">
        <v>9376</v>
      </c>
      <c r="H27" s="333"/>
      <c r="I27" s="333"/>
      <c r="J27" s="333"/>
      <c r="K27" s="333"/>
      <c r="L27" s="333"/>
      <c r="N27" s="251"/>
      <c r="R27" s="403" t="s">
        <v>9719</v>
      </c>
      <c r="S27" s="27" t="s">
        <v>10140</v>
      </c>
      <c r="U27" s="25" t="s">
        <v>222</v>
      </c>
      <c r="V27" s="25" t="s">
        <v>9582</v>
      </c>
      <c r="W27" s="25" t="s">
        <v>7216</v>
      </c>
      <c r="Y27" s="62" t="s">
        <v>280</v>
      </c>
      <c r="Z27" s="62" t="s">
        <v>7059</v>
      </c>
      <c r="AB27" s="408" t="s">
        <v>9734</v>
      </c>
      <c r="AC27" s="281" t="s">
        <v>7218</v>
      </c>
      <c r="AD27" s="62"/>
      <c r="AE27" s="27" t="s">
        <v>9105</v>
      </c>
      <c r="AF27" s="27" t="s">
        <v>7188</v>
      </c>
      <c r="AG27" s="109"/>
      <c r="AH27" s="111"/>
      <c r="AI27" s="81"/>
      <c r="AJ27" s="333"/>
      <c r="AK27" s="15" t="s">
        <v>50</v>
      </c>
      <c r="AL27" s="15" t="s">
        <v>142</v>
      </c>
      <c r="AM27" s="15" t="s">
        <v>82</v>
      </c>
      <c r="AN27" s="15" t="s">
        <v>74</v>
      </c>
      <c r="AO27" s="15"/>
      <c r="AP27" s="15"/>
      <c r="AQ27" s="15"/>
      <c r="AR27" s="15"/>
      <c r="AS27" s="333"/>
      <c r="AT27" s="27" t="s">
        <v>27</v>
      </c>
      <c r="AU27" s="27" t="s">
        <v>28</v>
      </c>
      <c r="AV27" s="27" t="s">
        <v>29</v>
      </c>
      <c r="AW27" s="333"/>
      <c r="AX27" s="333"/>
      <c r="AY27" s="333"/>
      <c r="AZ27" s="333"/>
      <c r="BA27" s="396" t="s">
        <v>213</v>
      </c>
      <c r="BB27" s="396" t="s">
        <v>196</v>
      </c>
      <c r="BD27" s="399">
        <v>24</v>
      </c>
      <c r="BE27" s="399" t="s">
        <v>473</v>
      </c>
      <c r="BF27" s="251" t="s">
        <v>474</v>
      </c>
      <c r="BG27" s="399" t="s">
        <v>475</v>
      </c>
      <c r="BH27" s="252" t="s">
        <v>476</v>
      </c>
      <c r="BI27" s="251" t="s">
        <v>477</v>
      </c>
      <c r="BJ27" s="251" t="s">
        <v>351</v>
      </c>
      <c r="BK27" s="251" t="s">
        <v>478</v>
      </c>
      <c r="BL27" s="251" t="s">
        <v>479</v>
      </c>
      <c r="BQ27" s="27" t="s">
        <v>7543</v>
      </c>
      <c r="BR27" s="62" t="s">
        <v>7544</v>
      </c>
      <c r="BU27" s="62"/>
    </row>
    <row r="28" spans="2:73" ht="15" customHeight="1">
      <c r="D28" s="251" t="s">
        <v>9257</v>
      </c>
      <c r="E28" s="251" t="s">
        <v>9163</v>
      </c>
      <c r="F28" s="251" t="s">
        <v>9282</v>
      </c>
      <c r="G28" s="402" t="s">
        <v>9377</v>
      </c>
      <c r="H28" s="333"/>
      <c r="I28" s="333"/>
      <c r="J28" s="333"/>
      <c r="K28" s="333"/>
      <c r="L28" s="333"/>
      <c r="N28" s="251"/>
      <c r="O28" s="251"/>
      <c r="R28" s="403" t="s">
        <v>10018</v>
      </c>
      <c r="S28" s="27" t="s">
        <v>10019</v>
      </c>
      <c r="U28" s="25" t="s">
        <v>222</v>
      </c>
      <c r="V28" s="25" t="s">
        <v>270</v>
      </c>
      <c r="W28" s="25"/>
      <c r="Y28" s="62" t="s">
        <v>281</v>
      </c>
      <c r="Z28" s="62" t="s">
        <v>7060</v>
      </c>
      <c r="AB28" s="62" t="s">
        <v>9043</v>
      </c>
      <c r="AC28" s="283" t="s">
        <v>7218</v>
      </c>
      <c r="AD28" s="422"/>
      <c r="AE28" s="27" t="s">
        <v>9069</v>
      </c>
      <c r="AF28" s="27" t="s">
        <v>7167</v>
      </c>
      <c r="AG28" s="107"/>
      <c r="AH28" s="111"/>
      <c r="AI28" s="81"/>
      <c r="AJ28" s="333"/>
      <c r="AK28" s="15" t="s">
        <v>50</v>
      </c>
      <c r="AL28" s="15" t="s">
        <v>41</v>
      </c>
      <c r="AM28" s="15" t="s">
        <v>83</v>
      </c>
      <c r="AN28" s="15" t="s">
        <v>74</v>
      </c>
      <c r="AO28" s="15"/>
      <c r="AP28" s="15"/>
      <c r="AQ28" s="15"/>
      <c r="AR28" s="15"/>
      <c r="AS28" s="333"/>
      <c r="AT28" s="27" t="s">
        <v>30</v>
      </c>
      <c r="AU28" s="27" t="s">
        <v>28</v>
      </c>
      <c r="AV28" s="27" t="s">
        <v>29</v>
      </c>
      <c r="AW28" s="333"/>
      <c r="AX28" s="333"/>
      <c r="AY28" s="333"/>
      <c r="AZ28" s="333"/>
      <c r="BA28" s="27" t="s">
        <v>261</v>
      </c>
      <c r="BD28" s="399">
        <v>25</v>
      </c>
      <c r="BE28" s="399" t="s">
        <v>480</v>
      </c>
      <c r="BF28" s="251" t="s">
        <v>481</v>
      </c>
      <c r="BG28" s="399" t="s">
        <v>469</v>
      </c>
      <c r="BH28" s="252" t="s">
        <v>470</v>
      </c>
      <c r="BI28" s="251" t="s">
        <v>357</v>
      </c>
      <c r="BJ28" s="251" t="s">
        <v>366</v>
      </c>
      <c r="BK28" s="251" t="s">
        <v>482</v>
      </c>
      <c r="BL28" s="251" t="s">
        <v>472</v>
      </c>
      <c r="BQ28" s="27" t="s">
        <v>7545</v>
      </c>
      <c r="BR28" s="27" t="s">
        <v>7546</v>
      </c>
      <c r="BU28" s="62"/>
    </row>
    <row r="29" spans="2:73" ht="15">
      <c r="C29" s="333"/>
      <c r="D29" s="251" t="s">
        <v>9257</v>
      </c>
      <c r="E29" s="251" t="s">
        <v>9163</v>
      </c>
      <c r="F29" s="251" t="s">
        <v>9279</v>
      </c>
      <c r="G29" s="402" t="s">
        <v>9374</v>
      </c>
      <c r="H29" s="333"/>
      <c r="I29" s="333"/>
      <c r="J29" s="333"/>
      <c r="K29" s="333"/>
      <c r="L29" s="333"/>
      <c r="M29" s="81"/>
      <c r="N29" s="81"/>
      <c r="O29" s="251"/>
      <c r="R29" s="331" t="s">
        <v>9975</v>
      </c>
      <c r="S29" s="27" t="s">
        <v>10134</v>
      </c>
      <c r="Y29" s="383" t="s">
        <v>9597</v>
      </c>
      <c r="Z29" s="411" t="s">
        <v>9600</v>
      </c>
      <c r="AB29" s="408" t="s">
        <v>9732</v>
      </c>
      <c r="AC29" s="281" t="s">
        <v>7218</v>
      </c>
      <c r="AD29" s="283"/>
      <c r="AE29" s="27" t="s">
        <v>9070</v>
      </c>
      <c r="AF29" s="27" t="s">
        <v>7192</v>
      </c>
      <c r="AG29" s="105"/>
      <c r="AH29" s="111"/>
      <c r="AI29" s="81"/>
      <c r="AJ29" s="333"/>
      <c r="AK29" s="15" t="s">
        <v>50</v>
      </c>
      <c r="AL29" s="15" t="s">
        <v>42</v>
      </c>
      <c r="AM29" s="15" t="s">
        <v>128</v>
      </c>
      <c r="AN29" s="15" t="s">
        <v>127</v>
      </c>
      <c r="AO29" s="15"/>
      <c r="AP29" s="15"/>
      <c r="AQ29" s="15"/>
      <c r="AR29" s="15"/>
      <c r="AS29" s="333"/>
      <c r="AT29" s="27" t="s">
        <v>23</v>
      </c>
      <c r="AU29" s="27" t="s">
        <v>35</v>
      </c>
      <c r="AV29" s="27" t="s">
        <v>36</v>
      </c>
      <c r="AW29" s="333"/>
      <c r="AX29" s="333"/>
      <c r="AY29" s="333"/>
      <c r="AZ29" s="333"/>
      <c r="BA29" s="27" t="s">
        <v>262</v>
      </c>
      <c r="BD29" s="399">
        <v>26</v>
      </c>
      <c r="BE29" s="399" t="s">
        <v>483</v>
      </c>
      <c r="BF29" s="251" t="s">
        <v>484</v>
      </c>
      <c r="BG29" s="399" t="s">
        <v>363</v>
      </c>
      <c r="BH29" s="252" t="s">
        <v>364</v>
      </c>
      <c r="BI29" s="251" t="s">
        <v>485</v>
      </c>
      <c r="BJ29" s="251" t="s">
        <v>385</v>
      </c>
      <c r="BK29" s="251" t="s">
        <v>486</v>
      </c>
      <c r="BL29" s="251" t="s">
        <v>368</v>
      </c>
      <c r="BQ29" s="27" t="s">
        <v>7547</v>
      </c>
      <c r="BR29" s="27" t="s">
        <v>7548</v>
      </c>
    </row>
    <row r="30" spans="2:73" ht="15">
      <c r="B30" s="84"/>
      <c r="C30" s="333"/>
      <c r="D30" s="251" t="s">
        <v>9257</v>
      </c>
      <c r="E30" s="251" t="s">
        <v>9194</v>
      </c>
      <c r="F30" s="251" t="s">
        <v>9278</v>
      </c>
      <c r="G30" s="402" t="s">
        <v>9382</v>
      </c>
      <c r="H30" s="333"/>
      <c r="I30" s="333"/>
      <c r="J30" s="333"/>
      <c r="K30" s="333"/>
      <c r="L30" s="333"/>
      <c r="M30" s="81"/>
      <c r="N30" s="81"/>
      <c r="O30" s="251"/>
      <c r="R30" s="403" t="s">
        <v>9879</v>
      </c>
      <c r="S30" s="27" t="s">
        <v>10141</v>
      </c>
      <c r="Y30" s="383" t="s">
        <v>9599</v>
      </c>
      <c r="Z30" s="383" t="s">
        <v>9601</v>
      </c>
      <c r="AB30" s="384" t="s">
        <v>9077</v>
      </c>
      <c r="AC30" s="354" t="s">
        <v>9078</v>
      </c>
      <c r="AD30" s="62"/>
      <c r="AE30" s="27" t="s">
        <v>9071</v>
      </c>
      <c r="AF30" s="27" t="s">
        <v>7193</v>
      </c>
      <c r="AH30" s="111"/>
      <c r="AI30" s="81"/>
      <c r="AJ30" s="333"/>
      <c r="AK30" s="15" t="s">
        <v>50</v>
      </c>
      <c r="AL30" s="15" t="s">
        <v>143</v>
      </c>
      <c r="AM30" s="15" t="s">
        <v>84</v>
      </c>
      <c r="AN30" s="15" t="s">
        <v>74</v>
      </c>
      <c r="AO30" s="15"/>
      <c r="AP30" s="15"/>
      <c r="AQ30" s="15"/>
      <c r="AR30" s="15"/>
      <c r="AS30" s="333"/>
      <c r="AT30" s="27" t="s">
        <v>31</v>
      </c>
      <c r="AU30" s="27" t="s">
        <v>35</v>
      </c>
      <c r="AV30" s="27" t="s">
        <v>36</v>
      </c>
      <c r="AW30" s="333"/>
      <c r="AX30" s="333"/>
      <c r="AY30" s="333"/>
      <c r="AZ30" s="333"/>
      <c r="BA30" s="27" t="s">
        <v>260</v>
      </c>
      <c r="BD30" s="399">
        <v>27</v>
      </c>
      <c r="BE30" s="399" t="s">
        <v>487</v>
      </c>
      <c r="BF30" s="251" t="s">
        <v>488</v>
      </c>
      <c r="BG30" s="399" t="s">
        <v>489</v>
      </c>
      <c r="BH30" s="252" t="s">
        <v>490</v>
      </c>
      <c r="BI30" s="251" t="s">
        <v>491</v>
      </c>
      <c r="BJ30" s="251" t="s">
        <v>407</v>
      </c>
      <c r="BK30" s="251" t="s">
        <v>492</v>
      </c>
      <c r="BL30" s="251" t="s">
        <v>493</v>
      </c>
      <c r="BQ30" s="27" t="s">
        <v>7549</v>
      </c>
      <c r="BR30" s="27" t="s">
        <v>7275</v>
      </c>
    </row>
    <row r="31" spans="2:73" ht="17">
      <c r="B31" s="84"/>
      <c r="C31" s="333"/>
      <c r="D31" s="251" t="s">
        <v>9257</v>
      </c>
      <c r="E31" s="251" t="s">
        <v>9194</v>
      </c>
      <c r="F31" s="251" t="s">
        <v>9277</v>
      </c>
      <c r="G31" s="402" t="s">
        <v>9381</v>
      </c>
      <c r="H31" s="333"/>
      <c r="I31" s="333"/>
      <c r="J31" s="333"/>
      <c r="K31" s="333"/>
      <c r="L31" s="333"/>
      <c r="M31" s="81"/>
      <c r="N31" s="81"/>
      <c r="O31" s="251"/>
      <c r="R31" s="403" t="s">
        <v>9950</v>
      </c>
      <c r="S31" s="391" t="s">
        <v>10143</v>
      </c>
      <c r="U31" s="26"/>
      <c r="V31" s="524" t="s">
        <v>9969</v>
      </c>
      <c r="W31" s="525"/>
      <c r="Y31" s="383" t="s">
        <v>9598</v>
      </c>
      <c r="Z31" s="383" t="s">
        <v>9602</v>
      </c>
      <c r="AB31" s="62" t="s">
        <v>9096</v>
      </c>
      <c r="AC31" s="354" t="s">
        <v>7245</v>
      </c>
      <c r="AD31" s="283"/>
      <c r="AE31" s="62"/>
      <c r="AF31" s="62"/>
      <c r="AH31" s="111"/>
      <c r="AI31" s="81"/>
      <c r="AJ31" s="333"/>
      <c r="AK31" s="15" t="s">
        <v>50</v>
      </c>
      <c r="AL31" s="15" t="s">
        <v>144</v>
      </c>
      <c r="AM31" s="15" t="s">
        <v>85</v>
      </c>
      <c r="AN31" s="15" t="s">
        <v>74</v>
      </c>
      <c r="AO31" s="15"/>
      <c r="AP31" s="15"/>
      <c r="AQ31" s="15"/>
      <c r="AR31" s="15"/>
      <c r="AS31" s="333"/>
      <c r="AT31" s="27" t="s">
        <v>32</v>
      </c>
      <c r="AU31" s="27" t="s">
        <v>35</v>
      </c>
      <c r="AV31" s="27" t="s">
        <v>36</v>
      </c>
      <c r="AW31" s="333"/>
      <c r="AX31" s="333"/>
      <c r="AY31" s="333"/>
      <c r="AZ31" s="333"/>
      <c r="BD31" s="399">
        <v>28</v>
      </c>
      <c r="BE31" s="399" t="s">
        <v>494</v>
      </c>
      <c r="BF31" s="251" t="s">
        <v>495</v>
      </c>
      <c r="BG31" s="399" t="s">
        <v>405</v>
      </c>
      <c r="BH31" s="252" t="s">
        <v>412</v>
      </c>
      <c r="BI31" s="251" t="s">
        <v>496</v>
      </c>
      <c r="BJ31" s="251" t="s">
        <v>390</v>
      </c>
      <c r="BK31" s="251" t="s">
        <v>497</v>
      </c>
      <c r="BL31" s="251" t="s">
        <v>409</v>
      </c>
      <c r="BQ31" s="27" t="s">
        <v>7550</v>
      </c>
      <c r="BR31" s="27" t="s">
        <v>7551</v>
      </c>
    </row>
    <row r="32" spans="2:73" ht="15">
      <c r="B32" s="84"/>
      <c r="C32" s="333"/>
      <c r="D32" s="251" t="s">
        <v>9257</v>
      </c>
      <c r="E32" s="251" t="s">
        <v>9194</v>
      </c>
      <c r="F32" s="251" t="s">
        <v>9274</v>
      </c>
      <c r="G32" s="402" t="s">
        <v>9378</v>
      </c>
      <c r="H32" s="333"/>
      <c r="I32" s="333"/>
      <c r="J32" s="333"/>
      <c r="K32" s="333"/>
      <c r="L32" s="333"/>
      <c r="M32" s="81"/>
      <c r="N32" s="81"/>
      <c r="R32" s="403" t="s">
        <v>9725</v>
      </c>
      <c r="S32" s="391" t="s">
        <v>10150</v>
      </c>
      <c r="U32" s="327"/>
      <c r="V32" s="328" t="s">
        <v>213</v>
      </c>
      <c r="W32" s="328" t="s">
        <v>196</v>
      </c>
      <c r="Y32" s="408" t="s">
        <v>9834</v>
      </c>
      <c r="Z32" s="286" t="s">
        <v>7218</v>
      </c>
      <c r="AB32" s="383" t="s">
        <v>9084</v>
      </c>
      <c r="AC32" s="385" t="s">
        <v>10015</v>
      </c>
      <c r="AD32" s="283"/>
      <c r="AE32" s="422"/>
      <c r="AF32" s="422"/>
      <c r="AJ32" s="333"/>
      <c r="AK32" s="15" t="s">
        <v>50</v>
      </c>
      <c r="AL32" s="15" t="s">
        <v>145</v>
      </c>
      <c r="AM32" s="15" t="s">
        <v>86</v>
      </c>
      <c r="AN32" s="15" t="s">
        <v>74</v>
      </c>
      <c r="AO32" s="15"/>
      <c r="AP32" s="15"/>
      <c r="AQ32" s="15"/>
      <c r="AR32" s="15"/>
      <c r="AS32" s="333"/>
      <c r="AT32" s="27" t="s">
        <v>33</v>
      </c>
      <c r="AU32" s="27" t="s">
        <v>35</v>
      </c>
      <c r="AV32" s="27" t="s">
        <v>36</v>
      </c>
      <c r="AW32" s="333"/>
      <c r="AX32" s="333"/>
      <c r="AY32" s="333"/>
      <c r="AZ32" s="333"/>
      <c r="BD32" s="399">
        <v>29</v>
      </c>
      <c r="BE32" s="399" t="s">
        <v>498</v>
      </c>
      <c r="BF32" s="251" t="s">
        <v>499</v>
      </c>
      <c r="BG32" s="399" t="s">
        <v>469</v>
      </c>
      <c r="BH32" s="252" t="s">
        <v>470</v>
      </c>
      <c r="BI32" s="251" t="s">
        <v>500</v>
      </c>
      <c r="BJ32" s="251" t="s">
        <v>407</v>
      </c>
      <c r="BK32" s="251" t="s">
        <v>501</v>
      </c>
      <c r="BL32" s="251" t="s">
        <v>472</v>
      </c>
      <c r="BQ32" s="27" t="s">
        <v>7552</v>
      </c>
      <c r="BR32" s="27" t="s">
        <v>7553</v>
      </c>
    </row>
    <row r="33" spans="2:70" ht="17">
      <c r="B33" s="442" t="s">
        <v>9350</v>
      </c>
      <c r="C33" s="333"/>
      <c r="D33" s="251" t="s">
        <v>9257</v>
      </c>
      <c r="E33" s="251" t="s">
        <v>9194</v>
      </c>
      <c r="F33" s="251" t="s">
        <v>9276</v>
      </c>
      <c r="G33" s="402" t="s">
        <v>9380</v>
      </c>
      <c r="H33" s="333"/>
      <c r="I33" s="333"/>
      <c r="J33" s="333"/>
      <c r="K33" s="333"/>
      <c r="L33" s="333"/>
      <c r="R33" s="26"/>
      <c r="U33" s="26"/>
      <c r="V33" s="331" t="s">
        <v>9962</v>
      </c>
      <c r="W33" s="330"/>
      <c r="Y33" s="62" t="s">
        <v>282</v>
      </c>
      <c r="Z33" s="62" t="s">
        <v>7051</v>
      </c>
      <c r="AB33" s="62" t="s">
        <v>9046</v>
      </c>
      <c r="AC33" s="283" t="s">
        <v>7218</v>
      </c>
      <c r="AD33" s="62"/>
      <c r="AE33" s="283"/>
      <c r="AF33" s="283"/>
      <c r="AH33" s="111"/>
      <c r="AI33" s="411"/>
      <c r="AJ33" s="333"/>
      <c r="AK33" s="15" t="s">
        <v>50</v>
      </c>
      <c r="AL33" s="15" t="s">
        <v>146</v>
      </c>
      <c r="AM33" s="15" t="s">
        <v>87</v>
      </c>
      <c r="AN33" s="15" t="s">
        <v>74</v>
      </c>
      <c r="AO33" s="15"/>
      <c r="AP33" s="15"/>
      <c r="AQ33" s="15"/>
      <c r="AR33" s="15"/>
      <c r="AS33" s="333"/>
      <c r="AT33" s="27" t="s">
        <v>34</v>
      </c>
      <c r="AU33" s="27" t="s">
        <v>37</v>
      </c>
      <c r="AV33" s="27" t="s">
        <v>38</v>
      </c>
      <c r="AW33" s="333"/>
      <c r="AX33" s="333"/>
      <c r="AY33" s="333"/>
      <c r="AZ33" s="333"/>
      <c r="BD33" s="399">
        <v>30</v>
      </c>
      <c r="BE33" s="399" t="s">
        <v>502</v>
      </c>
      <c r="BF33" s="251" t="s">
        <v>503</v>
      </c>
      <c r="BG33" s="399" t="s">
        <v>405</v>
      </c>
      <c r="BH33" s="252" t="s">
        <v>412</v>
      </c>
      <c r="BI33" s="251" t="s">
        <v>365</v>
      </c>
      <c r="BJ33" s="251" t="s">
        <v>351</v>
      </c>
      <c r="BK33" s="251" t="s">
        <v>504</v>
      </c>
      <c r="BL33" s="251" t="s">
        <v>409</v>
      </c>
      <c r="BQ33" s="27" t="s">
        <v>7554</v>
      </c>
      <c r="BR33" s="27" t="s">
        <v>7255</v>
      </c>
    </row>
    <row r="34" spans="2:70" ht="17">
      <c r="B34" s="427" t="s">
        <v>7159</v>
      </c>
      <c r="C34" s="333"/>
      <c r="D34" s="251" t="s">
        <v>9257</v>
      </c>
      <c r="E34" s="251" t="s">
        <v>9194</v>
      </c>
      <c r="F34" s="251" t="s">
        <v>9275</v>
      </c>
      <c r="G34" s="402" t="s">
        <v>9379</v>
      </c>
      <c r="H34" s="333"/>
      <c r="I34" s="333"/>
      <c r="J34" s="333"/>
      <c r="K34" s="333"/>
      <c r="L34" s="333"/>
      <c r="M34" s="522" t="s">
        <v>18</v>
      </c>
      <c r="N34" s="522"/>
      <c r="R34" s="26"/>
      <c r="U34" s="26"/>
      <c r="V34" s="251" t="s">
        <v>10042</v>
      </c>
      <c r="W34" s="330" t="s">
        <v>10036</v>
      </c>
      <c r="Y34" s="383" t="s">
        <v>9609</v>
      </c>
      <c r="Z34" s="411" t="s">
        <v>9610</v>
      </c>
      <c r="AB34" s="62" t="s">
        <v>9076</v>
      </c>
      <c r="AC34" s="62" t="s">
        <v>7182</v>
      </c>
      <c r="AD34" s="62"/>
      <c r="AE34" s="62"/>
      <c r="AF34" s="62"/>
      <c r="AH34" s="425"/>
      <c r="AI34" s="425"/>
      <c r="AJ34" s="333"/>
      <c r="AK34" s="15" t="s">
        <v>50</v>
      </c>
      <c r="AL34" s="15" t="s">
        <v>147</v>
      </c>
      <c r="AM34" s="15" t="s">
        <v>88</v>
      </c>
      <c r="AN34" s="15" t="s">
        <v>74</v>
      </c>
      <c r="AO34" s="15"/>
      <c r="AP34" s="15"/>
      <c r="AQ34" s="15"/>
      <c r="AR34" s="15"/>
      <c r="AS34" s="333"/>
      <c r="AT34" s="333"/>
      <c r="AU34" s="333"/>
      <c r="AV34" s="333"/>
      <c r="AW34" s="333"/>
      <c r="AX34" s="333"/>
      <c r="AY34" s="333"/>
      <c r="AZ34" s="333"/>
      <c r="BD34" s="399">
        <v>31</v>
      </c>
      <c r="BE34" s="399" t="s">
        <v>505</v>
      </c>
      <c r="BF34" s="251" t="s">
        <v>506</v>
      </c>
      <c r="BG34" s="399" t="s">
        <v>395</v>
      </c>
      <c r="BH34" s="252">
        <v>16</v>
      </c>
      <c r="BI34" s="251" t="s">
        <v>365</v>
      </c>
      <c r="BJ34" s="251" t="s">
        <v>351</v>
      </c>
      <c r="BK34" s="251" t="s">
        <v>507</v>
      </c>
      <c r="BL34" s="251" t="s">
        <v>399</v>
      </c>
      <c r="BQ34" s="27" t="s">
        <v>7555</v>
      </c>
      <c r="BR34" s="27" t="s">
        <v>7556</v>
      </c>
    </row>
    <row r="35" spans="2:70" ht="15">
      <c r="B35" s="428" t="s">
        <v>9333</v>
      </c>
      <c r="C35" s="333"/>
      <c r="D35" s="420" t="s">
        <v>9257</v>
      </c>
      <c r="E35" s="420" t="s">
        <v>9912</v>
      </c>
      <c r="F35" s="420" t="s">
        <v>9886</v>
      </c>
      <c r="G35" s="429" t="s">
        <v>9913</v>
      </c>
      <c r="H35" s="333"/>
      <c r="I35" s="333"/>
      <c r="J35" s="333"/>
      <c r="K35" s="333"/>
      <c r="L35" s="333"/>
      <c r="M35" s="27" t="s">
        <v>213</v>
      </c>
      <c r="N35" s="27" t="s">
        <v>196</v>
      </c>
      <c r="R35" s="26"/>
      <c r="U35" s="26"/>
      <c r="V35" s="251" t="s">
        <v>10043</v>
      </c>
      <c r="W35" s="330" t="s">
        <v>10044</v>
      </c>
      <c r="Y35" s="383" t="s">
        <v>9605</v>
      </c>
      <c r="Z35" s="411" t="s">
        <v>9606</v>
      </c>
      <c r="AB35" s="62" t="s">
        <v>9032</v>
      </c>
      <c r="AC35" s="283" t="s">
        <v>7218</v>
      </c>
      <c r="AD35" s="62"/>
      <c r="AE35" s="283"/>
      <c r="AF35" s="283"/>
      <c r="AJ35" s="333"/>
      <c r="AK35" s="15" t="s">
        <v>50</v>
      </c>
      <c r="AL35" s="15" t="s">
        <v>148</v>
      </c>
      <c r="AM35" s="15" t="s">
        <v>89</v>
      </c>
      <c r="AN35" s="15" t="s">
        <v>74</v>
      </c>
      <c r="AO35" s="15"/>
      <c r="AP35" s="15"/>
      <c r="AQ35" s="15"/>
      <c r="AR35" s="15"/>
      <c r="AS35" s="333"/>
      <c r="AT35" s="333"/>
      <c r="AU35" s="333"/>
      <c r="AV35" s="333"/>
      <c r="AW35" s="333"/>
      <c r="AX35" s="333"/>
      <c r="AY35" s="333"/>
      <c r="AZ35" s="333"/>
      <c r="BD35" s="399">
        <v>32</v>
      </c>
      <c r="BE35" s="399" t="s">
        <v>508</v>
      </c>
      <c r="BF35" s="251" t="s">
        <v>509</v>
      </c>
      <c r="BG35" s="399" t="s">
        <v>475</v>
      </c>
      <c r="BH35" s="252" t="s">
        <v>510</v>
      </c>
      <c r="BI35" s="251" t="s">
        <v>511</v>
      </c>
      <c r="BJ35" s="251" t="s">
        <v>512</v>
      </c>
      <c r="BK35" s="251" t="s">
        <v>513</v>
      </c>
      <c r="BL35" s="251" t="s">
        <v>479</v>
      </c>
      <c r="BQ35" s="27" t="s">
        <v>7557</v>
      </c>
      <c r="BR35" s="27" t="s">
        <v>7558</v>
      </c>
    </row>
    <row r="36" spans="2:70" ht="15">
      <c r="B36" s="428" t="s">
        <v>9298</v>
      </c>
      <c r="C36" s="333"/>
      <c r="D36" s="420" t="s">
        <v>9257</v>
      </c>
      <c r="E36" s="420" t="s">
        <v>9912</v>
      </c>
      <c r="F36" s="420" t="s">
        <v>9880</v>
      </c>
      <c r="G36" s="429" t="s">
        <v>9914</v>
      </c>
      <c r="H36" s="333"/>
      <c r="I36" s="333"/>
      <c r="J36" s="333"/>
      <c r="K36" s="333"/>
      <c r="L36" s="333"/>
      <c r="M36" s="84" t="s">
        <v>298</v>
      </c>
      <c r="N36" s="82" t="s">
        <v>9995</v>
      </c>
      <c r="R36" s="26"/>
      <c r="U36" s="26"/>
      <c r="V36" s="251" t="s">
        <v>10046</v>
      </c>
      <c r="W36" s="27" t="s">
        <v>10045</v>
      </c>
      <c r="Y36" s="383" t="s">
        <v>9607</v>
      </c>
      <c r="Z36" s="411" t="s">
        <v>9608</v>
      </c>
      <c r="AB36" s="62" t="s">
        <v>9033</v>
      </c>
      <c r="AC36" s="283" t="s">
        <v>7218</v>
      </c>
      <c r="AD36" s="283"/>
      <c r="AE36" s="283"/>
      <c r="AF36" s="283"/>
      <c r="AJ36" s="333"/>
      <c r="AK36" s="15" t="s">
        <v>50</v>
      </c>
      <c r="AL36" s="15" t="s">
        <v>149</v>
      </c>
      <c r="AM36" s="15" t="s">
        <v>90</v>
      </c>
      <c r="AN36" s="15" t="s">
        <v>74</v>
      </c>
      <c r="AO36" s="15"/>
      <c r="AP36" s="15"/>
      <c r="AQ36" s="15"/>
      <c r="AR36" s="15"/>
      <c r="AS36" s="333"/>
      <c r="AT36" s="333"/>
      <c r="AU36" s="333"/>
      <c r="AW36" s="333"/>
      <c r="AX36" s="333"/>
      <c r="AY36" s="333"/>
      <c r="AZ36" s="333"/>
      <c r="BD36" s="399">
        <v>33</v>
      </c>
      <c r="BE36" s="399" t="s">
        <v>514</v>
      </c>
      <c r="BF36" s="251" t="s">
        <v>515</v>
      </c>
      <c r="BG36" s="399" t="s">
        <v>435</v>
      </c>
      <c r="BH36" s="252" t="s">
        <v>436</v>
      </c>
      <c r="BI36" s="251" t="s">
        <v>333</v>
      </c>
      <c r="BJ36" s="251" t="s">
        <v>366</v>
      </c>
      <c r="BK36" s="251" t="s">
        <v>516</v>
      </c>
      <c r="BL36" s="251" t="s">
        <v>439</v>
      </c>
      <c r="BQ36" s="27" t="s">
        <v>7559</v>
      </c>
      <c r="BR36" s="27" t="s">
        <v>7560</v>
      </c>
    </row>
    <row r="37" spans="2:70" ht="15">
      <c r="B37" s="428" t="s">
        <v>9295</v>
      </c>
      <c r="C37" s="333"/>
      <c r="D37" s="420" t="s">
        <v>9257</v>
      </c>
      <c r="E37" s="420" t="s">
        <v>9912</v>
      </c>
      <c r="F37" s="420" t="s">
        <v>9882</v>
      </c>
      <c r="G37" s="429" t="s">
        <v>9915</v>
      </c>
      <c r="H37" s="333"/>
      <c r="I37" s="333"/>
      <c r="J37" s="333"/>
      <c r="K37" s="333"/>
      <c r="L37" s="333"/>
      <c r="M37" s="82" t="s">
        <v>294</v>
      </c>
      <c r="N37" s="82" t="s">
        <v>9994</v>
      </c>
      <c r="R37" s="430"/>
      <c r="S37" s="417"/>
      <c r="U37" s="26"/>
      <c r="V37" s="331" t="s">
        <v>9964</v>
      </c>
      <c r="W37" s="330"/>
      <c r="Y37" s="383" t="s">
        <v>9603</v>
      </c>
      <c r="Z37" s="411" t="s">
        <v>9604</v>
      </c>
      <c r="AB37" s="62" t="s">
        <v>9041</v>
      </c>
      <c r="AC37" s="62" t="s">
        <v>7187</v>
      </c>
      <c r="AD37" s="62"/>
      <c r="AE37" s="62"/>
      <c r="AF37" s="62"/>
      <c r="AJ37" s="333"/>
      <c r="AK37" s="15" t="s">
        <v>50</v>
      </c>
      <c r="AL37" s="15" t="s">
        <v>150</v>
      </c>
      <c r="AM37" s="15" t="s">
        <v>91</v>
      </c>
      <c r="AN37" s="15" t="s">
        <v>74</v>
      </c>
      <c r="AO37" s="15"/>
      <c r="AP37" s="15"/>
      <c r="AQ37" s="15"/>
      <c r="AR37" s="15"/>
      <c r="AS37" s="333"/>
      <c r="AT37" s="333"/>
      <c r="AU37" s="333"/>
      <c r="AV37" s="333"/>
      <c r="AW37" s="333"/>
      <c r="AX37" s="333"/>
      <c r="AY37" s="333"/>
      <c r="AZ37" s="333"/>
      <c r="BD37" s="399">
        <v>34</v>
      </c>
      <c r="BE37" s="399" t="s">
        <v>517</v>
      </c>
      <c r="BF37" s="251" t="s">
        <v>518</v>
      </c>
      <c r="BG37" s="399" t="s">
        <v>519</v>
      </c>
      <c r="BH37" s="252">
        <v>30</v>
      </c>
      <c r="BI37" s="251" t="s">
        <v>465</v>
      </c>
      <c r="BJ37" s="251" t="s">
        <v>413</v>
      </c>
      <c r="BK37" s="251" t="s">
        <v>520</v>
      </c>
      <c r="BL37" s="251" t="s">
        <v>521</v>
      </c>
      <c r="BQ37" s="27" t="s">
        <v>7561</v>
      </c>
      <c r="BR37" s="27" t="s">
        <v>7562</v>
      </c>
    </row>
    <row r="38" spans="2:70" ht="17">
      <c r="B38" s="428" t="s">
        <v>9235</v>
      </c>
      <c r="C38" s="333"/>
      <c r="D38" s="420" t="s">
        <v>9257</v>
      </c>
      <c r="E38" s="420" t="s">
        <v>9912</v>
      </c>
      <c r="F38" s="420" t="s">
        <v>9909</v>
      </c>
      <c r="G38" s="429" t="s">
        <v>9916</v>
      </c>
      <c r="H38" s="333"/>
      <c r="I38" s="333"/>
      <c r="J38" s="333"/>
      <c r="K38" s="333"/>
      <c r="L38" s="333"/>
      <c r="M38" s="82" t="s">
        <v>10066</v>
      </c>
      <c r="N38" s="82" t="s">
        <v>10067</v>
      </c>
      <c r="R38" s="443" t="s">
        <v>9699</v>
      </c>
      <c r="S38" s="443" t="s">
        <v>9701</v>
      </c>
      <c r="U38" s="26"/>
      <c r="V38" s="331" t="s">
        <v>9965</v>
      </c>
      <c r="W38" s="330"/>
      <c r="Y38" s="408" t="s">
        <v>9948</v>
      </c>
      <c r="Z38" s="286" t="s">
        <v>7218</v>
      </c>
      <c r="AB38" s="62" t="s">
        <v>9042</v>
      </c>
      <c r="AC38" s="62" t="s">
        <v>7183</v>
      </c>
      <c r="AD38" s="384"/>
      <c r="AE38" s="62"/>
      <c r="AF38" s="62"/>
      <c r="AJ38" s="333"/>
      <c r="AK38" s="15" t="s">
        <v>50</v>
      </c>
      <c r="AL38" s="15" t="s">
        <v>151</v>
      </c>
      <c r="AM38" s="15" t="s">
        <v>92</v>
      </c>
      <c r="AN38" s="15" t="s">
        <v>74</v>
      </c>
      <c r="AO38" s="15"/>
      <c r="AP38" s="15"/>
      <c r="AQ38" s="15"/>
      <c r="AR38" s="15"/>
      <c r="AS38" s="333"/>
      <c r="AT38" s="333"/>
      <c r="AU38" s="333"/>
      <c r="AV38" s="333"/>
      <c r="AW38" s="333"/>
      <c r="AX38" s="333"/>
      <c r="AY38" s="333"/>
      <c r="AZ38" s="333"/>
      <c r="BD38" s="399">
        <v>35</v>
      </c>
      <c r="BE38" s="399" t="s">
        <v>522</v>
      </c>
      <c r="BF38" s="251" t="s">
        <v>523</v>
      </c>
      <c r="BG38" s="399" t="s">
        <v>455</v>
      </c>
      <c r="BH38" s="252">
        <v>35</v>
      </c>
      <c r="BI38" s="251" t="s">
        <v>524</v>
      </c>
      <c r="BJ38" s="251" t="s">
        <v>413</v>
      </c>
      <c r="BK38" s="251" t="s">
        <v>525</v>
      </c>
      <c r="BL38" s="251" t="s">
        <v>458</v>
      </c>
      <c r="BQ38" s="27" t="s">
        <v>7563</v>
      </c>
      <c r="BR38" s="27" t="s">
        <v>7564</v>
      </c>
    </row>
    <row r="39" spans="2:70" ht="15">
      <c r="B39" s="428" t="s">
        <v>9231</v>
      </c>
      <c r="C39" s="333"/>
      <c r="D39" s="420" t="s">
        <v>9257</v>
      </c>
      <c r="E39" s="420" t="s">
        <v>9912</v>
      </c>
      <c r="F39" s="420" t="s">
        <v>9893</v>
      </c>
      <c r="G39" s="429" t="s">
        <v>9917</v>
      </c>
      <c r="H39" s="333"/>
      <c r="I39" s="333"/>
      <c r="J39" s="333"/>
      <c r="K39" s="333"/>
      <c r="L39" s="333"/>
      <c r="M39" s="82" t="s">
        <v>300</v>
      </c>
      <c r="N39" s="82" t="s">
        <v>10069</v>
      </c>
      <c r="R39" s="27" t="s">
        <v>7159</v>
      </c>
      <c r="S39" s="27" t="s">
        <v>7158</v>
      </c>
      <c r="U39" s="26"/>
      <c r="V39" s="331" t="s">
        <v>9955</v>
      </c>
      <c r="W39" s="330" t="s">
        <v>10164</v>
      </c>
      <c r="Y39" s="408" t="s">
        <v>9788</v>
      </c>
      <c r="Z39" s="286" t="s">
        <v>7218</v>
      </c>
      <c r="AB39" s="62" t="s">
        <v>9086</v>
      </c>
      <c r="AC39" s="62" t="s">
        <v>7184</v>
      </c>
      <c r="AD39" s="62"/>
      <c r="AE39" s="62"/>
      <c r="AF39" s="62"/>
      <c r="AJ39" s="333"/>
      <c r="AK39" s="15" t="s">
        <v>50</v>
      </c>
      <c r="AL39" s="15" t="s">
        <v>152</v>
      </c>
      <c r="AM39" s="15" t="s">
        <v>93</v>
      </c>
      <c r="AN39" s="15" t="s">
        <v>74</v>
      </c>
      <c r="AO39" s="15"/>
      <c r="AP39" s="15"/>
      <c r="AQ39" s="15"/>
      <c r="AR39" s="15"/>
      <c r="AS39" s="333"/>
      <c r="AT39" s="333"/>
      <c r="AU39" s="333"/>
      <c r="AV39" s="333"/>
      <c r="AW39" s="333"/>
      <c r="AX39" s="333"/>
      <c r="AY39" s="333"/>
      <c r="AZ39" s="333"/>
      <c r="BD39" s="399">
        <v>36</v>
      </c>
      <c r="BE39" s="399" t="s">
        <v>526</v>
      </c>
      <c r="BF39" s="251" t="s">
        <v>527</v>
      </c>
      <c r="BG39" s="399" t="s">
        <v>405</v>
      </c>
      <c r="BH39" s="252" t="s">
        <v>528</v>
      </c>
      <c r="BI39" s="251" t="s">
        <v>529</v>
      </c>
      <c r="BJ39" s="251" t="s">
        <v>530</v>
      </c>
      <c r="BK39" s="251" t="s">
        <v>531</v>
      </c>
      <c r="BL39" s="251" t="s">
        <v>409</v>
      </c>
      <c r="BQ39" s="27" t="s">
        <v>7565</v>
      </c>
      <c r="BR39" s="27" t="s">
        <v>7566</v>
      </c>
    </row>
    <row r="40" spans="2:70" ht="15">
      <c r="B40" s="428" t="s">
        <v>9163</v>
      </c>
      <c r="C40" s="333"/>
      <c r="D40" s="420" t="s">
        <v>9257</v>
      </c>
      <c r="E40" s="420" t="s">
        <v>9912</v>
      </c>
      <c r="F40" s="420" t="s">
        <v>9888</v>
      </c>
      <c r="G40" s="429" t="s">
        <v>9918</v>
      </c>
      <c r="H40" s="333"/>
      <c r="I40" s="333"/>
      <c r="J40" s="333"/>
      <c r="K40" s="333"/>
      <c r="L40" s="333"/>
      <c r="M40" s="82" t="s">
        <v>295</v>
      </c>
      <c r="N40" s="82" t="s">
        <v>10068</v>
      </c>
      <c r="R40" s="27" t="s">
        <v>9682</v>
      </c>
      <c r="S40" s="391" t="s">
        <v>10143</v>
      </c>
      <c r="U40" s="26"/>
      <c r="V40" s="332" t="s">
        <v>10038</v>
      </c>
      <c r="W40" s="330"/>
      <c r="Y40" s="408" t="s">
        <v>9949</v>
      </c>
      <c r="Z40" s="286" t="s">
        <v>7218</v>
      </c>
      <c r="AB40" s="62" t="s">
        <v>245</v>
      </c>
      <c r="AC40" s="283" t="s">
        <v>7218</v>
      </c>
      <c r="AD40" s="62"/>
      <c r="AE40" s="283"/>
      <c r="AF40" s="283"/>
      <c r="AJ40" s="333"/>
      <c r="AK40" s="15" t="s">
        <v>50</v>
      </c>
      <c r="AL40" s="15" t="s">
        <v>153</v>
      </c>
      <c r="AM40" s="15" t="s">
        <v>94</v>
      </c>
      <c r="AN40" s="15" t="s">
        <v>74</v>
      </c>
      <c r="AO40" s="15"/>
      <c r="AP40" s="15"/>
      <c r="AQ40" s="15"/>
      <c r="AR40" s="15"/>
      <c r="AS40" s="333"/>
      <c r="AT40" s="333"/>
      <c r="AU40" s="333"/>
      <c r="AV40" s="333"/>
      <c r="AW40" s="333"/>
      <c r="AX40" s="333"/>
      <c r="AY40" s="333"/>
      <c r="AZ40" s="333"/>
      <c r="BD40" s="399">
        <v>37</v>
      </c>
      <c r="BE40" s="399" t="s">
        <v>532</v>
      </c>
      <c r="BF40" s="251" t="s">
        <v>533</v>
      </c>
      <c r="BG40" s="399" t="s">
        <v>475</v>
      </c>
      <c r="BH40" s="252" t="s">
        <v>534</v>
      </c>
      <c r="BI40" s="251" t="s">
        <v>535</v>
      </c>
      <c r="BJ40" s="251" t="s">
        <v>413</v>
      </c>
      <c r="BK40" s="251" t="s">
        <v>536</v>
      </c>
      <c r="BL40" s="251" t="s">
        <v>479</v>
      </c>
      <c r="BQ40" s="27" t="s">
        <v>7567</v>
      </c>
      <c r="BR40" s="27" t="s">
        <v>7568</v>
      </c>
    </row>
    <row r="41" spans="2:70" ht="15">
      <c r="B41" s="428" t="s">
        <v>9194</v>
      </c>
      <c r="C41" s="333"/>
      <c r="D41" s="420" t="s">
        <v>9257</v>
      </c>
      <c r="E41" s="420" t="s">
        <v>9912</v>
      </c>
      <c r="F41" s="420" t="s">
        <v>9884</v>
      </c>
      <c r="G41" s="429" t="s">
        <v>9919</v>
      </c>
      <c r="H41" s="333"/>
      <c r="I41" s="333"/>
      <c r="J41" s="333"/>
      <c r="K41" s="333"/>
      <c r="L41" s="333"/>
      <c r="M41" s="82" t="s">
        <v>296</v>
      </c>
      <c r="N41" s="82" t="s">
        <v>9996</v>
      </c>
      <c r="R41" s="403" t="s">
        <v>9728</v>
      </c>
      <c r="S41" s="391" t="s">
        <v>10147</v>
      </c>
      <c r="U41" s="26"/>
      <c r="V41" s="332" t="s">
        <v>10041</v>
      </c>
      <c r="W41" s="27" t="s">
        <v>10040</v>
      </c>
      <c r="Y41" s="409" t="s">
        <v>9975</v>
      </c>
      <c r="Z41" s="383"/>
      <c r="AB41" s="62" t="s">
        <v>244</v>
      </c>
      <c r="AC41" s="283" t="s">
        <v>7218</v>
      </c>
      <c r="AD41" s="283"/>
      <c r="AE41" s="62"/>
      <c r="AF41" s="62"/>
      <c r="AJ41" s="333"/>
      <c r="AK41" s="15" t="s">
        <v>50</v>
      </c>
      <c r="AL41" s="15" t="s">
        <v>154</v>
      </c>
      <c r="AM41" s="15" t="s">
        <v>95</v>
      </c>
      <c r="AN41" s="15" t="s">
        <v>74</v>
      </c>
      <c r="AO41" s="15"/>
      <c r="AP41" s="15"/>
      <c r="AQ41" s="15"/>
      <c r="AR41" s="15"/>
      <c r="AS41" s="333"/>
      <c r="AT41" s="333"/>
      <c r="AU41" s="333"/>
      <c r="AV41" s="333"/>
      <c r="AW41" s="333"/>
      <c r="AX41" s="333"/>
      <c r="AY41" s="333"/>
      <c r="AZ41" s="333"/>
      <c r="BD41" s="399">
        <v>38</v>
      </c>
      <c r="BE41" s="399" t="s">
        <v>537</v>
      </c>
      <c r="BF41" s="251" t="s">
        <v>538</v>
      </c>
      <c r="BG41" s="399" t="s">
        <v>349</v>
      </c>
      <c r="BH41" s="252">
        <v>17</v>
      </c>
      <c r="BI41" s="251" t="s">
        <v>365</v>
      </c>
      <c r="BJ41" s="251" t="s">
        <v>539</v>
      </c>
      <c r="BK41" s="251" t="s">
        <v>540</v>
      </c>
      <c r="BL41" s="251" t="s">
        <v>353</v>
      </c>
      <c r="BQ41" s="27" t="s">
        <v>7569</v>
      </c>
      <c r="BR41" s="27" t="s">
        <v>7570</v>
      </c>
    </row>
    <row r="42" spans="2:70" ht="15">
      <c r="B42" s="428" t="s">
        <v>9262</v>
      </c>
      <c r="C42" s="333"/>
      <c r="D42" s="420" t="s">
        <v>9257</v>
      </c>
      <c r="E42" s="420" t="s">
        <v>9912</v>
      </c>
      <c r="F42" s="420" t="s">
        <v>9889</v>
      </c>
      <c r="G42" s="429" t="s">
        <v>9920</v>
      </c>
      <c r="H42" s="333"/>
      <c r="I42" s="333"/>
      <c r="J42" s="333"/>
      <c r="K42" s="333"/>
      <c r="L42" s="333"/>
      <c r="M42" s="82" t="s">
        <v>297</v>
      </c>
      <c r="N42" s="82" t="s">
        <v>10070</v>
      </c>
      <c r="R42" s="403" t="s">
        <v>9727</v>
      </c>
      <c r="S42" s="391" t="s">
        <v>10029</v>
      </c>
      <c r="U42" s="26"/>
      <c r="V42" s="332" t="s">
        <v>10039</v>
      </c>
      <c r="W42" s="27" t="s">
        <v>10037</v>
      </c>
      <c r="Y42" s="62" t="s">
        <v>283</v>
      </c>
      <c r="Z42" s="62" t="s">
        <v>7052</v>
      </c>
      <c r="AB42" s="62" t="s">
        <v>254</v>
      </c>
      <c r="AC42" s="283" t="s">
        <v>7218</v>
      </c>
      <c r="AD42" s="383"/>
      <c r="AE42" s="384"/>
      <c r="AF42" s="384"/>
      <c r="AJ42" s="333"/>
      <c r="AK42" s="15" t="s">
        <v>50</v>
      </c>
      <c r="AL42" s="15" t="s">
        <v>155</v>
      </c>
      <c r="AM42" s="15" t="s">
        <v>96</v>
      </c>
      <c r="AN42" s="15" t="s">
        <v>74</v>
      </c>
      <c r="AO42" s="15"/>
      <c r="AP42" s="15"/>
      <c r="AQ42" s="15"/>
      <c r="AR42" s="15"/>
      <c r="AS42" s="333"/>
      <c r="AT42" s="333"/>
      <c r="AU42" s="333"/>
      <c r="AV42" s="333"/>
      <c r="AW42" s="333"/>
      <c r="AX42" s="333"/>
      <c r="AY42" s="333"/>
      <c r="AZ42" s="333"/>
      <c r="BD42" s="399">
        <v>39</v>
      </c>
      <c r="BE42" s="399" t="s">
        <v>541</v>
      </c>
      <c r="BF42" s="251" t="s">
        <v>542</v>
      </c>
      <c r="BG42" s="399" t="s">
        <v>449</v>
      </c>
      <c r="BH42" s="252">
        <v>43</v>
      </c>
      <c r="BI42" s="251" t="s">
        <v>350</v>
      </c>
      <c r="BJ42" s="251" t="s">
        <v>351</v>
      </c>
      <c r="BK42" s="251" t="s">
        <v>543</v>
      </c>
      <c r="BL42" s="251" t="s">
        <v>452</v>
      </c>
      <c r="BQ42" s="27" t="s">
        <v>7571</v>
      </c>
      <c r="BR42" s="27" t="s">
        <v>7572</v>
      </c>
    </row>
    <row r="43" spans="2:70" ht="15">
      <c r="B43" s="428" t="s">
        <v>9258</v>
      </c>
      <c r="C43" s="333"/>
      <c r="D43" s="420" t="s">
        <v>9257</v>
      </c>
      <c r="E43" s="420" t="s">
        <v>9912</v>
      </c>
      <c r="F43" s="420" t="s">
        <v>9883</v>
      </c>
      <c r="G43" s="429" t="s">
        <v>9921</v>
      </c>
      <c r="H43" s="333"/>
      <c r="I43" s="333"/>
      <c r="J43" s="333"/>
      <c r="K43" s="333"/>
      <c r="L43" s="333"/>
      <c r="M43" s="82" t="s">
        <v>260</v>
      </c>
      <c r="N43" s="82"/>
      <c r="R43" s="403" t="s">
        <v>9726</v>
      </c>
      <c r="S43" s="391" t="s">
        <v>10145</v>
      </c>
      <c r="U43" s="26"/>
      <c r="V43" s="332" t="s">
        <v>9966</v>
      </c>
      <c r="W43" s="330" t="s">
        <v>10034</v>
      </c>
      <c r="Y43" s="383"/>
      <c r="Z43" s="383"/>
      <c r="AB43" s="383" t="s">
        <v>249</v>
      </c>
      <c r="AC43" s="284" t="s">
        <v>7218</v>
      </c>
      <c r="AD43" s="383"/>
      <c r="AE43" s="62"/>
      <c r="AF43" s="62"/>
      <c r="AJ43" s="333"/>
      <c r="AK43" s="15" t="s">
        <v>50</v>
      </c>
      <c r="AL43" s="15" t="s">
        <v>156</v>
      </c>
      <c r="AM43" s="15" t="s">
        <v>97</v>
      </c>
      <c r="AN43" s="15" t="s">
        <v>74</v>
      </c>
      <c r="AO43" s="15"/>
      <c r="AP43" s="15"/>
      <c r="AQ43" s="15"/>
      <c r="AR43" s="15"/>
      <c r="AS43" s="333"/>
      <c r="AT43" s="333"/>
      <c r="AU43" s="333"/>
      <c r="AV43" s="333"/>
      <c r="AW43" s="333"/>
      <c r="AX43" s="333"/>
      <c r="AY43" s="333"/>
      <c r="AZ43" s="333"/>
      <c r="BD43" s="399">
        <v>40</v>
      </c>
      <c r="BE43" s="399" t="s">
        <v>544</v>
      </c>
      <c r="BF43" s="251" t="s">
        <v>545</v>
      </c>
      <c r="BG43" s="399" t="s">
        <v>423</v>
      </c>
      <c r="BH43" s="252" t="s">
        <v>424</v>
      </c>
      <c r="BI43" s="251" t="s">
        <v>334</v>
      </c>
      <c r="BJ43" s="251" t="s">
        <v>380</v>
      </c>
      <c r="BK43" s="251" t="s">
        <v>546</v>
      </c>
      <c r="BL43" s="251" t="s">
        <v>426</v>
      </c>
      <c r="BQ43" s="27" t="s">
        <v>7573</v>
      </c>
      <c r="BR43" s="27" t="s">
        <v>7574</v>
      </c>
    </row>
    <row r="44" spans="2:70" ht="15">
      <c r="B44" s="428" t="s">
        <v>9255</v>
      </c>
      <c r="C44" s="333"/>
      <c r="D44" s="420" t="s">
        <v>9257</v>
      </c>
      <c r="E44" s="420" t="s">
        <v>9912</v>
      </c>
      <c r="F44" s="420" t="s">
        <v>9885</v>
      </c>
      <c r="G44" s="429" t="s">
        <v>9922</v>
      </c>
      <c r="H44" s="333"/>
      <c r="I44" s="333"/>
      <c r="J44" s="333"/>
      <c r="K44" s="333"/>
      <c r="L44" s="333"/>
      <c r="M44" s="82" t="s">
        <v>262</v>
      </c>
      <c r="N44" s="82"/>
      <c r="R44" s="27" t="s">
        <v>9632</v>
      </c>
      <c r="S44" s="391" t="s">
        <v>10028</v>
      </c>
      <c r="U44" s="26"/>
      <c r="V44" s="332" t="s">
        <v>9967</v>
      </c>
      <c r="W44" s="330" t="s">
        <v>10035</v>
      </c>
      <c r="AB44" s="384" t="s">
        <v>9099</v>
      </c>
      <c r="AC44" s="385" t="s">
        <v>9100</v>
      </c>
      <c r="AD44" s="383"/>
      <c r="AE44" s="62"/>
      <c r="AF44" s="62"/>
      <c r="AJ44" s="110"/>
      <c r="AK44" s="15" t="s">
        <v>50</v>
      </c>
      <c r="AL44" s="15" t="s">
        <v>157</v>
      </c>
      <c r="AM44" s="15" t="s">
        <v>98</v>
      </c>
      <c r="AN44" s="15" t="s">
        <v>74</v>
      </c>
      <c r="AO44" s="15"/>
      <c r="AP44" s="15"/>
      <c r="AQ44" s="15"/>
      <c r="AR44" s="15"/>
      <c r="AS44" s="333"/>
      <c r="AT44" s="333"/>
      <c r="AU44" s="333"/>
      <c r="AV44" s="333"/>
      <c r="AW44" s="333"/>
      <c r="AX44" s="333"/>
      <c r="AY44" s="333"/>
      <c r="AZ44" s="333"/>
      <c r="BD44" s="399">
        <v>41</v>
      </c>
      <c r="BE44" s="399" t="s">
        <v>547</v>
      </c>
      <c r="BF44" s="251" t="s">
        <v>548</v>
      </c>
      <c r="BG44" s="399" t="s">
        <v>549</v>
      </c>
      <c r="BH44" s="252">
        <v>41</v>
      </c>
      <c r="BI44" s="251" t="s">
        <v>350</v>
      </c>
      <c r="BJ44" s="251" t="s">
        <v>351</v>
      </c>
      <c r="BK44" s="251" t="s">
        <v>550</v>
      </c>
      <c r="BL44" s="251" t="s">
        <v>551</v>
      </c>
      <c r="BQ44" s="27" t="s">
        <v>7575</v>
      </c>
      <c r="BR44" s="27" t="s">
        <v>7350</v>
      </c>
    </row>
    <row r="45" spans="2:70" ht="15">
      <c r="B45" s="428" t="s">
        <v>9250</v>
      </c>
      <c r="C45" s="333"/>
      <c r="D45" s="420" t="s">
        <v>9257</v>
      </c>
      <c r="E45" s="420" t="s">
        <v>9912</v>
      </c>
      <c r="F45" s="420" t="s">
        <v>9892</v>
      </c>
      <c r="G45" s="429" t="s">
        <v>9923</v>
      </c>
      <c r="H45" s="333"/>
      <c r="I45" s="333"/>
      <c r="J45" s="333"/>
      <c r="K45" s="333"/>
      <c r="L45" s="333"/>
      <c r="M45" s="82" t="s">
        <v>261</v>
      </c>
      <c r="N45" s="82"/>
      <c r="R45" s="27" t="s">
        <v>10148</v>
      </c>
      <c r="S45" s="391" t="s">
        <v>10144</v>
      </c>
      <c r="U45" s="26"/>
      <c r="V45" s="332" t="s">
        <v>9953</v>
      </c>
      <c r="W45" s="330"/>
      <c r="AB45" s="383" t="s">
        <v>9097</v>
      </c>
      <c r="AC45" s="284" t="s">
        <v>7218</v>
      </c>
      <c r="AD45" s="62"/>
      <c r="AE45" s="283"/>
      <c r="AF45" s="283"/>
      <c r="AJ45" s="110"/>
      <c r="AK45" s="15" t="s">
        <v>50</v>
      </c>
      <c r="AL45" s="15" t="s">
        <v>158</v>
      </c>
      <c r="AM45" s="15" t="s">
        <v>99</v>
      </c>
      <c r="AN45" s="15" t="s">
        <v>74</v>
      </c>
      <c r="AO45" s="15"/>
      <c r="AP45" s="15"/>
      <c r="AQ45" s="15"/>
      <c r="AR45" s="15"/>
      <c r="AS45" s="333"/>
      <c r="AT45" s="333"/>
      <c r="AU45" s="333"/>
      <c r="AV45" s="333"/>
      <c r="AW45" s="333"/>
      <c r="AX45" s="333"/>
      <c r="AY45" s="333"/>
      <c r="AZ45" s="333"/>
      <c r="BD45" s="399">
        <v>42</v>
      </c>
      <c r="BE45" s="399" t="s">
        <v>552</v>
      </c>
      <c r="BF45" s="251" t="s">
        <v>553</v>
      </c>
      <c r="BG45" s="399" t="s">
        <v>449</v>
      </c>
      <c r="BH45" s="252">
        <v>43</v>
      </c>
      <c r="BI45" s="251" t="s">
        <v>379</v>
      </c>
      <c r="BJ45" s="251" t="s">
        <v>380</v>
      </c>
      <c r="BK45" s="251" t="s">
        <v>554</v>
      </c>
      <c r="BL45" s="251" t="s">
        <v>452</v>
      </c>
      <c r="BQ45" s="27" t="s">
        <v>7576</v>
      </c>
      <c r="BR45" s="27" t="s">
        <v>7577</v>
      </c>
    </row>
    <row r="46" spans="2:70" ht="15">
      <c r="B46" s="428" t="s">
        <v>9248</v>
      </c>
      <c r="C46" s="333"/>
      <c r="D46" s="420" t="s">
        <v>9257</v>
      </c>
      <c r="E46" s="420" t="s">
        <v>9912</v>
      </c>
      <c r="F46" s="420" t="s">
        <v>9890</v>
      </c>
      <c r="G46" s="429" t="s">
        <v>9924</v>
      </c>
      <c r="H46" s="333"/>
      <c r="I46" s="333"/>
      <c r="J46" s="333"/>
      <c r="K46" s="333"/>
      <c r="L46" s="333"/>
      <c r="R46" s="27" t="s">
        <v>9731</v>
      </c>
      <c r="S46" s="391" t="s">
        <v>10149</v>
      </c>
      <c r="U46" s="26"/>
      <c r="V46" s="331" t="s">
        <v>9976</v>
      </c>
      <c r="W46" s="330"/>
      <c r="AB46" s="384" t="s">
        <v>9098</v>
      </c>
      <c r="AC46" s="285" t="s">
        <v>7218</v>
      </c>
      <c r="AD46" s="383"/>
      <c r="AE46" s="383"/>
      <c r="AF46" s="383"/>
      <c r="AJ46" s="110"/>
      <c r="AK46" s="15" t="s">
        <v>50</v>
      </c>
      <c r="AL46" s="15" t="s">
        <v>159</v>
      </c>
      <c r="AM46" s="15" t="s">
        <v>100</v>
      </c>
      <c r="AN46" s="15" t="s">
        <v>74</v>
      </c>
      <c r="AO46" s="15"/>
      <c r="AP46" s="15"/>
      <c r="AQ46" s="15"/>
      <c r="AR46" s="15"/>
      <c r="AS46" s="333"/>
      <c r="AT46" s="333"/>
      <c r="AU46" s="333"/>
      <c r="AV46" s="333"/>
      <c r="AW46" s="333"/>
      <c r="AX46" s="333"/>
      <c r="AY46" s="333"/>
      <c r="AZ46" s="333"/>
      <c r="BD46" s="399">
        <v>43</v>
      </c>
      <c r="BE46" s="399" t="s">
        <v>555</v>
      </c>
      <c r="BF46" s="251" t="s">
        <v>556</v>
      </c>
      <c r="BG46" s="399" t="s">
        <v>475</v>
      </c>
      <c r="BH46" s="252" t="s">
        <v>476</v>
      </c>
      <c r="BI46" s="251" t="s">
        <v>357</v>
      </c>
      <c r="BJ46" s="251" t="s">
        <v>413</v>
      </c>
      <c r="BK46" s="251" t="s">
        <v>557</v>
      </c>
      <c r="BL46" s="251" t="s">
        <v>479</v>
      </c>
      <c r="BQ46" s="27" t="s">
        <v>7578</v>
      </c>
      <c r="BR46" s="27" t="s">
        <v>7403</v>
      </c>
    </row>
    <row r="47" spans="2:70" ht="15">
      <c r="B47" s="428" t="s">
        <v>9246</v>
      </c>
      <c r="C47" s="333"/>
      <c r="D47" s="420" t="s">
        <v>9257</v>
      </c>
      <c r="E47" s="420" t="s">
        <v>9912</v>
      </c>
      <c r="F47" s="420" t="s">
        <v>9931</v>
      </c>
      <c r="G47" s="429" t="s">
        <v>9930</v>
      </c>
      <c r="H47" s="333"/>
      <c r="I47" s="333"/>
      <c r="J47" s="333"/>
      <c r="K47" s="333"/>
      <c r="L47" s="333"/>
      <c r="R47" s="403" t="s">
        <v>9729</v>
      </c>
      <c r="S47" s="391" t="s">
        <v>10142</v>
      </c>
      <c r="U47" s="26"/>
      <c r="V47" s="332" t="s">
        <v>9952</v>
      </c>
      <c r="W47" s="330" t="s">
        <v>10033</v>
      </c>
      <c r="AB47" s="383" t="s">
        <v>250</v>
      </c>
      <c r="AC47" s="383" t="s">
        <v>7033</v>
      </c>
      <c r="AD47" s="383"/>
      <c r="AE47" s="383"/>
      <c r="AF47" s="383"/>
      <c r="AK47" s="15" t="s">
        <v>50</v>
      </c>
      <c r="AL47" s="15" t="s">
        <v>160</v>
      </c>
      <c r="AM47" s="15" t="s">
        <v>101</v>
      </c>
      <c r="AN47" s="15" t="s">
        <v>74</v>
      </c>
      <c r="AO47" s="15"/>
      <c r="AP47" s="15"/>
      <c r="AQ47" s="15"/>
      <c r="AR47" s="15"/>
      <c r="AS47" s="333"/>
      <c r="AT47" s="333"/>
      <c r="AU47" s="333"/>
      <c r="AV47" s="333"/>
      <c r="AW47" s="333"/>
      <c r="AX47" s="333"/>
      <c r="AY47" s="333"/>
      <c r="AZ47" s="333"/>
      <c r="BD47" s="399">
        <v>44</v>
      </c>
      <c r="BE47" s="399" t="s">
        <v>558</v>
      </c>
      <c r="BF47" s="251" t="s">
        <v>559</v>
      </c>
      <c r="BG47" s="399" t="s">
        <v>363</v>
      </c>
      <c r="BH47" s="252" t="s">
        <v>364</v>
      </c>
      <c r="BI47" s="251" t="s">
        <v>477</v>
      </c>
      <c r="BJ47" s="251" t="s">
        <v>539</v>
      </c>
      <c r="BK47" s="251" t="s">
        <v>560</v>
      </c>
      <c r="BL47" s="251" t="s">
        <v>368</v>
      </c>
      <c r="BQ47" s="27" t="s">
        <v>7579</v>
      </c>
      <c r="BR47" s="27" t="s">
        <v>7580</v>
      </c>
    </row>
    <row r="48" spans="2:70" ht="15">
      <c r="B48" s="428" t="s">
        <v>9175</v>
      </c>
      <c r="C48" s="333"/>
      <c r="D48" s="420" t="s">
        <v>9257</v>
      </c>
      <c r="E48" s="420" t="s">
        <v>9912</v>
      </c>
      <c r="F48" s="420" t="s">
        <v>9891</v>
      </c>
      <c r="G48" s="429" t="s">
        <v>9929</v>
      </c>
      <c r="H48" s="333"/>
      <c r="I48" s="333"/>
      <c r="J48" s="333"/>
      <c r="K48" s="333"/>
      <c r="L48" s="333"/>
      <c r="R48" s="403" t="s">
        <v>9730</v>
      </c>
      <c r="S48" s="391" t="s">
        <v>10146</v>
      </c>
      <c r="U48" s="26"/>
      <c r="V48" s="332" t="s">
        <v>9959</v>
      </c>
      <c r="W48" s="330" t="s">
        <v>10032</v>
      </c>
      <c r="AB48" s="383" t="s">
        <v>7249</v>
      </c>
      <c r="AC48" s="354" t="s">
        <v>7244</v>
      </c>
      <c r="AD48" s="383"/>
      <c r="AE48" s="383"/>
      <c r="AF48" s="383"/>
      <c r="AK48" s="15" t="s">
        <v>50</v>
      </c>
      <c r="AL48" s="15" t="s">
        <v>161</v>
      </c>
      <c r="AM48" s="15" t="s">
        <v>102</v>
      </c>
      <c r="AN48" s="15" t="s">
        <v>74</v>
      </c>
      <c r="AO48" s="15"/>
      <c r="AP48" s="15"/>
      <c r="AQ48" s="15"/>
      <c r="AR48" s="15"/>
      <c r="AS48" s="333"/>
      <c r="AT48" s="333"/>
      <c r="AU48" s="333"/>
      <c r="AV48" s="333"/>
      <c r="AW48" s="333"/>
      <c r="AX48" s="333"/>
      <c r="AY48" s="333"/>
      <c r="AZ48" s="333"/>
      <c r="BD48" s="399">
        <v>45</v>
      </c>
      <c r="BE48" s="399" t="s">
        <v>561</v>
      </c>
      <c r="BF48" s="251" t="s">
        <v>562</v>
      </c>
      <c r="BG48" s="399" t="s">
        <v>395</v>
      </c>
      <c r="BH48" s="252">
        <v>16</v>
      </c>
      <c r="BI48" s="251" t="s">
        <v>563</v>
      </c>
      <c r="BJ48" s="251" t="s">
        <v>351</v>
      </c>
      <c r="BK48" s="251" t="s">
        <v>564</v>
      </c>
      <c r="BL48" s="251" t="s">
        <v>399</v>
      </c>
      <c r="BQ48" s="27" t="s">
        <v>7581</v>
      </c>
      <c r="BR48" s="27" t="s">
        <v>7302</v>
      </c>
    </row>
    <row r="49" spans="2:70" ht="15">
      <c r="B49" s="428" t="s">
        <v>9828</v>
      </c>
      <c r="C49" s="333"/>
      <c r="D49" s="420" t="s">
        <v>9257</v>
      </c>
      <c r="E49" s="420" t="s">
        <v>9912</v>
      </c>
      <c r="F49" s="420" t="s">
        <v>9881</v>
      </c>
      <c r="G49" s="429" t="s">
        <v>9925</v>
      </c>
      <c r="H49" s="333"/>
      <c r="I49" s="333"/>
      <c r="J49" s="333"/>
      <c r="K49" s="333"/>
      <c r="L49" s="333"/>
      <c r="R49" s="251"/>
      <c r="S49" s="392"/>
      <c r="U49" s="26"/>
      <c r="V49" s="332" t="s">
        <v>9960</v>
      </c>
      <c r="W49" s="330"/>
      <c r="AB49" s="383" t="s">
        <v>7237</v>
      </c>
      <c r="AC49" s="383" t="s">
        <v>7236</v>
      </c>
      <c r="AD49" s="383"/>
      <c r="AE49" s="62"/>
      <c r="AF49" s="62"/>
      <c r="AK49" s="15" t="s">
        <v>50</v>
      </c>
      <c r="AL49" s="15" t="s">
        <v>162</v>
      </c>
      <c r="AM49" s="15" t="s">
        <v>103</v>
      </c>
      <c r="AN49" s="15" t="s">
        <v>74</v>
      </c>
      <c r="AO49" s="15"/>
      <c r="AP49" s="15"/>
      <c r="AQ49" s="15"/>
      <c r="AR49" s="15"/>
      <c r="AS49" s="333"/>
      <c r="AT49" s="333"/>
      <c r="AU49" s="333"/>
      <c r="AV49" s="333"/>
      <c r="AW49" s="333"/>
      <c r="AX49" s="333"/>
      <c r="AY49" s="333"/>
      <c r="AZ49" s="333"/>
      <c r="BD49" s="399">
        <v>46</v>
      </c>
      <c r="BE49" s="399" t="s">
        <v>565</v>
      </c>
      <c r="BF49" s="251" t="s">
        <v>134</v>
      </c>
      <c r="BG49" s="399" t="s">
        <v>566</v>
      </c>
      <c r="BH49" s="252" t="s">
        <v>567</v>
      </c>
      <c r="BI49" s="251" t="s">
        <v>333</v>
      </c>
      <c r="BJ49" s="251" t="s">
        <v>366</v>
      </c>
      <c r="BK49" s="251" t="s">
        <v>568</v>
      </c>
      <c r="BL49" s="251" t="s">
        <v>569</v>
      </c>
      <c r="BQ49" s="27" t="s">
        <v>7582</v>
      </c>
      <c r="BR49" s="27" t="s">
        <v>7583</v>
      </c>
    </row>
    <row r="50" spans="2:70" ht="15">
      <c r="B50" s="428" t="s">
        <v>9192</v>
      </c>
      <c r="C50" s="333"/>
      <c r="D50" s="420" t="s">
        <v>9257</v>
      </c>
      <c r="E50" s="420" t="s">
        <v>9912</v>
      </c>
      <c r="F50" s="420" t="s">
        <v>9273</v>
      </c>
      <c r="G50" s="429" t="s">
        <v>9926</v>
      </c>
      <c r="H50" s="333"/>
      <c r="I50" s="333"/>
      <c r="J50" s="333"/>
      <c r="K50" s="333"/>
      <c r="L50" s="333"/>
      <c r="R50" s="251"/>
      <c r="S50" s="251"/>
      <c r="U50" s="26"/>
      <c r="V50" s="332" t="s">
        <v>9977</v>
      </c>
      <c r="W50" s="330"/>
      <c r="AB50" s="383" t="s">
        <v>252</v>
      </c>
      <c r="AC50" s="383" t="s">
        <v>7037</v>
      </c>
      <c r="AD50" s="383"/>
      <c r="AE50" s="383"/>
      <c r="AF50" s="383"/>
      <c r="AK50" s="15" t="s">
        <v>50</v>
      </c>
      <c r="AL50" s="15" t="s">
        <v>163</v>
      </c>
      <c r="AM50" s="15" t="s">
        <v>104</v>
      </c>
      <c r="AN50" s="15" t="s">
        <v>74</v>
      </c>
      <c r="AO50" s="15"/>
      <c r="AP50" s="15"/>
      <c r="AQ50" s="15"/>
      <c r="AR50" s="15"/>
      <c r="AS50" s="333"/>
      <c r="AT50" s="333"/>
      <c r="AU50" s="333"/>
      <c r="AV50" s="333"/>
      <c r="AW50" s="333"/>
      <c r="AX50" s="333"/>
      <c r="AY50" s="333"/>
      <c r="AZ50" s="333"/>
      <c r="BD50" s="399">
        <v>47</v>
      </c>
      <c r="BE50" s="399" t="s">
        <v>570</v>
      </c>
      <c r="BF50" s="251" t="s">
        <v>571</v>
      </c>
      <c r="BG50" s="399" t="s">
        <v>455</v>
      </c>
      <c r="BH50" s="252">
        <v>35</v>
      </c>
      <c r="BI50" s="251" t="s">
        <v>357</v>
      </c>
      <c r="BJ50" s="251" t="s">
        <v>413</v>
      </c>
      <c r="BK50" s="251" t="s">
        <v>572</v>
      </c>
      <c r="BL50" s="251" t="s">
        <v>458</v>
      </c>
      <c r="BQ50" s="27" t="s">
        <v>7584</v>
      </c>
      <c r="BR50" s="27" t="s">
        <v>7585</v>
      </c>
    </row>
    <row r="51" spans="2:70" ht="17">
      <c r="B51" s="428" t="s">
        <v>9773</v>
      </c>
      <c r="C51" s="333"/>
      <c r="D51" s="420" t="s">
        <v>9257</v>
      </c>
      <c r="E51" s="420" t="s">
        <v>9912</v>
      </c>
      <c r="F51" s="420" t="s">
        <v>9887</v>
      </c>
      <c r="G51" s="429" t="s">
        <v>9927</v>
      </c>
      <c r="H51" s="333"/>
      <c r="I51" s="333"/>
      <c r="J51" s="333"/>
      <c r="K51" s="333"/>
      <c r="L51" s="333"/>
      <c r="M51" s="522" t="s">
        <v>10003</v>
      </c>
      <c r="N51" s="522"/>
      <c r="O51" s="522"/>
      <c r="R51" s="251"/>
      <c r="S51" s="251"/>
      <c r="U51" s="26"/>
      <c r="V51" s="331" t="s">
        <v>9961</v>
      </c>
      <c r="W51" s="330"/>
      <c r="AB51" s="383" t="s">
        <v>248</v>
      </c>
      <c r="AC51" s="284" t="s">
        <v>7233</v>
      </c>
      <c r="AD51" s="383"/>
      <c r="AE51" s="383"/>
      <c r="AF51" s="383"/>
      <c r="AK51" s="15" t="s">
        <v>50</v>
      </c>
      <c r="AL51" s="15" t="s">
        <v>164</v>
      </c>
      <c r="AM51" s="15" t="s">
        <v>105</v>
      </c>
      <c r="AN51" s="15" t="s">
        <v>74</v>
      </c>
      <c r="AO51" s="15"/>
      <c r="AP51" s="15"/>
      <c r="AQ51" s="15"/>
      <c r="AR51" s="15"/>
      <c r="AS51" s="333"/>
      <c r="AT51" s="333"/>
      <c r="AU51" s="333"/>
      <c r="AV51" s="333"/>
      <c r="AW51" s="333"/>
      <c r="AX51" s="333"/>
      <c r="AY51" s="333"/>
      <c r="AZ51" s="333"/>
      <c r="BD51" s="399">
        <v>48</v>
      </c>
      <c r="BE51" s="399" t="s">
        <v>573</v>
      </c>
      <c r="BF51" s="251" t="s">
        <v>574</v>
      </c>
      <c r="BG51" s="399" t="s">
        <v>363</v>
      </c>
      <c r="BH51" s="252" t="s">
        <v>575</v>
      </c>
      <c r="BI51" s="251" t="s">
        <v>563</v>
      </c>
      <c r="BJ51" s="251" t="s">
        <v>539</v>
      </c>
      <c r="BK51" s="251" t="s">
        <v>576</v>
      </c>
      <c r="BL51" s="251" t="s">
        <v>368</v>
      </c>
      <c r="BQ51" s="27" t="s">
        <v>7586</v>
      </c>
      <c r="BR51" s="27" t="s">
        <v>7587</v>
      </c>
    </row>
    <row r="52" spans="2:70" ht="15">
      <c r="B52" s="428" t="s">
        <v>9199</v>
      </c>
      <c r="C52" s="333"/>
      <c r="D52" s="251" t="s">
        <v>9257</v>
      </c>
      <c r="E52" s="251" t="s">
        <v>9262</v>
      </c>
      <c r="F52" s="251" t="s">
        <v>9272</v>
      </c>
      <c r="G52" s="402" t="s">
        <v>9392</v>
      </c>
      <c r="H52" s="333"/>
      <c r="I52" s="333"/>
      <c r="J52" s="333"/>
      <c r="K52" s="333"/>
      <c r="L52" s="333"/>
      <c r="M52" s="80" t="s">
        <v>211</v>
      </c>
      <c r="N52" s="27" t="s">
        <v>196</v>
      </c>
      <c r="O52" s="27" t="s">
        <v>9550</v>
      </c>
      <c r="R52" s="251"/>
      <c r="S52" s="251"/>
      <c r="U52" s="26"/>
      <c r="V52" s="331" t="s">
        <v>9957</v>
      </c>
      <c r="W52" s="330"/>
      <c r="AB52" s="383" t="s">
        <v>251</v>
      </c>
      <c r="AC52" s="383" t="s">
        <v>7035</v>
      </c>
      <c r="AD52" s="383"/>
      <c r="AE52" s="383"/>
      <c r="AF52" s="383"/>
      <c r="AK52" s="15" t="s">
        <v>50</v>
      </c>
      <c r="AL52" s="15" t="s">
        <v>165</v>
      </c>
      <c r="AM52" s="15" t="s">
        <v>106</v>
      </c>
      <c r="AN52" s="15" t="s">
        <v>74</v>
      </c>
      <c r="AO52" s="15"/>
      <c r="AP52" s="15"/>
      <c r="AQ52" s="15"/>
      <c r="AR52" s="15"/>
      <c r="AS52" s="333"/>
      <c r="AT52" s="333"/>
      <c r="AU52" s="333"/>
      <c r="AV52" s="333"/>
      <c r="AW52" s="333"/>
      <c r="AX52" s="333"/>
      <c r="AY52" s="333"/>
      <c r="AZ52" s="333"/>
      <c r="BD52" s="399">
        <v>49</v>
      </c>
      <c r="BE52" s="399" t="s">
        <v>577</v>
      </c>
      <c r="BF52" s="251" t="s">
        <v>578</v>
      </c>
      <c r="BG52" s="399" t="s">
        <v>469</v>
      </c>
      <c r="BH52" s="252" t="s">
        <v>470</v>
      </c>
      <c r="BI52" s="251" t="s">
        <v>579</v>
      </c>
      <c r="BJ52" s="251" t="s">
        <v>380</v>
      </c>
      <c r="BK52" s="251" t="s">
        <v>580</v>
      </c>
      <c r="BL52" s="251" t="s">
        <v>472</v>
      </c>
      <c r="BQ52" s="27" t="s">
        <v>7588</v>
      </c>
      <c r="BR52" s="27" t="s">
        <v>7375</v>
      </c>
    </row>
    <row r="53" spans="2:70" ht="15">
      <c r="B53" s="428" t="s">
        <v>9228</v>
      </c>
      <c r="C53" s="333"/>
      <c r="D53" s="251" t="s">
        <v>9257</v>
      </c>
      <c r="E53" s="251" t="s">
        <v>9262</v>
      </c>
      <c r="F53" s="251" t="s">
        <v>9271</v>
      </c>
      <c r="G53" s="402" t="s">
        <v>9391</v>
      </c>
      <c r="H53" s="333"/>
      <c r="I53" s="333"/>
      <c r="J53" s="333"/>
      <c r="K53" s="333"/>
      <c r="L53" s="333"/>
      <c r="M53" s="28" t="s">
        <v>7069</v>
      </c>
      <c r="N53" s="27" t="s">
        <v>9988</v>
      </c>
      <c r="R53" s="251"/>
      <c r="S53" s="251"/>
      <c r="U53" s="26"/>
      <c r="V53" s="331" t="s">
        <v>9958</v>
      </c>
      <c r="W53" s="330"/>
      <c r="AB53" s="384" t="s">
        <v>9090</v>
      </c>
      <c r="AC53" s="384" t="s">
        <v>9091</v>
      </c>
      <c r="AD53" s="383"/>
      <c r="AE53" s="383"/>
      <c r="AF53" s="383"/>
      <c r="AJ53" s="110"/>
      <c r="AK53" s="15" t="s">
        <v>50</v>
      </c>
      <c r="AL53" s="15" t="s">
        <v>133</v>
      </c>
      <c r="AM53" s="15" t="s">
        <v>107</v>
      </c>
      <c r="AN53" s="15" t="s">
        <v>74</v>
      </c>
      <c r="AO53" s="15"/>
      <c r="AP53" s="15"/>
      <c r="AQ53" s="15"/>
      <c r="AR53" s="15"/>
      <c r="AS53" s="333"/>
      <c r="AT53" s="333"/>
      <c r="AU53" s="333"/>
      <c r="AV53" s="333"/>
      <c r="AW53" s="333"/>
      <c r="AX53" s="333"/>
      <c r="AY53" s="333"/>
      <c r="AZ53" s="333"/>
      <c r="BD53" s="399">
        <v>50</v>
      </c>
      <c r="BE53" s="399" t="s">
        <v>581</v>
      </c>
      <c r="BF53" s="251" t="s">
        <v>582</v>
      </c>
      <c r="BG53" s="399" t="s">
        <v>363</v>
      </c>
      <c r="BH53" s="252" t="s">
        <v>575</v>
      </c>
      <c r="BI53" s="251" t="s">
        <v>583</v>
      </c>
      <c r="BJ53" s="251" t="s">
        <v>413</v>
      </c>
      <c r="BK53" s="251" t="s">
        <v>584</v>
      </c>
      <c r="BL53" s="251" t="s">
        <v>368</v>
      </c>
      <c r="BQ53" s="27" t="s">
        <v>7589</v>
      </c>
      <c r="BR53" s="27" t="s">
        <v>7590</v>
      </c>
    </row>
    <row r="54" spans="2:70" ht="15">
      <c r="B54" s="428" t="s">
        <v>9203</v>
      </c>
      <c r="C54" s="333"/>
      <c r="D54" s="251" t="s">
        <v>9257</v>
      </c>
      <c r="E54" s="251" t="s">
        <v>9262</v>
      </c>
      <c r="F54" s="251" t="s">
        <v>9267</v>
      </c>
      <c r="G54" s="402" t="s">
        <v>9387</v>
      </c>
      <c r="H54" s="333"/>
      <c r="I54" s="333"/>
      <c r="J54" s="333"/>
      <c r="K54" s="333"/>
      <c r="L54" s="333"/>
      <c r="M54" s="29" t="s">
        <v>7068</v>
      </c>
      <c r="N54" s="411" t="s">
        <v>9990</v>
      </c>
      <c r="R54" s="251"/>
      <c r="S54" s="251"/>
      <c r="U54" s="26"/>
      <c r="V54" s="331" t="s">
        <v>9956</v>
      </c>
      <c r="W54" s="330"/>
      <c r="AB54" s="383" t="s">
        <v>7230</v>
      </c>
      <c r="AC54" s="354" t="s">
        <v>7231</v>
      </c>
      <c r="AD54" s="383"/>
      <c r="AE54" s="383"/>
      <c r="AF54" s="383"/>
      <c r="AJ54" s="110"/>
      <c r="AK54" s="15" t="s">
        <v>50</v>
      </c>
      <c r="AL54" s="15" t="s">
        <v>43</v>
      </c>
      <c r="AM54" s="15" t="s">
        <v>129</v>
      </c>
      <c r="AN54" s="15" t="s">
        <v>127</v>
      </c>
      <c r="AO54" s="15"/>
      <c r="AP54" s="15"/>
      <c r="AQ54" s="15"/>
      <c r="AR54" s="15"/>
      <c r="AS54" s="333"/>
      <c r="AT54" s="333"/>
      <c r="AU54" s="333"/>
      <c r="AV54" s="333"/>
      <c r="AW54" s="333"/>
      <c r="AX54" s="333"/>
      <c r="AY54" s="333"/>
      <c r="AZ54" s="333"/>
      <c r="BD54" s="399">
        <v>51</v>
      </c>
      <c r="BE54" s="399" t="s">
        <v>585</v>
      </c>
      <c r="BF54" s="251" t="s">
        <v>586</v>
      </c>
      <c r="BG54" s="399" t="s">
        <v>405</v>
      </c>
      <c r="BH54" s="252" t="s">
        <v>412</v>
      </c>
      <c r="BI54" s="251" t="s">
        <v>450</v>
      </c>
      <c r="BJ54" s="251" t="s">
        <v>407</v>
      </c>
      <c r="BK54" s="251" t="s">
        <v>587</v>
      </c>
      <c r="BL54" s="251" t="s">
        <v>409</v>
      </c>
      <c r="BQ54" s="27" t="s">
        <v>7591</v>
      </c>
      <c r="BR54" s="27" t="s">
        <v>7592</v>
      </c>
    </row>
    <row r="55" spans="2:70" ht="15">
      <c r="B55" s="428" t="s">
        <v>9672</v>
      </c>
      <c r="C55" s="333"/>
      <c r="D55" s="251" t="s">
        <v>9257</v>
      </c>
      <c r="E55" s="251" t="s">
        <v>9262</v>
      </c>
      <c r="F55" s="251" t="s">
        <v>9270</v>
      </c>
      <c r="G55" s="402" t="s">
        <v>9390</v>
      </c>
      <c r="H55" s="333"/>
      <c r="I55" s="411"/>
      <c r="J55" s="333"/>
      <c r="K55" s="333"/>
      <c r="L55" s="333"/>
      <c r="M55" s="28" t="s">
        <v>7070</v>
      </c>
      <c r="N55" s="393" t="s">
        <v>10151</v>
      </c>
      <c r="R55" s="251"/>
      <c r="S55" s="251"/>
      <c r="U55" s="26"/>
      <c r="V55" s="331" t="s">
        <v>9963</v>
      </c>
      <c r="W55" s="330" t="s">
        <v>10031</v>
      </c>
      <c r="AB55" s="383" t="s">
        <v>9596</v>
      </c>
      <c r="AC55" s="285" t="s">
        <v>7218</v>
      </c>
      <c r="AD55" s="383"/>
      <c r="AE55" s="383"/>
      <c r="AF55" s="383"/>
      <c r="AJ55" s="110"/>
      <c r="AK55" s="15" t="s">
        <v>50</v>
      </c>
      <c r="AL55" s="15" t="s">
        <v>166</v>
      </c>
      <c r="AM55" s="15" t="s">
        <v>108</v>
      </c>
      <c r="AN55" s="15" t="s">
        <v>74</v>
      </c>
      <c r="AO55" s="15"/>
      <c r="AP55" s="15"/>
      <c r="AQ55" s="15"/>
      <c r="AR55" s="15"/>
      <c r="AS55" s="333"/>
      <c r="AT55" s="333"/>
      <c r="AU55" s="333"/>
      <c r="AV55" s="333"/>
      <c r="AW55" s="333"/>
      <c r="AX55" s="333"/>
      <c r="AY55" s="333"/>
      <c r="AZ55" s="333"/>
      <c r="BD55" s="399">
        <v>52</v>
      </c>
      <c r="BE55" s="399" t="s">
        <v>588</v>
      </c>
      <c r="BF55" s="251" t="s">
        <v>589</v>
      </c>
      <c r="BG55" s="399" t="s">
        <v>590</v>
      </c>
      <c r="BH55" s="252">
        <v>44</v>
      </c>
      <c r="BI55" s="251" t="s">
        <v>477</v>
      </c>
      <c r="BJ55" s="251" t="s">
        <v>380</v>
      </c>
      <c r="BK55" s="251" t="s">
        <v>591</v>
      </c>
      <c r="BL55" s="251" t="s">
        <v>592</v>
      </c>
      <c r="BQ55" s="27" t="s">
        <v>7593</v>
      </c>
      <c r="BR55" s="27" t="s">
        <v>7594</v>
      </c>
    </row>
    <row r="56" spans="2:70" ht="15">
      <c r="B56" s="428" t="s">
        <v>9239</v>
      </c>
      <c r="C56" s="333"/>
      <c r="D56" s="251" t="s">
        <v>9257</v>
      </c>
      <c r="E56" s="251" t="s">
        <v>9262</v>
      </c>
      <c r="F56" s="251" t="s">
        <v>9269</v>
      </c>
      <c r="G56" s="402" t="s">
        <v>9389</v>
      </c>
      <c r="H56" s="333"/>
      <c r="I56" s="333"/>
      <c r="J56" s="333"/>
      <c r="K56" s="333"/>
      <c r="L56" s="333"/>
      <c r="M56" s="28" t="s">
        <v>7071</v>
      </c>
      <c r="N56" s="27" t="s">
        <v>9989</v>
      </c>
      <c r="R56" s="251"/>
      <c r="S56" s="251"/>
      <c r="V56" s="332" t="s">
        <v>9954</v>
      </c>
      <c r="W56" s="27" t="s">
        <v>10030</v>
      </c>
      <c r="AB56" s="383" t="s">
        <v>9085</v>
      </c>
      <c r="AC56" s="354" t="s">
        <v>7238</v>
      </c>
      <c r="AD56" s="383"/>
      <c r="AE56" s="383"/>
      <c r="AF56" s="383"/>
      <c r="AJ56" s="110"/>
      <c r="AK56" s="15" t="s">
        <v>50</v>
      </c>
      <c r="AL56" s="15" t="s">
        <v>167</v>
      </c>
      <c r="AM56" s="15" t="s">
        <v>109</v>
      </c>
      <c r="AN56" s="15" t="s">
        <v>74</v>
      </c>
      <c r="AO56" s="15"/>
      <c r="AP56" s="15"/>
      <c r="AQ56" s="15"/>
      <c r="AR56" s="15"/>
      <c r="AS56" s="333"/>
      <c r="AT56" s="333"/>
      <c r="AU56" s="333"/>
      <c r="AV56" s="333"/>
      <c r="AW56" s="333"/>
      <c r="AX56" s="333"/>
      <c r="AY56" s="333"/>
      <c r="AZ56" s="333"/>
      <c r="BD56" s="399">
        <v>53</v>
      </c>
      <c r="BE56" s="399" t="s">
        <v>593</v>
      </c>
      <c r="BF56" s="251" t="s">
        <v>594</v>
      </c>
      <c r="BG56" s="399" t="s">
        <v>435</v>
      </c>
      <c r="BH56" s="252" t="s">
        <v>436</v>
      </c>
      <c r="BI56" s="251" t="s">
        <v>465</v>
      </c>
      <c r="BJ56" s="251" t="s">
        <v>351</v>
      </c>
      <c r="BK56" s="251" t="s">
        <v>595</v>
      </c>
      <c r="BL56" s="251" t="s">
        <v>439</v>
      </c>
      <c r="BQ56" s="27" t="s">
        <v>7595</v>
      </c>
      <c r="BR56" s="27" t="s">
        <v>7596</v>
      </c>
    </row>
    <row r="57" spans="2:70" ht="15">
      <c r="B57" s="428" t="s">
        <v>9207</v>
      </c>
      <c r="C57" s="333"/>
      <c r="D57" s="251" t="s">
        <v>9257</v>
      </c>
      <c r="E57" s="251" t="s">
        <v>9262</v>
      </c>
      <c r="F57" s="251" t="s">
        <v>9268</v>
      </c>
      <c r="G57" s="402" t="s">
        <v>9388</v>
      </c>
      <c r="H57" s="333"/>
      <c r="I57" s="333"/>
      <c r="J57" s="333"/>
      <c r="K57" s="333"/>
      <c r="L57" s="333"/>
      <c r="M57" s="28" t="s">
        <v>7072</v>
      </c>
      <c r="N57" s="27" t="s">
        <v>10152</v>
      </c>
      <c r="R57" s="251"/>
      <c r="S57" s="251"/>
      <c r="V57" s="431" t="s">
        <v>261</v>
      </c>
      <c r="W57" s="330"/>
      <c r="AB57" s="384" t="s">
        <v>7243</v>
      </c>
      <c r="AC57" s="354" t="s">
        <v>7232</v>
      </c>
      <c r="AD57" s="383"/>
      <c r="AE57" s="383"/>
      <c r="AF57" s="383"/>
      <c r="AJ57" s="110"/>
      <c r="AK57" s="15" t="s">
        <v>50</v>
      </c>
      <c r="AL57" s="15" t="s">
        <v>168</v>
      </c>
      <c r="AM57" s="15" t="s">
        <v>110</v>
      </c>
      <c r="AN57" s="15" t="s">
        <v>74</v>
      </c>
      <c r="AO57" s="15"/>
      <c r="AP57" s="15"/>
      <c r="AQ57" s="15"/>
      <c r="AR57" s="15"/>
      <c r="AS57" s="333"/>
      <c r="AT57" s="333"/>
      <c r="AU57" s="333"/>
      <c r="AV57" s="333"/>
      <c r="AW57" s="333"/>
      <c r="AX57" s="333"/>
      <c r="AY57" s="333"/>
      <c r="AZ57" s="333"/>
      <c r="BD57" s="399">
        <v>54</v>
      </c>
      <c r="BE57" s="399" t="s">
        <v>596</v>
      </c>
      <c r="BF57" s="251" t="s">
        <v>597</v>
      </c>
      <c r="BG57" s="399" t="s">
        <v>489</v>
      </c>
      <c r="BH57" s="252" t="s">
        <v>598</v>
      </c>
      <c r="BI57" s="251" t="s">
        <v>334</v>
      </c>
      <c r="BJ57" s="251" t="s">
        <v>397</v>
      </c>
      <c r="BK57" s="251" t="s">
        <v>599</v>
      </c>
      <c r="BL57" s="251" t="s">
        <v>493</v>
      </c>
      <c r="BQ57" s="27" t="s">
        <v>7597</v>
      </c>
      <c r="BR57" s="27" t="s">
        <v>7384</v>
      </c>
    </row>
    <row r="58" spans="2:70" ht="15">
      <c r="B58" s="428" t="s">
        <v>9669</v>
      </c>
      <c r="C58" s="333"/>
      <c r="D58" s="251" t="s">
        <v>9257</v>
      </c>
      <c r="E58" s="251" t="s">
        <v>9262</v>
      </c>
      <c r="F58" s="251" t="s">
        <v>9264</v>
      </c>
      <c r="G58" s="402" t="s">
        <v>9384</v>
      </c>
      <c r="H58" s="333"/>
      <c r="I58" s="333"/>
      <c r="J58" s="333"/>
      <c r="K58" s="333"/>
      <c r="L58" s="333"/>
      <c r="M58" s="28" t="s">
        <v>7073</v>
      </c>
      <c r="N58" s="27" t="s">
        <v>10153</v>
      </c>
      <c r="R58" s="251"/>
      <c r="S58" s="251"/>
      <c r="V58" s="331" t="s">
        <v>260</v>
      </c>
      <c r="W58" s="330"/>
      <c r="AB58" s="383"/>
      <c r="AC58" s="383"/>
      <c r="AD58" s="383"/>
      <c r="AE58" s="383"/>
      <c r="AF58" s="383"/>
      <c r="AJ58" s="110"/>
      <c r="AK58" s="15" t="s">
        <v>50</v>
      </c>
      <c r="AL58" s="15" t="s">
        <v>169</v>
      </c>
      <c r="AM58" s="15" t="s">
        <v>111</v>
      </c>
      <c r="AN58" s="15" t="s">
        <v>74</v>
      </c>
      <c r="AO58" s="15"/>
      <c r="AP58" s="15"/>
      <c r="AQ58" s="15"/>
      <c r="AR58" s="15"/>
      <c r="AS58" s="333"/>
      <c r="AT58" s="333"/>
      <c r="AU58" s="333"/>
      <c r="AV58" s="333"/>
      <c r="AW58" s="333"/>
      <c r="AX58" s="333"/>
      <c r="AY58" s="333"/>
      <c r="AZ58" s="333"/>
      <c r="BD58" s="399">
        <v>55</v>
      </c>
      <c r="BE58" s="399" t="s">
        <v>600</v>
      </c>
      <c r="BF58" s="251" t="s">
        <v>601</v>
      </c>
      <c r="BG58" s="399" t="s">
        <v>602</v>
      </c>
      <c r="BH58" s="252">
        <v>47</v>
      </c>
      <c r="BI58" s="251" t="s">
        <v>465</v>
      </c>
      <c r="BJ58" s="251" t="s">
        <v>413</v>
      </c>
      <c r="BK58" s="251" t="s">
        <v>603</v>
      </c>
      <c r="BL58" s="251" t="s">
        <v>604</v>
      </c>
      <c r="BQ58" s="27" t="s">
        <v>7598</v>
      </c>
      <c r="BR58" s="27" t="s">
        <v>7599</v>
      </c>
    </row>
    <row r="59" spans="2:70" ht="15">
      <c r="B59" s="428" t="s">
        <v>9313</v>
      </c>
      <c r="C59" s="333"/>
      <c r="D59" s="251" t="s">
        <v>9257</v>
      </c>
      <c r="E59" s="251" t="s">
        <v>9262</v>
      </c>
      <c r="F59" s="251" t="s">
        <v>9266</v>
      </c>
      <c r="G59" s="402" t="s">
        <v>9386</v>
      </c>
      <c r="H59" s="333"/>
      <c r="I59" s="333"/>
      <c r="J59" s="333"/>
      <c r="K59" s="333"/>
      <c r="L59" s="333"/>
      <c r="M59" s="28" t="s">
        <v>9993</v>
      </c>
      <c r="N59" s="411" t="s">
        <v>10154</v>
      </c>
      <c r="R59" s="251"/>
      <c r="S59" s="251"/>
      <c r="V59" s="331" t="s">
        <v>262</v>
      </c>
      <c r="W59" s="26"/>
      <c r="X59" s="381"/>
      <c r="AC59" s="354"/>
      <c r="AD59" s="383"/>
      <c r="AE59" s="383"/>
      <c r="AF59" s="383"/>
      <c r="AJ59" s="110"/>
      <c r="AK59" s="15" t="s">
        <v>50</v>
      </c>
      <c r="AL59" s="15" t="s">
        <v>44</v>
      </c>
      <c r="AM59" s="15" t="s">
        <v>130</v>
      </c>
      <c r="AN59" s="15" t="s">
        <v>127</v>
      </c>
      <c r="AO59" s="15"/>
      <c r="AP59" s="15"/>
      <c r="AQ59" s="15"/>
      <c r="AR59" s="15"/>
      <c r="AS59" s="333"/>
      <c r="AT59" s="333"/>
      <c r="AU59" s="333"/>
      <c r="AV59" s="333"/>
      <c r="AW59" s="333"/>
      <c r="AX59" s="333"/>
      <c r="AY59" s="333"/>
      <c r="AZ59" s="333"/>
      <c r="BD59" s="399">
        <v>56</v>
      </c>
      <c r="BE59" s="399" t="s">
        <v>605</v>
      </c>
      <c r="BF59" s="251" t="s">
        <v>606</v>
      </c>
      <c r="BG59" s="399" t="s">
        <v>363</v>
      </c>
      <c r="BH59" s="252" t="s">
        <v>607</v>
      </c>
      <c r="BI59" s="251" t="s">
        <v>333</v>
      </c>
      <c r="BJ59" s="251" t="s">
        <v>390</v>
      </c>
      <c r="BK59" s="251" t="s">
        <v>608</v>
      </c>
      <c r="BL59" s="251" t="s">
        <v>368</v>
      </c>
      <c r="BQ59" s="27" t="s">
        <v>7600</v>
      </c>
      <c r="BR59" s="27" t="s">
        <v>7601</v>
      </c>
    </row>
    <row r="60" spans="2:70" ht="15">
      <c r="B60" s="428" t="s">
        <v>9338</v>
      </c>
      <c r="C60" s="333"/>
      <c r="D60" s="251" t="s">
        <v>9257</v>
      </c>
      <c r="E60" s="251" t="s">
        <v>9262</v>
      </c>
      <c r="F60" s="251" t="s">
        <v>9263</v>
      </c>
      <c r="G60" s="402" t="s">
        <v>9383</v>
      </c>
      <c r="H60" s="333"/>
      <c r="I60" s="333"/>
      <c r="J60" s="333"/>
      <c r="K60" s="333"/>
      <c r="L60" s="333"/>
      <c r="M60" s="28" t="s">
        <v>7074</v>
      </c>
      <c r="N60" s="27" t="s">
        <v>10155</v>
      </c>
      <c r="R60" s="251"/>
      <c r="S60" s="251"/>
      <c r="AD60" s="62"/>
      <c r="AE60" s="383"/>
      <c r="AF60" s="383"/>
      <c r="AJ60" s="110"/>
      <c r="AK60" s="15" t="s">
        <v>50</v>
      </c>
      <c r="AL60" s="15" t="s">
        <v>170</v>
      </c>
      <c r="AM60" s="15" t="s">
        <v>112</v>
      </c>
      <c r="AN60" s="15" t="s">
        <v>74</v>
      </c>
      <c r="AO60" s="15"/>
      <c r="AP60" s="15"/>
      <c r="AQ60" s="15"/>
      <c r="AR60" s="15"/>
      <c r="AS60" s="333"/>
      <c r="AT60" s="333"/>
      <c r="AU60" s="333"/>
      <c r="AV60" s="333"/>
      <c r="AW60" s="333"/>
      <c r="AX60" s="333"/>
      <c r="AY60" s="333"/>
      <c r="AZ60" s="333"/>
      <c r="BD60" s="399">
        <v>57</v>
      </c>
      <c r="BE60" s="399" t="s">
        <v>609</v>
      </c>
      <c r="BF60" s="251" t="s">
        <v>610</v>
      </c>
      <c r="BG60" s="399" t="s">
        <v>435</v>
      </c>
      <c r="BH60" s="252" t="s">
        <v>436</v>
      </c>
      <c r="BI60" s="251" t="s">
        <v>456</v>
      </c>
      <c r="BJ60" s="251" t="s">
        <v>407</v>
      </c>
      <c r="BK60" s="251" t="s">
        <v>611</v>
      </c>
      <c r="BL60" s="251" t="s">
        <v>439</v>
      </c>
      <c r="BQ60" s="27" t="s">
        <v>7602</v>
      </c>
      <c r="BR60" s="27" t="s">
        <v>7603</v>
      </c>
    </row>
    <row r="61" spans="2:70" ht="15">
      <c r="B61" s="428" t="s">
        <v>16</v>
      </c>
      <c r="C61" s="333"/>
      <c r="D61" s="251" t="s">
        <v>9257</v>
      </c>
      <c r="E61" s="251" t="s">
        <v>9262</v>
      </c>
      <c r="F61" s="251" t="s">
        <v>9265</v>
      </c>
      <c r="G61" s="402" t="s">
        <v>9385</v>
      </c>
      <c r="H61" s="333"/>
      <c r="I61" s="333"/>
      <c r="J61" s="333"/>
      <c r="K61" s="333"/>
      <c r="L61" s="333"/>
      <c r="M61" s="28" t="s">
        <v>7075</v>
      </c>
      <c r="N61" s="27" t="s">
        <v>10165</v>
      </c>
      <c r="R61" s="251"/>
      <c r="S61" s="251"/>
      <c r="AD61" s="383"/>
      <c r="AE61" s="383"/>
      <c r="AF61" s="383"/>
      <c r="AJ61" s="110"/>
      <c r="AK61" s="15" t="s">
        <v>50</v>
      </c>
      <c r="AL61" s="15" t="s">
        <v>171</v>
      </c>
      <c r="AM61" s="15" t="s">
        <v>113</v>
      </c>
      <c r="AN61" s="15" t="s">
        <v>74</v>
      </c>
      <c r="AO61" s="15"/>
      <c r="AP61" s="15"/>
      <c r="AQ61" s="15"/>
      <c r="AR61" s="15"/>
      <c r="AS61" s="333"/>
      <c r="AT61" s="333"/>
      <c r="AU61" s="333"/>
      <c r="AV61" s="333"/>
      <c r="AW61" s="333"/>
      <c r="AX61" s="333"/>
      <c r="AY61" s="333"/>
      <c r="AZ61" s="333"/>
      <c r="BD61" s="399">
        <v>58</v>
      </c>
      <c r="BE61" s="399" t="s">
        <v>612</v>
      </c>
      <c r="BF61" s="251" t="s">
        <v>613</v>
      </c>
      <c r="BG61" s="399" t="s">
        <v>614</v>
      </c>
      <c r="BH61" s="252">
        <v>38</v>
      </c>
      <c r="BI61" s="251" t="s">
        <v>615</v>
      </c>
      <c r="BJ61" s="251" t="s">
        <v>385</v>
      </c>
      <c r="BK61" s="251" t="s">
        <v>616</v>
      </c>
      <c r="BL61" s="251" t="s">
        <v>617</v>
      </c>
      <c r="BQ61" s="27" t="s">
        <v>7604</v>
      </c>
      <c r="BR61" s="27" t="s">
        <v>7605</v>
      </c>
    </row>
    <row r="62" spans="2:70" ht="15">
      <c r="B62" s="428" t="s">
        <v>9302</v>
      </c>
      <c r="C62" s="333"/>
      <c r="D62" s="251" t="s">
        <v>9257</v>
      </c>
      <c r="E62" s="251" t="s">
        <v>9258</v>
      </c>
      <c r="F62" s="251" t="s">
        <v>9260</v>
      </c>
      <c r="G62" s="402" t="s">
        <v>9394</v>
      </c>
      <c r="H62" s="333"/>
      <c r="I62" s="333"/>
      <c r="J62" s="333"/>
      <c r="K62" s="333"/>
      <c r="L62" s="333"/>
      <c r="M62" s="76" t="s">
        <v>260</v>
      </c>
      <c r="R62" s="251"/>
      <c r="S62" s="251"/>
      <c r="AD62" s="383"/>
      <c r="AE62" s="383"/>
      <c r="AF62" s="383"/>
      <c r="AJ62" s="110"/>
      <c r="AK62" s="15" t="s">
        <v>50</v>
      </c>
      <c r="AL62" s="15" t="s">
        <v>172</v>
      </c>
      <c r="AM62" s="15" t="s">
        <v>114</v>
      </c>
      <c r="AN62" s="15" t="s">
        <v>74</v>
      </c>
      <c r="AO62" s="15"/>
      <c r="AP62" s="15"/>
      <c r="AQ62" s="15"/>
      <c r="AR62" s="15"/>
      <c r="AS62" s="333"/>
      <c r="AT62" s="333"/>
      <c r="AU62" s="333"/>
      <c r="AV62" s="333"/>
      <c r="AW62" s="333"/>
      <c r="AX62" s="333"/>
      <c r="AY62" s="333"/>
      <c r="AZ62" s="333"/>
      <c r="BD62" s="399">
        <v>59</v>
      </c>
      <c r="BE62" s="399" t="s">
        <v>618</v>
      </c>
      <c r="BF62" s="251" t="s">
        <v>619</v>
      </c>
      <c r="BG62" s="399" t="s">
        <v>423</v>
      </c>
      <c r="BH62" s="252" t="s">
        <v>424</v>
      </c>
      <c r="BI62" s="251" t="s">
        <v>331</v>
      </c>
      <c r="BJ62" s="251" t="s">
        <v>390</v>
      </c>
      <c r="BK62" s="251" t="s">
        <v>620</v>
      </c>
      <c r="BL62" s="251" t="s">
        <v>426</v>
      </c>
      <c r="BQ62" s="27" t="s">
        <v>7606</v>
      </c>
      <c r="BR62" s="27" t="s">
        <v>7607</v>
      </c>
    </row>
    <row r="63" spans="2:70" ht="15">
      <c r="B63" s="428" t="s">
        <v>9307</v>
      </c>
      <c r="C63" s="333"/>
      <c r="D63" s="251" t="s">
        <v>9257</v>
      </c>
      <c r="E63" s="251" t="s">
        <v>9258</v>
      </c>
      <c r="F63" s="251" t="s">
        <v>9261</v>
      </c>
      <c r="G63" s="402" t="s">
        <v>9395</v>
      </c>
      <c r="H63" s="333"/>
      <c r="I63" s="333"/>
      <c r="J63" s="333"/>
      <c r="K63" s="333"/>
      <c r="L63" s="333"/>
      <c r="M63" s="75" t="s">
        <v>262</v>
      </c>
      <c r="R63" s="251"/>
      <c r="S63" s="251"/>
      <c r="AD63" s="383"/>
      <c r="AE63" s="383"/>
      <c r="AF63" s="383"/>
      <c r="AJ63" s="110"/>
      <c r="AK63" s="15" t="s">
        <v>50</v>
      </c>
      <c r="AL63" s="15" t="s">
        <v>173</v>
      </c>
      <c r="AM63" s="15" t="s">
        <v>115</v>
      </c>
      <c r="AN63" s="15" t="s">
        <v>74</v>
      </c>
      <c r="AO63" s="15"/>
      <c r="AP63" s="15"/>
      <c r="AQ63" s="15"/>
      <c r="AR63" s="15"/>
      <c r="AS63" s="333"/>
      <c r="AT63" s="333"/>
      <c r="AU63" s="333"/>
      <c r="AV63" s="333"/>
      <c r="AW63" s="333"/>
      <c r="AX63" s="333"/>
      <c r="AY63" s="333"/>
      <c r="AZ63" s="333"/>
      <c r="BD63" s="399">
        <v>60</v>
      </c>
      <c r="BE63" s="399" t="s">
        <v>621</v>
      </c>
      <c r="BF63" s="251" t="s">
        <v>622</v>
      </c>
      <c r="BG63" s="399" t="s">
        <v>623</v>
      </c>
      <c r="BH63" s="252" t="s">
        <v>624</v>
      </c>
      <c r="BI63" s="251" t="s">
        <v>379</v>
      </c>
      <c r="BJ63" s="251" t="s">
        <v>351</v>
      </c>
      <c r="BK63" s="251" t="s">
        <v>625</v>
      </c>
      <c r="BL63" s="251" t="s">
        <v>626</v>
      </c>
      <c r="BQ63" s="27" t="s">
        <v>7608</v>
      </c>
      <c r="BR63" s="27" t="s">
        <v>7408</v>
      </c>
    </row>
    <row r="64" spans="2:70" ht="15">
      <c r="B64" s="428" t="s">
        <v>9136</v>
      </c>
      <c r="C64" s="333"/>
      <c r="D64" s="251" t="s">
        <v>9257</v>
      </c>
      <c r="E64" s="251" t="s">
        <v>9258</v>
      </c>
      <c r="F64" s="251" t="s">
        <v>9259</v>
      </c>
      <c r="G64" s="402" t="s">
        <v>9393</v>
      </c>
      <c r="H64" s="333"/>
      <c r="I64" s="333"/>
      <c r="J64" s="333"/>
      <c r="K64" s="333"/>
      <c r="L64" s="333"/>
      <c r="M64" s="83" t="s">
        <v>261</v>
      </c>
      <c r="N64" s="81"/>
      <c r="R64" s="251"/>
      <c r="S64" s="251"/>
      <c r="AD64" s="62"/>
      <c r="AE64" s="62"/>
      <c r="AF64" s="62"/>
      <c r="AK64" s="15" t="s">
        <v>50</v>
      </c>
      <c r="AL64" s="15" t="s">
        <v>174</v>
      </c>
      <c r="AM64" s="15" t="s">
        <v>116</v>
      </c>
      <c r="AN64" s="15" t="s">
        <v>74</v>
      </c>
      <c r="AO64" s="15"/>
      <c r="AP64" s="15"/>
      <c r="AQ64" s="15"/>
      <c r="AR64" s="15"/>
      <c r="AS64" s="333"/>
      <c r="AT64" s="333"/>
      <c r="AU64" s="333"/>
      <c r="AV64" s="333"/>
      <c r="AW64" s="333"/>
      <c r="AX64" s="333"/>
      <c r="AY64" s="333"/>
      <c r="AZ64" s="333"/>
      <c r="BD64" s="399">
        <v>61</v>
      </c>
      <c r="BE64" s="399" t="s">
        <v>627</v>
      </c>
      <c r="BF64" s="251" t="s">
        <v>628</v>
      </c>
      <c r="BG64" s="399" t="s">
        <v>435</v>
      </c>
      <c r="BH64" s="252" t="s">
        <v>436</v>
      </c>
      <c r="BI64" s="251" t="s">
        <v>332</v>
      </c>
      <c r="BJ64" s="251" t="s">
        <v>351</v>
      </c>
      <c r="BK64" s="251" t="s">
        <v>629</v>
      </c>
      <c r="BL64" s="251" t="s">
        <v>439</v>
      </c>
      <c r="BQ64" s="27" t="s">
        <v>7609</v>
      </c>
      <c r="BR64" s="27" t="s">
        <v>7610</v>
      </c>
    </row>
    <row r="65" spans="2:70" ht="15">
      <c r="B65" s="428" t="s">
        <v>9131</v>
      </c>
      <c r="C65" s="333"/>
      <c r="D65" s="420" t="s">
        <v>9257</v>
      </c>
      <c r="E65" s="420" t="s">
        <v>9910</v>
      </c>
      <c r="F65" s="420" t="s">
        <v>9900</v>
      </c>
      <c r="G65" s="429" t="s">
        <v>9894</v>
      </c>
      <c r="H65" s="333"/>
      <c r="I65" s="333"/>
      <c r="J65" s="333"/>
      <c r="K65" s="333"/>
      <c r="L65" s="333"/>
      <c r="M65" s="28"/>
      <c r="R65" s="251"/>
      <c r="S65" s="251"/>
      <c r="AD65" s="283"/>
      <c r="AE65" s="383"/>
      <c r="AF65" s="383"/>
      <c r="AK65" s="15" t="s">
        <v>50</v>
      </c>
      <c r="AL65" s="15" t="s">
        <v>183</v>
      </c>
      <c r="AM65" s="15" t="s">
        <v>131</v>
      </c>
      <c r="AN65" s="15" t="s">
        <v>127</v>
      </c>
      <c r="AO65" s="15"/>
      <c r="AP65" s="15"/>
      <c r="AQ65" s="15"/>
      <c r="AR65" s="15"/>
      <c r="AS65" s="333"/>
      <c r="AT65" s="333"/>
      <c r="AU65" s="333"/>
      <c r="AV65" s="333"/>
      <c r="AW65" s="333"/>
      <c r="AX65" s="333"/>
      <c r="AY65" s="333"/>
      <c r="AZ65" s="333"/>
      <c r="BD65" s="399">
        <v>62</v>
      </c>
      <c r="BE65" s="399" t="s">
        <v>630</v>
      </c>
      <c r="BF65" s="251" t="s">
        <v>631</v>
      </c>
      <c r="BG65" s="399" t="s">
        <v>389</v>
      </c>
      <c r="BH65" s="252">
        <v>39</v>
      </c>
      <c r="BI65" s="251" t="s">
        <v>365</v>
      </c>
      <c r="BJ65" s="251" t="s">
        <v>366</v>
      </c>
      <c r="BK65" s="251" t="s">
        <v>632</v>
      </c>
      <c r="BL65" s="251" t="s">
        <v>392</v>
      </c>
      <c r="BQ65" s="27" t="s">
        <v>7611</v>
      </c>
      <c r="BR65" s="27" t="s">
        <v>7418</v>
      </c>
    </row>
    <row r="66" spans="2:70" ht="15">
      <c r="B66" s="428" t="s">
        <v>9127</v>
      </c>
      <c r="C66" s="333"/>
      <c r="D66" s="420" t="s">
        <v>9257</v>
      </c>
      <c r="E66" s="420" t="s">
        <v>9910</v>
      </c>
      <c r="F66" s="420" t="s">
        <v>9900</v>
      </c>
      <c r="G66" s="429" t="s">
        <v>9928</v>
      </c>
      <c r="H66" s="333"/>
      <c r="I66" s="333"/>
      <c r="J66" s="333"/>
      <c r="K66" s="333"/>
      <c r="L66" s="333"/>
      <c r="M66" s="28"/>
      <c r="R66" s="251"/>
      <c r="S66" s="251"/>
      <c r="AD66" s="284"/>
      <c r="AE66" s="383"/>
      <c r="AF66" s="383"/>
      <c r="AJ66" s="110"/>
      <c r="AK66" s="15" t="s">
        <v>50</v>
      </c>
      <c r="AL66" s="15" t="s">
        <v>175</v>
      </c>
      <c r="AM66" s="15" t="s">
        <v>117</v>
      </c>
      <c r="AN66" s="15" t="s">
        <v>74</v>
      </c>
      <c r="AO66" s="15"/>
      <c r="AP66" s="15"/>
      <c r="AQ66" s="15"/>
      <c r="AR66" s="15"/>
      <c r="AS66" s="333"/>
      <c r="AT66" s="333"/>
      <c r="AU66" s="333"/>
      <c r="AV66" s="333"/>
      <c r="AW66" s="333"/>
      <c r="AX66" s="333"/>
      <c r="AY66" s="333"/>
      <c r="AZ66" s="333"/>
      <c r="BD66" s="399">
        <v>63</v>
      </c>
      <c r="BE66" s="399" t="s">
        <v>633</v>
      </c>
      <c r="BF66" s="251" t="s">
        <v>634</v>
      </c>
      <c r="BG66" s="399" t="s">
        <v>363</v>
      </c>
      <c r="BH66" s="252" t="s">
        <v>575</v>
      </c>
      <c r="BI66" s="251" t="s">
        <v>635</v>
      </c>
      <c r="BJ66" s="251" t="s">
        <v>413</v>
      </c>
      <c r="BK66" s="251" t="s">
        <v>636</v>
      </c>
      <c r="BL66" s="251" t="s">
        <v>368</v>
      </c>
      <c r="BQ66" s="27" t="s">
        <v>7612</v>
      </c>
      <c r="BR66" s="27" t="s">
        <v>7450</v>
      </c>
    </row>
    <row r="67" spans="2:70" ht="20" customHeight="1">
      <c r="B67" s="428" t="s">
        <v>9156</v>
      </c>
      <c r="C67" s="333"/>
      <c r="D67" s="420" t="s">
        <v>9257</v>
      </c>
      <c r="E67" s="420" t="s">
        <v>9910</v>
      </c>
      <c r="F67" s="420" t="s">
        <v>9899</v>
      </c>
      <c r="G67" s="429" t="s">
        <v>9896</v>
      </c>
      <c r="H67" s="333"/>
      <c r="I67" s="333"/>
      <c r="J67" s="333"/>
      <c r="K67" s="333"/>
      <c r="L67" s="333"/>
      <c r="M67" s="528" t="s">
        <v>290</v>
      </c>
      <c r="N67" s="528"/>
      <c r="R67" s="251"/>
      <c r="S67" s="251"/>
      <c r="AD67" s="422"/>
      <c r="AE67" s="383"/>
      <c r="AF67" s="383"/>
      <c r="AK67" s="15" t="s">
        <v>50</v>
      </c>
      <c r="AL67" s="15" t="s">
        <v>176</v>
      </c>
      <c r="AM67" s="15" t="s">
        <v>118</v>
      </c>
      <c r="AN67" s="15" t="s">
        <v>74</v>
      </c>
      <c r="AO67" s="15"/>
      <c r="AP67" s="15"/>
      <c r="AQ67" s="15"/>
      <c r="AR67" s="15"/>
      <c r="AS67" s="333"/>
      <c r="AT67" s="333"/>
      <c r="AU67" s="333"/>
      <c r="AV67" s="333"/>
      <c r="AW67" s="333"/>
      <c r="AX67" s="333"/>
      <c r="AY67" s="333"/>
      <c r="AZ67" s="333"/>
      <c r="BD67" s="399">
        <v>64</v>
      </c>
      <c r="BE67" s="399" t="s">
        <v>637</v>
      </c>
      <c r="BF67" s="251" t="s">
        <v>638</v>
      </c>
      <c r="BG67" s="399" t="s">
        <v>489</v>
      </c>
      <c r="BH67" s="252" t="s">
        <v>639</v>
      </c>
      <c r="BI67" s="251" t="s">
        <v>615</v>
      </c>
      <c r="BJ67" s="251" t="s">
        <v>366</v>
      </c>
      <c r="BK67" s="251" t="s">
        <v>640</v>
      </c>
      <c r="BL67" s="251" t="s">
        <v>493</v>
      </c>
      <c r="BQ67" s="27" t="s">
        <v>7613</v>
      </c>
      <c r="BR67" s="27" t="s">
        <v>7451</v>
      </c>
    </row>
    <row r="68" spans="2:70" ht="15">
      <c r="B68" s="428" t="s">
        <v>9151</v>
      </c>
      <c r="C68" s="333"/>
      <c r="D68" s="420" t="s">
        <v>9257</v>
      </c>
      <c r="E68" s="420" t="s">
        <v>9910</v>
      </c>
      <c r="F68" s="420" t="s">
        <v>9902</v>
      </c>
      <c r="G68" s="429" t="s">
        <v>9897</v>
      </c>
      <c r="H68" s="333"/>
      <c r="I68" s="333"/>
      <c r="J68" s="333"/>
      <c r="K68" s="333"/>
      <c r="L68" s="333"/>
      <c r="M68" s="79" t="s">
        <v>211</v>
      </c>
      <c r="N68" s="432" t="s">
        <v>196</v>
      </c>
      <c r="R68" s="251"/>
      <c r="S68" s="251"/>
      <c r="AD68" s="284"/>
      <c r="AE68" s="62"/>
      <c r="AF68" s="62"/>
      <c r="AJ68" s="110"/>
      <c r="AK68" s="15" t="s">
        <v>50</v>
      </c>
      <c r="AL68" s="15" t="s">
        <v>184</v>
      </c>
      <c r="AM68" s="15" t="s">
        <v>132</v>
      </c>
      <c r="AN68" s="15" t="s">
        <v>127</v>
      </c>
      <c r="AO68" s="15"/>
      <c r="AP68" s="15"/>
      <c r="AQ68" s="15"/>
      <c r="AR68" s="15"/>
      <c r="AS68" s="333"/>
      <c r="AT68" s="333"/>
      <c r="AU68" s="333"/>
      <c r="AV68" s="333"/>
      <c r="AW68" s="333"/>
      <c r="AX68" s="333"/>
      <c r="AY68" s="333"/>
      <c r="AZ68" s="333"/>
      <c r="BD68" s="399">
        <v>65</v>
      </c>
      <c r="BE68" s="399" t="s">
        <v>641</v>
      </c>
      <c r="BF68" s="251" t="s">
        <v>642</v>
      </c>
      <c r="BG68" s="399" t="s">
        <v>405</v>
      </c>
      <c r="BH68" s="252" t="s">
        <v>643</v>
      </c>
      <c r="BI68" s="251" t="s">
        <v>333</v>
      </c>
      <c r="BJ68" s="251" t="s">
        <v>539</v>
      </c>
      <c r="BK68" s="251" t="s">
        <v>644</v>
      </c>
      <c r="BL68" s="251" t="s">
        <v>409</v>
      </c>
      <c r="BQ68" s="27" t="s">
        <v>7614</v>
      </c>
      <c r="BR68" s="27" t="s">
        <v>7411</v>
      </c>
    </row>
    <row r="69" spans="2:70" ht="15">
      <c r="B69" s="428" t="s">
        <v>9141</v>
      </c>
      <c r="C69" s="333"/>
      <c r="D69" s="420" t="s">
        <v>9257</v>
      </c>
      <c r="E69" s="420" t="s">
        <v>9910</v>
      </c>
      <c r="F69" s="420" t="s">
        <v>9908</v>
      </c>
      <c r="G69" s="429" t="s">
        <v>9905</v>
      </c>
      <c r="H69" s="333"/>
      <c r="I69" s="333"/>
      <c r="J69" s="333"/>
      <c r="K69" s="333"/>
      <c r="L69" s="333"/>
      <c r="M69" s="27" t="s">
        <v>7077</v>
      </c>
      <c r="N69" s="27" t="s">
        <v>9991</v>
      </c>
      <c r="R69" s="251"/>
      <c r="S69" s="251"/>
      <c r="AD69" s="285"/>
      <c r="AE69" s="283"/>
      <c r="AF69" s="283"/>
      <c r="AJ69" s="110" t="s">
        <v>201</v>
      </c>
      <c r="AK69" s="15" t="s">
        <v>50</v>
      </c>
      <c r="AL69" s="15" t="s">
        <v>177</v>
      </c>
      <c r="AM69" s="15" t="s">
        <v>119</v>
      </c>
      <c r="AN69" s="15" t="s">
        <v>74</v>
      </c>
      <c r="AO69" s="15"/>
      <c r="AP69" s="15"/>
      <c r="AQ69" s="15"/>
      <c r="AR69" s="15"/>
      <c r="AS69" s="333"/>
      <c r="AT69" s="333"/>
      <c r="AU69" s="333"/>
      <c r="AV69" s="333"/>
      <c r="AW69" s="333"/>
      <c r="AX69" s="333"/>
      <c r="AY69" s="333"/>
      <c r="AZ69" s="333"/>
      <c r="BD69" s="399">
        <v>66</v>
      </c>
      <c r="BE69" s="399" t="s">
        <v>645</v>
      </c>
      <c r="BF69" s="251" t="s">
        <v>646</v>
      </c>
      <c r="BG69" s="399" t="s">
        <v>363</v>
      </c>
      <c r="BH69" s="252" t="s">
        <v>575</v>
      </c>
      <c r="BI69" s="251" t="s">
        <v>647</v>
      </c>
      <c r="BJ69" s="251" t="s">
        <v>397</v>
      </c>
      <c r="BK69" s="251" t="s">
        <v>648</v>
      </c>
      <c r="BL69" s="251" t="s">
        <v>368</v>
      </c>
      <c r="BQ69" s="27" t="s">
        <v>7615</v>
      </c>
      <c r="BR69" s="27" t="s">
        <v>7468</v>
      </c>
    </row>
    <row r="70" spans="2:70" ht="15">
      <c r="B70" s="428" t="s">
        <v>9167</v>
      </c>
      <c r="C70" s="333"/>
      <c r="D70" s="420" t="s">
        <v>9257</v>
      </c>
      <c r="E70" s="420" t="s">
        <v>9910</v>
      </c>
      <c r="F70" s="420" t="s">
        <v>9901</v>
      </c>
      <c r="G70" s="429" t="s">
        <v>9895</v>
      </c>
      <c r="H70" s="333"/>
      <c r="I70" s="333"/>
      <c r="J70" s="333"/>
      <c r="K70" s="333"/>
      <c r="L70" s="333"/>
      <c r="M70" s="27" t="s">
        <v>7076</v>
      </c>
      <c r="N70" s="422" t="s">
        <v>10027</v>
      </c>
      <c r="R70" s="251"/>
      <c r="S70" s="251"/>
      <c r="AD70" s="383"/>
      <c r="AE70" s="284"/>
      <c r="AF70" s="284"/>
      <c r="AK70" s="15" t="s">
        <v>50</v>
      </c>
      <c r="AL70" s="15" t="s">
        <v>178</v>
      </c>
      <c r="AM70" s="15" t="s">
        <v>120</v>
      </c>
      <c r="AN70" s="15" t="s">
        <v>74</v>
      </c>
      <c r="AO70" s="15"/>
      <c r="AP70" s="15"/>
      <c r="AQ70" s="15"/>
      <c r="AR70" s="15"/>
      <c r="AS70" s="333"/>
      <c r="AT70" s="333"/>
      <c r="AU70" s="333"/>
      <c r="AV70" s="333"/>
      <c r="AW70" s="333"/>
      <c r="AX70" s="333"/>
      <c r="AY70" s="333"/>
      <c r="AZ70" s="333"/>
      <c r="BD70" s="399">
        <v>67</v>
      </c>
      <c r="BE70" s="399" t="s">
        <v>649</v>
      </c>
      <c r="BF70" s="251" t="s">
        <v>650</v>
      </c>
      <c r="BG70" s="399" t="s">
        <v>435</v>
      </c>
      <c r="BH70" s="252" t="s">
        <v>651</v>
      </c>
      <c r="BI70" s="251" t="s">
        <v>563</v>
      </c>
      <c r="BJ70" s="251" t="s">
        <v>385</v>
      </c>
      <c r="BK70" s="251" t="s">
        <v>652</v>
      </c>
      <c r="BL70" s="251" t="s">
        <v>439</v>
      </c>
      <c r="BQ70" s="27" t="s">
        <v>7616</v>
      </c>
      <c r="BR70" s="27" t="s">
        <v>7272</v>
      </c>
    </row>
    <row r="71" spans="2:70" ht="15">
      <c r="B71" s="428" t="s">
        <v>9685</v>
      </c>
      <c r="C71" s="333"/>
      <c r="D71" s="420" t="s">
        <v>9257</v>
      </c>
      <c r="E71" s="420" t="s">
        <v>9910</v>
      </c>
      <c r="F71" s="420" t="s">
        <v>9907</v>
      </c>
      <c r="G71" s="429" t="s">
        <v>9906</v>
      </c>
      <c r="H71" s="333"/>
      <c r="I71" s="333"/>
      <c r="J71" s="333"/>
      <c r="K71" s="333"/>
      <c r="L71" s="333"/>
      <c r="M71" s="333" t="s">
        <v>7078</v>
      </c>
      <c r="N71" s="27" t="s">
        <v>9992</v>
      </c>
      <c r="R71" s="251"/>
      <c r="S71" s="251"/>
      <c r="AD71" s="383"/>
      <c r="AE71" s="422"/>
      <c r="AF71" s="422"/>
      <c r="AJ71" s="110" t="s">
        <v>201</v>
      </c>
      <c r="AK71" s="15" t="s">
        <v>50</v>
      </c>
      <c r="AL71" s="15" t="s">
        <v>179</v>
      </c>
      <c r="AM71" s="15" t="s">
        <v>121</v>
      </c>
      <c r="AN71" s="15" t="s">
        <v>74</v>
      </c>
      <c r="AO71" s="15"/>
      <c r="AP71" s="15"/>
      <c r="AQ71" s="15"/>
      <c r="AR71" s="15"/>
      <c r="AS71" s="333"/>
      <c r="AT71" s="333"/>
      <c r="AU71" s="333"/>
      <c r="AV71" s="333"/>
      <c r="AW71" s="333"/>
      <c r="AX71" s="333"/>
      <c r="AY71" s="333"/>
      <c r="AZ71" s="333"/>
      <c r="BD71" s="399">
        <v>68</v>
      </c>
      <c r="BE71" s="399" t="s">
        <v>653</v>
      </c>
      <c r="BF71" s="251" t="s">
        <v>654</v>
      </c>
      <c r="BG71" s="399" t="s">
        <v>378</v>
      </c>
      <c r="BH71" s="252">
        <v>11</v>
      </c>
      <c r="BI71" s="251" t="s">
        <v>379</v>
      </c>
      <c r="BJ71" s="251" t="s">
        <v>396</v>
      </c>
      <c r="BK71" s="251" t="s">
        <v>655</v>
      </c>
      <c r="BL71" s="251" t="s">
        <v>382</v>
      </c>
      <c r="BQ71" s="27" t="s">
        <v>7617</v>
      </c>
      <c r="BR71" s="27" t="s">
        <v>7618</v>
      </c>
    </row>
    <row r="72" spans="2:70" ht="15">
      <c r="B72" s="428" t="s">
        <v>9793</v>
      </c>
      <c r="C72" s="333"/>
      <c r="D72" s="420" t="s">
        <v>9257</v>
      </c>
      <c r="E72" s="420" t="s">
        <v>9910</v>
      </c>
      <c r="F72" s="420" t="s">
        <v>9904</v>
      </c>
      <c r="G72" s="429" t="s">
        <v>9898</v>
      </c>
      <c r="H72" s="333"/>
      <c r="I72" s="333"/>
      <c r="J72" s="333"/>
      <c r="K72" s="333"/>
      <c r="L72" s="333"/>
      <c r="M72" s="76" t="s">
        <v>260</v>
      </c>
      <c r="R72" s="251"/>
      <c r="S72" s="251"/>
      <c r="AD72" s="383"/>
      <c r="AE72" s="284"/>
      <c r="AF72" s="284"/>
      <c r="AK72" s="15" t="s">
        <v>50</v>
      </c>
      <c r="AL72" s="15" t="s">
        <v>180</v>
      </c>
      <c r="AM72" s="15" t="s">
        <v>122</v>
      </c>
      <c r="AN72" s="15" t="s">
        <v>74</v>
      </c>
      <c r="AO72" s="15"/>
      <c r="AP72" s="15"/>
      <c r="AQ72" s="15"/>
      <c r="AR72" s="15"/>
      <c r="AS72" s="333"/>
      <c r="AT72" s="333"/>
      <c r="AU72" s="333"/>
      <c r="AV72" s="333"/>
      <c r="AW72" s="333"/>
      <c r="AX72" s="333"/>
      <c r="AY72" s="333"/>
      <c r="AZ72" s="333"/>
      <c r="BD72" s="399">
        <v>69</v>
      </c>
      <c r="BE72" s="399" t="s">
        <v>656</v>
      </c>
      <c r="BF72" s="251" t="s">
        <v>657</v>
      </c>
      <c r="BG72" s="399" t="s">
        <v>489</v>
      </c>
      <c r="BH72" s="252" t="s">
        <v>658</v>
      </c>
      <c r="BI72" s="251" t="s">
        <v>615</v>
      </c>
      <c r="BJ72" s="251" t="s">
        <v>539</v>
      </c>
      <c r="BK72" s="251" t="s">
        <v>659</v>
      </c>
      <c r="BL72" s="251" t="s">
        <v>493</v>
      </c>
      <c r="BQ72" s="27" t="s">
        <v>7619</v>
      </c>
      <c r="BR72" s="27" t="s">
        <v>7620</v>
      </c>
    </row>
    <row r="73" spans="2:70" ht="15">
      <c r="B73" s="428" t="s">
        <v>9162</v>
      </c>
      <c r="C73" s="333"/>
      <c r="D73" s="420" t="s">
        <v>9257</v>
      </c>
      <c r="E73" s="420" t="s">
        <v>9910</v>
      </c>
      <c r="F73" s="420" t="s">
        <v>9903</v>
      </c>
      <c r="G73" s="429" t="s">
        <v>9911</v>
      </c>
      <c r="H73" s="333"/>
      <c r="I73" s="333"/>
      <c r="J73" s="333"/>
      <c r="K73" s="333"/>
      <c r="L73" s="333"/>
      <c r="M73" s="75" t="s">
        <v>262</v>
      </c>
      <c r="R73" s="251"/>
      <c r="S73" s="251"/>
      <c r="AD73" s="383"/>
      <c r="AE73" s="285"/>
      <c r="AF73" s="285"/>
      <c r="AK73" s="15" t="s">
        <v>50</v>
      </c>
      <c r="AL73" s="15" t="s">
        <v>181</v>
      </c>
      <c r="AM73" s="15" t="s">
        <v>123</v>
      </c>
      <c r="AN73" s="15" t="s">
        <v>74</v>
      </c>
      <c r="AO73" s="15"/>
      <c r="AP73" s="15"/>
      <c r="AQ73" s="15"/>
      <c r="AR73" s="15"/>
      <c r="AS73" s="333"/>
      <c r="AT73" s="333"/>
      <c r="AU73" s="333"/>
      <c r="AV73" s="333"/>
      <c r="AW73" s="333"/>
      <c r="AX73" s="333"/>
      <c r="AY73" s="333"/>
      <c r="AZ73" s="333"/>
      <c r="BD73" s="399">
        <v>70</v>
      </c>
      <c r="BE73" s="399" t="s">
        <v>660</v>
      </c>
      <c r="BF73" s="251" t="s">
        <v>661</v>
      </c>
      <c r="BG73" s="399" t="s">
        <v>469</v>
      </c>
      <c r="BH73" s="252" t="s">
        <v>662</v>
      </c>
      <c r="BI73" s="251" t="s">
        <v>334</v>
      </c>
      <c r="BJ73" s="251" t="s">
        <v>407</v>
      </c>
      <c r="BK73" s="251" t="s">
        <v>663</v>
      </c>
      <c r="BL73" s="251" t="s">
        <v>472</v>
      </c>
      <c r="BQ73" s="27" t="s">
        <v>7621</v>
      </c>
      <c r="BR73" s="27" t="s">
        <v>7622</v>
      </c>
    </row>
    <row r="74" spans="2:70" ht="15">
      <c r="B74" s="428" t="s">
        <v>9339</v>
      </c>
      <c r="C74" s="333"/>
      <c r="D74" s="251" t="s">
        <v>9245</v>
      </c>
      <c r="E74" s="251" t="s">
        <v>9255</v>
      </c>
      <c r="F74" s="251" t="s">
        <v>9256</v>
      </c>
      <c r="G74" s="402" t="s">
        <v>9396</v>
      </c>
      <c r="H74" s="333"/>
      <c r="I74" s="333"/>
      <c r="J74" s="333"/>
      <c r="K74" s="333"/>
      <c r="L74" s="333"/>
      <c r="M74" s="83" t="s">
        <v>261</v>
      </c>
      <c r="N74" s="81"/>
      <c r="R74" s="251"/>
      <c r="S74" s="251"/>
      <c r="AD74" s="284"/>
      <c r="AE74" s="383"/>
      <c r="AF74" s="383"/>
      <c r="AJ74" s="333"/>
      <c r="AK74" s="13" t="s">
        <v>16</v>
      </c>
      <c r="AL74" s="11" t="s">
        <v>16</v>
      </c>
      <c r="AM74" s="13" t="s">
        <v>16</v>
      </c>
      <c r="AN74" s="12"/>
      <c r="AO74" s="15"/>
      <c r="AP74" s="15"/>
      <c r="AQ74" s="15"/>
      <c r="AR74" s="15"/>
      <c r="AS74" s="333"/>
      <c r="AT74" s="333"/>
      <c r="AU74" s="333"/>
      <c r="AV74" s="333"/>
      <c r="AW74" s="333"/>
      <c r="AX74" s="333"/>
      <c r="AY74" s="333"/>
      <c r="AZ74" s="333"/>
      <c r="BD74" s="399">
        <v>71</v>
      </c>
      <c r="BE74" s="399" t="s">
        <v>664</v>
      </c>
      <c r="BF74" s="251" t="s">
        <v>665</v>
      </c>
      <c r="BG74" s="399" t="s">
        <v>363</v>
      </c>
      <c r="BH74" s="252">
        <v>8</v>
      </c>
      <c r="BI74" s="251" t="s">
        <v>615</v>
      </c>
      <c r="BJ74" s="251" t="s">
        <v>351</v>
      </c>
      <c r="BK74" s="251" t="s">
        <v>666</v>
      </c>
      <c r="BL74" s="251" t="s">
        <v>368</v>
      </c>
      <c r="BQ74" s="27" t="s">
        <v>7623</v>
      </c>
      <c r="BR74" s="27" t="s">
        <v>7624</v>
      </c>
    </row>
    <row r="75" spans="2:70" ht="15">
      <c r="B75" s="428"/>
      <c r="C75" s="333"/>
      <c r="D75" s="251" t="s">
        <v>9245</v>
      </c>
      <c r="E75" s="251" t="s">
        <v>9250</v>
      </c>
      <c r="F75" s="251" t="s">
        <v>9254</v>
      </c>
      <c r="G75" s="402" t="s">
        <v>9400</v>
      </c>
      <c r="H75" s="333"/>
      <c r="I75" s="333"/>
      <c r="J75" s="333"/>
      <c r="K75" s="333"/>
      <c r="L75" s="333"/>
      <c r="R75" s="251"/>
      <c r="S75" s="251"/>
      <c r="AD75" s="383"/>
      <c r="AE75" s="383"/>
      <c r="AF75" s="383"/>
      <c r="AJ75" s="333"/>
      <c r="AK75" s="333"/>
      <c r="AL75" s="333"/>
      <c r="AM75" s="333"/>
      <c r="AN75" s="333"/>
      <c r="AO75" s="15"/>
      <c r="AP75" s="15"/>
      <c r="AQ75" s="15"/>
      <c r="AR75" s="15"/>
      <c r="AS75" s="333"/>
      <c r="AT75" s="333"/>
      <c r="AU75" s="333"/>
      <c r="AV75" s="333"/>
      <c r="AW75" s="333"/>
      <c r="AX75" s="333"/>
      <c r="AY75" s="333"/>
      <c r="AZ75" s="333"/>
      <c r="BD75" s="399">
        <v>72</v>
      </c>
      <c r="BE75" s="399" t="s">
        <v>667</v>
      </c>
      <c r="BF75" s="251" t="s">
        <v>668</v>
      </c>
      <c r="BG75" s="399" t="s">
        <v>395</v>
      </c>
      <c r="BH75" s="252">
        <v>16</v>
      </c>
      <c r="BI75" s="251" t="s">
        <v>365</v>
      </c>
      <c r="BJ75" s="251" t="s">
        <v>380</v>
      </c>
      <c r="BK75" s="251" t="s">
        <v>669</v>
      </c>
      <c r="BL75" s="251" t="s">
        <v>399</v>
      </c>
      <c r="BQ75" s="27" t="s">
        <v>7625</v>
      </c>
      <c r="BR75" s="27" t="s">
        <v>7626</v>
      </c>
    </row>
    <row r="76" spans="2:70" ht="15">
      <c r="B76" s="84"/>
      <c r="C76" s="333"/>
      <c r="D76" s="251" t="s">
        <v>9245</v>
      </c>
      <c r="E76" s="251" t="s">
        <v>9250</v>
      </c>
      <c r="F76" s="251" t="s">
        <v>9252</v>
      </c>
      <c r="G76" s="402" t="s">
        <v>9398</v>
      </c>
      <c r="H76" s="333"/>
      <c r="I76" s="333"/>
      <c r="J76" s="333"/>
      <c r="K76" s="333"/>
      <c r="L76" s="333"/>
      <c r="R76" s="251"/>
      <c r="S76" s="251"/>
      <c r="AD76" s="384"/>
      <c r="AE76" s="383"/>
      <c r="AF76" s="383"/>
      <c r="AK76" s="333"/>
      <c r="AL76" s="333"/>
      <c r="AM76" s="333"/>
      <c r="AN76" s="333"/>
      <c r="AO76" s="15"/>
      <c r="AP76" s="15"/>
      <c r="AQ76" s="15"/>
      <c r="AR76" s="15"/>
      <c r="AS76" s="333"/>
      <c r="AT76" s="333"/>
      <c r="AU76" s="333"/>
      <c r="AV76" s="333"/>
      <c r="AW76" s="333"/>
      <c r="AX76" s="333"/>
      <c r="AY76" s="333"/>
      <c r="AZ76" s="333"/>
      <c r="BD76" s="399">
        <v>73</v>
      </c>
      <c r="BE76" s="399" t="s">
        <v>670</v>
      </c>
      <c r="BF76" s="251" t="s">
        <v>671</v>
      </c>
      <c r="BG76" s="399" t="s">
        <v>435</v>
      </c>
      <c r="BH76" s="252" t="s">
        <v>436</v>
      </c>
      <c r="BI76" s="251" t="s">
        <v>331</v>
      </c>
      <c r="BJ76" s="251" t="s">
        <v>385</v>
      </c>
      <c r="BK76" s="251" t="s">
        <v>672</v>
      </c>
      <c r="BL76" s="251" t="s">
        <v>439</v>
      </c>
      <c r="BQ76" s="27" t="s">
        <v>7627</v>
      </c>
      <c r="BR76" s="27" t="s">
        <v>7628</v>
      </c>
    </row>
    <row r="77" spans="2:70" ht="15">
      <c r="B77" s="84"/>
      <c r="C77" s="10"/>
      <c r="D77" s="251" t="s">
        <v>9245</v>
      </c>
      <c r="E77" s="251" t="s">
        <v>9250</v>
      </c>
      <c r="F77" s="251" t="s">
        <v>9251</v>
      </c>
      <c r="G77" s="402" t="s">
        <v>9397</v>
      </c>
      <c r="H77" s="333"/>
      <c r="I77" s="333"/>
      <c r="J77" s="333"/>
      <c r="K77" s="333"/>
      <c r="L77" s="333"/>
      <c r="R77" s="251"/>
      <c r="S77" s="251"/>
      <c r="AD77" s="383"/>
      <c r="AE77" s="383"/>
      <c r="AF77" s="383"/>
      <c r="AK77" s="333"/>
      <c r="AL77" s="333"/>
      <c r="AM77" s="333"/>
      <c r="AN77" s="333"/>
      <c r="AO77" s="113"/>
      <c r="AP77" s="15"/>
      <c r="AQ77" s="15"/>
      <c r="AR77" s="15"/>
      <c r="AS77" s="333"/>
      <c r="AT77" s="333"/>
      <c r="AU77" s="333"/>
      <c r="AV77" s="333"/>
      <c r="AW77" s="333"/>
      <c r="AX77" s="333"/>
      <c r="AY77" s="333"/>
      <c r="AZ77" s="333"/>
      <c r="BD77" s="399">
        <v>74</v>
      </c>
      <c r="BE77" s="399" t="s">
        <v>673</v>
      </c>
      <c r="BF77" s="251" t="s">
        <v>674</v>
      </c>
      <c r="BG77" s="399" t="s">
        <v>435</v>
      </c>
      <c r="BH77" s="252" t="s">
        <v>436</v>
      </c>
      <c r="BI77" s="251" t="s">
        <v>365</v>
      </c>
      <c r="BJ77" s="251" t="s">
        <v>380</v>
      </c>
      <c r="BK77" s="251" t="s">
        <v>675</v>
      </c>
      <c r="BL77" s="251" t="s">
        <v>439</v>
      </c>
      <c r="BQ77" s="27" t="s">
        <v>7629</v>
      </c>
      <c r="BR77" s="27" t="s">
        <v>7630</v>
      </c>
    </row>
    <row r="78" spans="2:70" ht="15">
      <c r="B78" s="84"/>
      <c r="C78" s="10"/>
      <c r="D78" s="251" t="s">
        <v>9245</v>
      </c>
      <c r="E78" s="251" t="s">
        <v>9250</v>
      </c>
      <c r="F78" s="251" t="s">
        <v>9253</v>
      </c>
      <c r="G78" s="402" t="s">
        <v>9399</v>
      </c>
      <c r="H78" s="333"/>
      <c r="I78" s="333"/>
      <c r="J78" s="333"/>
      <c r="K78" s="333"/>
      <c r="L78" s="333"/>
      <c r="R78" s="251"/>
      <c r="S78" s="251"/>
      <c r="AD78" s="383"/>
      <c r="AE78" s="284"/>
      <c r="AF78" s="284"/>
      <c r="AJ78" s="333"/>
      <c r="AK78" s="333"/>
      <c r="AL78" s="333"/>
      <c r="AM78" s="333"/>
      <c r="AN78" s="333"/>
      <c r="AO78" s="62"/>
      <c r="AP78" s="113"/>
      <c r="AQ78" s="113"/>
      <c r="AR78" s="113"/>
      <c r="AS78" s="333"/>
      <c r="AT78" s="333"/>
      <c r="AU78" s="333"/>
      <c r="AV78" s="333"/>
      <c r="AW78" s="333"/>
      <c r="AX78" s="333"/>
      <c r="AY78" s="333"/>
      <c r="AZ78" s="333"/>
      <c r="BD78" s="399">
        <v>75</v>
      </c>
      <c r="BE78" s="399" t="s">
        <v>676</v>
      </c>
      <c r="BF78" s="251" t="s">
        <v>677</v>
      </c>
      <c r="BG78" s="399" t="s">
        <v>371</v>
      </c>
      <c r="BH78" s="252">
        <v>28</v>
      </c>
      <c r="BI78" s="251" t="s">
        <v>334</v>
      </c>
      <c r="BJ78" s="251" t="s">
        <v>380</v>
      </c>
      <c r="BK78" s="251" t="s">
        <v>678</v>
      </c>
      <c r="BL78" s="251" t="s">
        <v>375</v>
      </c>
      <c r="BQ78" s="27" t="s">
        <v>7631</v>
      </c>
      <c r="BR78" s="27" t="s">
        <v>7632</v>
      </c>
    </row>
    <row r="79" spans="2:70" ht="19" customHeight="1">
      <c r="B79" s="84"/>
      <c r="C79" s="10"/>
      <c r="D79" s="251" t="s">
        <v>9245</v>
      </c>
      <c r="E79" s="251" t="s">
        <v>9248</v>
      </c>
      <c r="F79" s="251" t="s">
        <v>9249</v>
      </c>
      <c r="G79" s="402" t="s">
        <v>9401</v>
      </c>
      <c r="H79" s="333"/>
      <c r="I79" s="333"/>
      <c r="J79" s="333"/>
      <c r="K79" s="333"/>
      <c r="L79" s="333"/>
      <c r="R79" s="251"/>
      <c r="S79" s="251"/>
      <c r="AD79" s="384"/>
      <c r="AE79" s="383"/>
      <c r="AF79" s="383"/>
      <c r="AJ79" s="333"/>
      <c r="AK79" s="333"/>
      <c r="AL79" s="333"/>
      <c r="AM79" s="333"/>
      <c r="AN79" s="333"/>
      <c r="AO79" s="62"/>
      <c r="AP79" s="62"/>
      <c r="AQ79" s="62"/>
      <c r="AR79" s="62"/>
      <c r="AS79" s="333"/>
      <c r="AT79" s="333"/>
      <c r="AU79" s="333"/>
      <c r="AV79" s="333"/>
      <c r="AW79" s="333"/>
      <c r="AX79" s="333"/>
      <c r="AY79" s="333"/>
      <c r="AZ79" s="333"/>
      <c r="BD79" s="399">
        <v>76</v>
      </c>
      <c r="BE79" s="399" t="s">
        <v>679</v>
      </c>
      <c r="BF79" s="251" t="s">
        <v>680</v>
      </c>
      <c r="BG79" s="399" t="s">
        <v>435</v>
      </c>
      <c r="BH79" s="252" t="s">
        <v>681</v>
      </c>
      <c r="BI79" s="251" t="s">
        <v>682</v>
      </c>
      <c r="BJ79" s="251" t="s">
        <v>413</v>
      </c>
      <c r="BK79" s="251" t="s">
        <v>683</v>
      </c>
      <c r="BL79" s="251" t="s">
        <v>439</v>
      </c>
      <c r="BQ79" s="27" t="s">
        <v>7633</v>
      </c>
      <c r="BR79" s="27" t="s">
        <v>7634</v>
      </c>
    </row>
    <row r="80" spans="2:70" ht="15">
      <c r="B80" s="84"/>
      <c r="C80" s="10"/>
      <c r="D80" s="251" t="s">
        <v>9245</v>
      </c>
      <c r="E80" s="251" t="s">
        <v>9246</v>
      </c>
      <c r="F80" s="251" t="s">
        <v>9247</v>
      </c>
      <c r="G80" s="402" t="s">
        <v>9402</v>
      </c>
      <c r="H80" s="333"/>
      <c r="I80" s="333"/>
      <c r="J80" s="333"/>
      <c r="K80" s="333"/>
      <c r="L80" s="333"/>
      <c r="R80" s="251"/>
      <c r="S80" s="251"/>
      <c r="AE80" s="384"/>
      <c r="AF80" s="384"/>
      <c r="AJ80" s="333"/>
      <c r="AK80" s="333"/>
      <c r="AL80" s="333"/>
      <c r="AM80" s="333"/>
      <c r="AN80" s="333"/>
      <c r="AO80" s="62"/>
      <c r="AP80" s="62"/>
      <c r="AQ80" s="62"/>
      <c r="AR80" s="62"/>
      <c r="AS80" s="333"/>
      <c r="AT80" s="333"/>
      <c r="AU80" s="333"/>
      <c r="AV80" s="333"/>
      <c r="AW80" s="333"/>
      <c r="AX80" s="333"/>
      <c r="AY80" s="333"/>
      <c r="AZ80" s="333"/>
      <c r="BD80" s="399">
        <v>77</v>
      </c>
      <c r="BE80" s="399" t="s">
        <v>684</v>
      </c>
      <c r="BF80" s="251" t="s">
        <v>685</v>
      </c>
      <c r="BG80" s="399" t="s">
        <v>395</v>
      </c>
      <c r="BH80" s="252">
        <v>16</v>
      </c>
      <c r="BI80" s="251" t="s">
        <v>331</v>
      </c>
      <c r="BJ80" s="251" t="s">
        <v>351</v>
      </c>
      <c r="BK80" s="251" t="s">
        <v>686</v>
      </c>
      <c r="BL80" s="251" t="s">
        <v>399</v>
      </c>
      <c r="BQ80" s="27" t="s">
        <v>7635</v>
      </c>
      <c r="BR80" s="27" t="s">
        <v>7636</v>
      </c>
    </row>
    <row r="81" spans="2:70" ht="15">
      <c r="B81" s="84"/>
      <c r="C81" s="10"/>
      <c r="D81" s="251" t="s">
        <v>9191</v>
      </c>
      <c r="E81" s="251" t="s">
        <v>9194</v>
      </c>
      <c r="F81" s="251" t="s">
        <v>9195</v>
      </c>
      <c r="G81" s="402" t="s">
        <v>9403</v>
      </c>
      <c r="H81" s="333"/>
      <c r="I81" s="333"/>
      <c r="J81" s="333"/>
      <c r="K81" s="333"/>
      <c r="L81" s="333"/>
      <c r="R81" s="251"/>
      <c r="S81" s="251"/>
      <c r="AE81" s="383"/>
      <c r="AF81" s="383"/>
      <c r="AG81" s="415"/>
      <c r="AJ81" s="333"/>
      <c r="AK81" s="333"/>
      <c r="AL81" s="333"/>
      <c r="AM81" s="333"/>
      <c r="AN81" s="333"/>
      <c r="AO81" s="333"/>
      <c r="AP81" s="62"/>
      <c r="AQ81" s="62"/>
      <c r="AR81" s="62"/>
      <c r="AS81" s="333"/>
      <c r="AT81" s="333"/>
      <c r="AU81" s="333"/>
      <c r="AV81" s="333"/>
      <c r="AW81" s="333"/>
      <c r="AX81" s="333"/>
      <c r="AY81" s="333"/>
      <c r="AZ81" s="333"/>
      <c r="BD81" s="399">
        <v>78</v>
      </c>
      <c r="BE81" s="399" t="s">
        <v>687</v>
      </c>
      <c r="BF81" s="251" t="s">
        <v>688</v>
      </c>
      <c r="BG81" s="399" t="s">
        <v>435</v>
      </c>
      <c r="BH81" s="252" t="s">
        <v>681</v>
      </c>
      <c r="BI81" s="251" t="s">
        <v>689</v>
      </c>
      <c r="BJ81" s="251" t="s">
        <v>351</v>
      </c>
      <c r="BK81" s="251" t="s">
        <v>690</v>
      </c>
      <c r="BL81" s="251" t="s">
        <v>439</v>
      </c>
      <c r="BQ81" s="27" t="s">
        <v>7637</v>
      </c>
      <c r="BR81" s="27" t="s">
        <v>7257</v>
      </c>
    </row>
    <row r="82" spans="2:70" ht="15">
      <c r="B82" s="84"/>
      <c r="C82" s="10"/>
      <c r="D82" s="401" t="s">
        <v>9191</v>
      </c>
      <c r="E82" s="401" t="s">
        <v>9194</v>
      </c>
      <c r="F82" s="401" t="s">
        <v>9776</v>
      </c>
      <c r="G82" s="423" t="s">
        <v>9775</v>
      </c>
      <c r="H82" s="333"/>
      <c r="I82" s="333"/>
      <c r="J82" s="333"/>
      <c r="K82" s="333"/>
      <c r="L82" s="333"/>
      <c r="R82" s="251"/>
      <c r="S82" s="251"/>
      <c r="AE82" s="383"/>
      <c r="AF82" s="383"/>
      <c r="AJ82" s="333"/>
      <c r="AK82" s="333"/>
      <c r="AL82" s="333"/>
      <c r="AM82" s="333"/>
      <c r="AN82" s="333"/>
      <c r="AO82" s="333"/>
      <c r="AP82" s="333"/>
      <c r="AQ82" s="333"/>
      <c r="AR82" s="333"/>
      <c r="AS82" s="333"/>
      <c r="AT82" s="333"/>
      <c r="AU82" s="333"/>
      <c r="AV82" s="333"/>
      <c r="AW82" s="333"/>
      <c r="AX82" s="333"/>
      <c r="AY82" s="333"/>
      <c r="AZ82" s="333"/>
      <c r="BD82" s="399">
        <v>79</v>
      </c>
      <c r="BE82" s="399" t="s">
        <v>691</v>
      </c>
      <c r="BF82" s="251" t="s">
        <v>692</v>
      </c>
      <c r="BG82" s="399" t="s">
        <v>435</v>
      </c>
      <c r="BH82" s="252" t="s">
        <v>436</v>
      </c>
      <c r="BI82" s="251" t="s">
        <v>333</v>
      </c>
      <c r="BJ82" s="251" t="s">
        <v>390</v>
      </c>
      <c r="BK82" s="251" t="s">
        <v>693</v>
      </c>
      <c r="BL82" s="251" t="s">
        <v>439</v>
      </c>
      <c r="BQ82" s="27" t="s">
        <v>7638</v>
      </c>
      <c r="BR82" s="27" t="s">
        <v>7639</v>
      </c>
    </row>
    <row r="83" spans="2:70" ht="15">
      <c r="B83" s="84"/>
      <c r="C83" s="10"/>
      <c r="D83" s="401" t="s">
        <v>9191</v>
      </c>
      <c r="E83" s="401" t="s">
        <v>9194</v>
      </c>
      <c r="F83" s="401" t="s">
        <v>9740</v>
      </c>
      <c r="G83" s="423" t="s">
        <v>9744</v>
      </c>
      <c r="H83" s="333"/>
      <c r="I83" s="333"/>
      <c r="J83" s="333"/>
      <c r="K83" s="333"/>
      <c r="L83" s="333"/>
      <c r="R83" s="251"/>
      <c r="S83" s="251"/>
      <c r="X83" s="382"/>
      <c r="AE83" s="384"/>
      <c r="AF83" s="384"/>
      <c r="AJ83" s="333"/>
      <c r="AK83" s="333"/>
      <c r="AL83" s="333"/>
      <c r="AM83" s="333"/>
      <c r="AN83" s="333"/>
      <c r="AO83" s="333"/>
      <c r="AP83" s="333"/>
      <c r="AQ83" s="333"/>
      <c r="AR83" s="333"/>
      <c r="AS83" s="333"/>
      <c r="AT83" s="333"/>
      <c r="AU83" s="333"/>
      <c r="AV83" s="333"/>
      <c r="AW83" s="333"/>
      <c r="AX83" s="333"/>
      <c r="AY83" s="333"/>
      <c r="AZ83" s="333"/>
      <c r="BD83" s="399">
        <v>80</v>
      </c>
      <c r="BE83" s="399" t="s">
        <v>694</v>
      </c>
      <c r="BF83" s="251" t="s">
        <v>695</v>
      </c>
      <c r="BG83" s="399" t="s">
        <v>455</v>
      </c>
      <c r="BH83" s="252">
        <v>35</v>
      </c>
      <c r="BI83" s="251" t="s">
        <v>635</v>
      </c>
      <c r="BJ83" s="251" t="s">
        <v>413</v>
      </c>
      <c r="BK83" s="251" t="s">
        <v>696</v>
      </c>
      <c r="BL83" s="251" t="s">
        <v>458</v>
      </c>
      <c r="BQ83" s="27" t="s">
        <v>7640</v>
      </c>
      <c r="BR83" s="27" t="s">
        <v>7641</v>
      </c>
    </row>
    <row r="84" spans="2:70" ht="15">
      <c r="B84" s="84"/>
      <c r="C84" s="10"/>
      <c r="D84" s="401" t="s">
        <v>9191</v>
      </c>
      <c r="E84" s="401" t="s">
        <v>9194</v>
      </c>
      <c r="F84" s="401" t="s">
        <v>9738</v>
      </c>
      <c r="G84" s="423" t="s">
        <v>9781</v>
      </c>
      <c r="H84" s="333"/>
      <c r="I84" s="333"/>
      <c r="J84" s="333"/>
      <c r="K84" s="333"/>
      <c r="L84" s="333"/>
      <c r="R84" s="251"/>
      <c r="S84" s="251"/>
      <c r="AJ84" s="333"/>
      <c r="AK84" s="333"/>
      <c r="AL84" s="333"/>
      <c r="AM84" s="333"/>
      <c r="AN84" s="333"/>
      <c r="AO84" s="333"/>
      <c r="AP84" s="333"/>
      <c r="AQ84" s="333"/>
      <c r="AR84" s="333"/>
      <c r="AS84" s="333"/>
      <c r="AT84" s="333"/>
      <c r="AU84" s="333"/>
      <c r="AV84" s="333"/>
      <c r="AW84" s="333"/>
      <c r="AX84" s="333"/>
      <c r="AY84" s="333"/>
      <c r="AZ84" s="333"/>
      <c r="BD84" s="399">
        <v>81</v>
      </c>
      <c r="BE84" s="399" t="s">
        <v>697</v>
      </c>
      <c r="BF84" s="251" t="s">
        <v>698</v>
      </c>
      <c r="BG84" s="399" t="s">
        <v>389</v>
      </c>
      <c r="BH84" s="252">
        <v>39</v>
      </c>
      <c r="BI84" s="251" t="s">
        <v>563</v>
      </c>
      <c r="BJ84" s="251" t="s">
        <v>385</v>
      </c>
      <c r="BK84" s="251" t="s">
        <v>699</v>
      </c>
      <c r="BL84" s="251" t="s">
        <v>392</v>
      </c>
      <c r="BQ84" s="27" t="s">
        <v>7640</v>
      </c>
      <c r="BR84" s="27" t="s">
        <v>7269</v>
      </c>
    </row>
    <row r="85" spans="2:70" ht="15">
      <c r="B85" s="84"/>
      <c r="C85" s="10"/>
      <c r="D85" s="401" t="s">
        <v>9191</v>
      </c>
      <c r="E85" s="401" t="s">
        <v>9194</v>
      </c>
      <c r="F85" s="401" t="s">
        <v>9738</v>
      </c>
      <c r="G85" s="423" t="s">
        <v>9745</v>
      </c>
      <c r="H85" s="333"/>
      <c r="I85" s="333"/>
      <c r="J85" s="333"/>
      <c r="K85" s="333"/>
      <c r="L85" s="333"/>
      <c r="R85" s="251"/>
      <c r="S85" s="251"/>
      <c r="AJ85" s="333"/>
      <c r="AK85" s="333"/>
      <c r="AL85" s="333"/>
      <c r="AM85" s="333"/>
      <c r="AN85" s="333"/>
      <c r="AO85" s="333"/>
      <c r="AP85" s="333"/>
      <c r="AQ85" s="333"/>
      <c r="AR85" s="333"/>
      <c r="AS85" s="333"/>
      <c r="AT85" s="333"/>
      <c r="AU85" s="333"/>
      <c r="AV85" s="333"/>
      <c r="AW85" s="333"/>
      <c r="AX85" s="333"/>
      <c r="AY85" s="333"/>
      <c r="AZ85" s="333"/>
      <c r="BD85" s="399">
        <v>82</v>
      </c>
      <c r="BE85" s="399" t="s">
        <v>700</v>
      </c>
      <c r="BF85" s="251" t="s">
        <v>701</v>
      </c>
      <c r="BG85" s="399" t="s">
        <v>363</v>
      </c>
      <c r="BH85" s="252" t="s">
        <v>575</v>
      </c>
      <c r="BI85" s="251" t="s">
        <v>350</v>
      </c>
      <c r="BJ85" s="251" t="s">
        <v>397</v>
      </c>
      <c r="BK85" s="251" t="s">
        <v>702</v>
      </c>
      <c r="BL85" s="251" t="s">
        <v>368</v>
      </c>
      <c r="BQ85" s="27" t="s">
        <v>7642</v>
      </c>
      <c r="BR85" s="27" t="s">
        <v>7643</v>
      </c>
    </row>
    <row r="86" spans="2:70" ht="15">
      <c r="B86" s="84"/>
      <c r="C86" s="10"/>
      <c r="D86" s="401" t="s">
        <v>9191</v>
      </c>
      <c r="E86" s="401" t="s">
        <v>9175</v>
      </c>
      <c r="F86" s="401" t="s">
        <v>9762</v>
      </c>
      <c r="G86" s="423" t="s">
        <v>9763</v>
      </c>
      <c r="H86" s="333"/>
      <c r="I86" s="333"/>
      <c r="J86" s="333"/>
      <c r="K86" s="333"/>
      <c r="L86" s="333"/>
      <c r="R86" s="251"/>
      <c r="S86" s="251"/>
      <c r="AJ86" s="333"/>
      <c r="AK86" s="333"/>
      <c r="AL86" s="333"/>
      <c r="AM86" s="333"/>
      <c r="AN86" s="333"/>
      <c r="AO86" s="333"/>
      <c r="AP86" s="333"/>
      <c r="AQ86" s="333"/>
      <c r="AR86" s="333"/>
      <c r="AS86" s="333"/>
      <c r="AT86" s="333"/>
      <c r="AU86" s="333"/>
      <c r="AV86" s="333"/>
      <c r="AW86" s="333"/>
      <c r="AX86" s="333"/>
      <c r="AY86" s="333"/>
      <c r="AZ86" s="333"/>
      <c r="BD86" s="399">
        <v>83</v>
      </c>
      <c r="BE86" s="399" t="s">
        <v>703</v>
      </c>
      <c r="BF86" s="251" t="s">
        <v>704</v>
      </c>
      <c r="BG86" s="399" t="s">
        <v>519</v>
      </c>
      <c r="BH86" s="252">
        <v>30</v>
      </c>
      <c r="BI86" s="251" t="s">
        <v>379</v>
      </c>
      <c r="BJ86" s="251" t="s">
        <v>407</v>
      </c>
      <c r="BK86" s="251" t="s">
        <v>705</v>
      </c>
      <c r="BL86" s="251" t="s">
        <v>521</v>
      </c>
      <c r="BQ86" s="27" t="s">
        <v>7644</v>
      </c>
      <c r="BR86" s="27" t="s">
        <v>7479</v>
      </c>
    </row>
    <row r="87" spans="2:70" ht="15">
      <c r="B87" s="84"/>
      <c r="C87" s="10"/>
      <c r="D87" s="401" t="s">
        <v>9191</v>
      </c>
      <c r="E87" s="401" t="s">
        <v>9175</v>
      </c>
      <c r="F87" s="401" t="s">
        <v>9746</v>
      </c>
      <c r="G87" s="423" t="s">
        <v>9747</v>
      </c>
      <c r="H87" s="333"/>
      <c r="I87" s="333"/>
      <c r="J87" s="333"/>
      <c r="K87" s="333"/>
      <c r="L87" s="333"/>
      <c r="R87" s="251"/>
      <c r="S87" s="251"/>
      <c r="AJ87" s="333"/>
      <c r="AK87" s="333"/>
      <c r="AL87" s="333"/>
      <c r="AM87" s="333"/>
      <c r="AN87" s="333"/>
      <c r="AO87" s="333"/>
      <c r="AP87" s="333"/>
      <c r="AQ87" s="333"/>
      <c r="AR87" s="333"/>
      <c r="AS87" s="333"/>
      <c r="AT87" s="333"/>
      <c r="AU87" s="333"/>
      <c r="AV87" s="333"/>
      <c r="AW87" s="333"/>
      <c r="AX87" s="333"/>
      <c r="AY87" s="333"/>
      <c r="AZ87" s="333"/>
      <c r="BD87" s="399">
        <v>84</v>
      </c>
      <c r="BE87" s="399" t="s">
        <v>706</v>
      </c>
      <c r="BF87" s="251" t="s">
        <v>707</v>
      </c>
      <c r="BG87" s="399" t="s">
        <v>395</v>
      </c>
      <c r="BH87" s="252">
        <v>16</v>
      </c>
      <c r="BI87" s="251" t="s">
        <v>450</v>
      </c>
      <c r="BJ87" s="251" t="s">
        <v>397</v>
      </c>
      <c r="BK87" s="251" t="s">
        <v>708</v>
      </c>
      <c r="BL87" s="251" t="s">
        <v>399</v>
      </c>
      <c r="BQ87" s="27" t="s">
        <v>7645</v>
      </c>
      <c r="BR87" s="27" t="s">
        <v>7646</v>
      </c>
    </row>
    <row r="88" spans="2:70" ht="15">
      <c r="B88" s="84"/>
      <c r="C88" s="10"/>
      <c r="D88" s="401" t="s">
        <v>9191</v>
      </c>
      <c r="E88" s="401" t="s">
        <v>9175</v>
      </c>
      <c r="F88" s="401" t="s">
        <v>9193</v>
      </c>
      <c r="G88" s="423" t="s">
        <v>9404</v>
      </c>
      <c r="H88" s="333"/>
      <c r="I88" s="333"/>
      <c r="J88" s="333"/>
      <c r="K88" s="333"/>
      <c r="L88" s="333"/>
      <c r="R88" s="251"/>
      <c r="S88" s="251"/>
      <c r="AJ88" s="333"/>
      <c r="AK88" s="333"/>
      <c r="AL88" s="333"/>
      <c r="AM88" s="333"/>
      <c r="AN88" s="333"/>
      <c r="AO88" s="333"/>
      <c r="AP88" s="333"/>
      <c r="AQ88" s="333"/>
      <c r="AR88" s="333"/>
      <c r="AS88" s="333"/>
      <c r="AT88" s="333"/>
      <c r="AU88" s="333"/>
      <c r="AV88" s="333"/>
      <c r="AW88" s="333"/>
      <c r="AX88" s="333"/>
      <c r="AY88" s="333"/>
      <c r="AZ88" s="333"/>
      <c r="BD88" s="399">
        <v>85</v>
      </c>
      <c r="BE88" s="399" t="s">
        <v>709</v>
      </c>
      <c r="BF88" s="251" t="s">
        <v>710</v>
      </c>
      <c r="BG88" s="399" t="s">
        <v>371</v>
      </c>
      <c r="BH88" s="252">
        <v>28</v>
      </c>
      <c r="BI88" s="251" t="s">
        <v>379</v>
      </c>
      <c r="BJ88" s="251" t="s">
        <v>366</v>
      </c>
      <c r="BK88" s="251" t="s">
        <v>711</v>
      </c>
      <c r="BL88" s="251" t="s">
        <v>375</v>
      </c>
      <c r="BQ88" s="27" t="s">
        <v>7647</v>
      </c>
      <c r="BR88" s="27" t="s">
        <v>7648</v>
      </c>
    </row>
    <row r="89" spans="2:70" ht="15">
      <c r="B89" s="84"/>
      <c r="C89" s="10"/>
      <c r="D89" s="401" t="s">
        <v>9191</v>
      </c>
      <c r="E89" s="401" t="s">
        <v>9175</v>
      </c>
      <c r="F89" s="401" t="s">
        <v>9748</v>
      </c>
      <c r="G89" s="423" t="s">
        <v>9750</v>
      </c>
      <c r="H89" s="333"/>
      <c r="I89" s="333"/>
      <c r="J89" s="333"/>
      <c r="K89" s="333"/>
      <c r="L89" s="333"/>
      <c r="R89" s="251"/>
      <c r="S89" s="251"/>
      <c r="AJ89" s="333"/>
      <c r="AK89" s="333"/>
      <c r="AL89" s="333"/>
      <c r="AM89" s="333"/>
      <c r="AN89" s="333"/>
      <c r="AO89" s="333"/>
      <c r="AP89" s="333"/>
      <c r="AQ89" s="333"/>
      <c r="AR89" s="333"/>
      <c r="AS89" s="333"/>
      <c r="AT89" s="333"/>
      <c r="AU89" s="333"/>
      <c r="AV89" s="333"/>
      <c r="AW89" s="333"/>
      <c r="AX89" s="333"/>
      <c r="AY89" s="333"/>
      <c r="AZ89" s="333"/>
      <c r="BD89" s="399">
        <v>86</v>
      </c>
      <c r="BE89" s="399" t="s">
        <v>712</v>
      </c>
      <c r="BF89" s="251" t="s">
        <v>713</v>
      </c>
      <c r="BG89" s="399" t="s">
        <v>475</v>
      </c>
      <c r="BH89" s="252" t="s">
        <v>476</v>
      </c>
      <c r="BI89" s="251" t="s">
        <v>350</v>
      </c>
      <c r="BJ89" s="251" t="s">
        <v>366</v>
      </c>
      <c r="BK89" s="251" t="s">
        <v>714</v>
      </c>
      <c r="BL89" s="251" t="s">
        <v>479</v>
      </c>
      <c r="BQ89" s="27" t="s">
        <v>7649</v>
      </c>
      <c r="BR89" s="27" t="s">
        <v>7650</v>
      </c>
    </row>
    <row r="90" spans="2:70" ht="15">
      <c r="B90" s="84"/>
      <c r="C90" s="10"/>
      <c r="D90" s="401" t="s">
        <v>9191</v>
      </c>
      <c r="E90" s="433" t="s">
        <v>9175</v>
      </c>
      <c r="F90" s="401" t="s">
        <v>9749</v>
      </c>
      <c r="G90" s="423" t="s">
        <v>9751</v>
      </c>
      <c r="H90" s="333"/>
      <c r="I90" s="333"/>
      <c r="J90" s="333"/>
      <c r="K90" s="333"/>
      <c r="L90" s="333"/>
      <c r="R90" s="251"/>
      <c r="S90" s="251"/>
      <c r="AJ90" s="333"/>
      <c r="AK90" s="333"/>
      <c r="AL90" s="333"/>
      <c r="AM90" s="333"/>
      <c r="AN90" s="333"/>
      <c r="AO90" s="333"/>
      <c r="AP90" s="333"/>
      <c r="AQ90" s="333"/>
      <c r="AR90" s="333"/>
      <c r="AS90" s="333"/>
      <c r="AT90" s="333"/>
      <c r="AU90" s="333"/>
      <c r="AV90" s="333"/>
      <c r="AW90" s="333"/>
      <c r="AX90" s="333"/>
      <c r="AY90" s="333"/>
      <c r="AZ90" s="333"/>
      <c r="BD90" s="399">
        <v>87</v>
      </c>
      <c r="BE90" s="399" t="s">
        <v>715</v>
      </c>
      <c r="BF90" s="251" t="s">
        <v>716</v>
      </c>
      <c r="BG90" s="399" t="s">
        <v>395</v>
      </c>
      <c r="BH90" s="252">
        <v>16</v>
      </c>
      <c r="BI90" s="251" t="s">
        <v>496</v>
      </c>
      <c r="BJ90" s="251" t="s">
        <v>407</v>
      </c>
      <c r="BK90" s="251" t="s">
        <v>717</v>
      </c>
      <c r="BL90" s="251" t="s">
        <v>399</v>
      </c>
      <c r="BQ90" s="27" t="s">
        <v>7651</v>
      </c>
      <c r="BR90" s="27" t="s">
        <v>7652</v>
      </c>
    </row>
    <row r="91" spans="2:70" ht="15">
      <c r="B91" s="84"/>
      <c r="C91" s="10"/>
      <c r="D91" s="401" t="s">
        <v>9191</v>
      </c>
      <c r="E91" s="433" t="s">
        <v>9841</v>
      </c>
      <c r="F91" s="401" t="s">
        <v>9842</v>
      </c>
      <c r="G91" s="423" t="s">
        <v>9843</v>
      </c>
      <c r="H91" s="333"/>
      <c r="I91" s="333"/>
      <c r="J91" s="333"/>
      <c r="K91" s="333"/>
      <c r="L91" s="333"/>
      <c r="R91" s="251"/>
      <c r="S91" s="251"/>
      <c r="AJ91" s="333"/>
      <c r="AK91" s="333"/>
      <c r="AL91" s="333"/>
      <c r="AM91" s="333"/>
      <c r="AN91" s="333"/>
      <c r="AO91" s="333"/>
      <c r="AP91" s="333"/>
      <c r="AQ91" s="333"/>
      <c r="AR91" s="333"/>
      <c r="AS91" s="333"/>
      <c r="AT91" s="333"/>
      <c r="AU91" s="333"/>
      <c r="AV91" s="333"/>
      <c r="AW91" s="333"/>
      <c r="AX91" s="333"/>
      <c r="AY91" s="333"/>
      <c r="AZ91" s="333"/>
      <c r="BD91" s="399">
        <v>88</v>
      </c>
      <c r="BE91" s="399" t="s">
        <v>718</v>
      </c>
      <c r="BF91" s="251" t="s">
        <v>719</v>
      </c>
      <c r="BG91" s="399" t="s">
        <v>566</v>
      </c>
      <c r="BH91" s="252" t="s">
        <v>567</v>
      </c>
      <c r="BI91" s="251" t="s">
        <v>720</v>
      </c>
      <c r="BJ91" s="251" t="s">
        <v>413</v>
      </c>
      <c r="BK91" s="251" t="s">
        <v>721</v>
      </c>
      <c r="BL91" s="251" t="s">
        <v>569</v>
      </c>
      <c r="BQ91" s="27" t="s">
        <v>7653</v>
      </c>
      <c r="BR91" s="27" t="s">
        <v>7654</v>
      </c>
    </row>
    <row r="92" spans="2:70" ht="15">
      <c r="B92" s="84"/>
      <c r="C92" s="10"/>
      <c r="D92" s="401" t="s">
        <v>9191</v>
      </c>
      <c r="E92" s="433" t="s">
        <v>9841</v>
      </c>
      <c r="F92" s="401" t="s">
        <v>9844</v>
      </c>
      <c r="G92" s="423" t="s">
        <v>9845</v>
      </c>
      <c r="H92" s="333"/>
      <c r="I92" s="333"/>
      <c r="J92" s="333"/>
      <c r="K92" s="333"/>
      <c r="L92" s="333"/>
      <c r="R92" s="251"/>
      <c r="S92" s="251"/>
      <c r="AJ92" s="333"/>
      <c r="AK92" s="333"/>
      <c r="AL92" s="333"/>
      <c r="AM92" s="333"/>
      <c r="AN92" s="333"/>
      <c r="AO92" s="333"/>
      <c r="AP92" s="333"/>
      <c r="AQ92" s="333"/>
      <c r="AR92" s="333"/>
      <c r="AS92" s="333"/>
      <c r="AT92" s="333"/>
      <c r="AU92" s="333"/>
      <c r="AV92" s="333"/>
      <c r="AW92" s="333"/>
      <c r="AX92" s="333"/>
      <c r="AY92" s="333"/>
      <c r="AZ92" s="333"/>
      <c r="BD92" s="399">
        <v>89</v>
      </c>
      <c r="BE92" s="399" t="s">
        <v>722</v>
      </c>
      <c r="BF92" s="251" t="s">
        <v>723</v>
      </c>
      <c r="BG92" s="399">
        <v>57</v>
      </c>
      <c r="BH92" s="252">
        <v>57</v>
      </c>
      <c r="BI92" s="251" t="s">
        <v>331</v>
      </c>
      <c r="BJ92" s="251" t="s">
        <v>397</v>
      </c>
      <c r="BK92" s="251" t="s">
        <v>724</v>
      </c>
      <c r="BL92" s="251" t="s">
        <v>725</v>
      </c>
      <c r="BQ92" s="27" t="s">
        <v>7655</v>
      </c>
      <c r="BR92" s="27" t="s">
        <v>7656</v>
      </c>
    </row>
    <row r="93" spans="2:70" ht="15">
      <c r="B93" s="84"/>
      <c r="C93" s="10"/>
      <c r="D93" s="401" t="s">
        <v>9191</v>
      </c>
      <c r="E93" s="433" t="s">
        <v>9841</v>
      </c>
      <c r="F93" s="401" t="s">
        <v>9846</v>
      </c>
      <c r="G93" s="423" t="s">
        <v>9847</v>
      </c>
      <c r="H93" s="333"/>
      <c r="I93" s="333"/>
      <c r="J93" s="333"/>
      <c r="K93" s="333"/>
      <c r="L93" s="333"/>
      <c r="R93" s="251"/>
      <c r="S93" s="251"/>
      <c r="AJ93" s="333"/>
      <c r="AK93" s="333"/>
      <c r="AL93" s="333"/>
      <c r="AM93" s="333"/>
      <c r="AN93" s="333"/>
      <c r="AO93" s="333"/>
      <c r="AP93" s="333"/>
      <c r="AQ93" s="333"/>
      <c r="AR93" s="333"/>
      <c r="AS93" s="333"/>
      <c r="AT93" s="333"/>
      <c r="AU93" s="333"/>
      <c r="AV93" s="333"/>
      <c r="AW93" s="333"/>
      <c r="AX93" s="333"/>
      <c r="AY93" s="333"/>
      <c r="AZ93" s="333"/>
      <c r="BD93" s="399">
        <v>90</v>
      </c>
      <c r="BE93" s="399" t="s">
        <v>726</v>
      </c>
      <c r="BF93" s="251" t="s">
        <v>727</v>
      </c>
      <c r="BG93" s="399">
        <v>51</v>
      </c>
      <c r="BH93" s="252">
        <v>51</v>
      </c>
      <c r="BI93" s="251" t="s">
        <v>728</v>
      </c>
      <c r="BJ93" s="251" t="s">
        <v>380</v>
      </c>
      <c r="BK93" s="251" t="s">
        <v>729</v>
      </c>
      <c r="BL93" s="251" t="s">
        <v>730</v>
      </c>
      <c r="BQ93" s="27" t="s">
        <v>7655</v>
      </c>
      <c r="BR93" s="27" t="s">
        <v>7657</v>
      </c>
    </row>
    <row r="94" spans="2:70" ht="15">
      <c r="B94" s="84"/>
      <c r="C94" s="10"/>
      <c r="D94" s="251" t="s">
        <v>9191</v>
      </c>
      <c r="E94" s="251" t="s">
        <v>9192</v>
      </c>
      <c r="F94" s="251" t="s">
        <v>9752</v>
      </c>
      <c r="G94" s="402" t="s">
        <v>9411</v>
      </c>
      <c r="H94" s="333"/>
      <c r="I94" s="333"/>
      <c r="J94" s="333"/>
      <c r="K94" s="333"/>
      <c r="L94" s="333"/>
      <c r="R94" s="251"/>
      <c r="S94" s="251"/>
      <c r="AJ94" s="333"/>
      <c r="AK94" s="333"/>
      <c r="AL94" s="333"/>
      <c r="AM94" s="333"/>
      <c r="AN94" s="333"/>
      <c r="AO94" s="333"/>
      <c r="AP94" s="333"/>
      <c r="AQ94" s="333"/>
      <c r="AR94" s="333"/>
      <c r="AS94" s="333"/>
      <c r="AT94" s="333"/>
      <c r="AU94" s="333"/>
      <c r="AV94" s="333"/>
      <c r="AW94" s="333"/>
      <c r="AX94" s="333"/>
      <c r="AY94" s="333"/>
      <c r="AZ94" s="333"/>
      <c r="BD94" s="399">
        <v>91</v>
      </c>
      <c r="BE94" s="399" t="s">
        <v>731</v>
      </c>
      <c r="BF94" s="251" t="s">
        <v>732</v>
      </c>
      <c r="BG94" s="399" t="s">
        <v>733</v>
      </c>
      <c r="BH94" s="252" t="s">
        <v>734</v>
      </c>
      <c r="BI94" s="251" t="s">
        <v>333</v>
      </c>
      <c r="BJ94" s="251" t="s">
        <v>366</v>
      </c>
      <c r="BK94" s="251" t="s">
        <v>735</v>
      </c>
      <c r="BL94" s="251" t="s">
        <v>736</v>
      </c>
      <c r="BQ94" s="27" t="s">
        <v>7658</v>
      </c>
      <c r="BR94" s="27" t="s">
        <v>7659</v>
      </c>
    </row>
    <row r="95" spans="2:70" ht="15">
      <c r="B95" s="84"/>
      <c r="C95" s="10"/>
      <c r="D95" s="251" t="s">
        <v>9191</v>
      </c>
      <c r="E95" s="251" t="s">
        <v>9192</v>
      </c>
      <c r="F95" s="251" t="s">
        <v>9753</v>
      </c>
      <c r="G95" s="402" t="s">
        <v>9409</v>
      </c>
      <c r="H95" s="333"/>
      <c r="I95" s="333"/>
      <c r="J95" s="333"/>
      <c r="K95" s="333"/>
      <c r="L95" s="333"/>
      <c r="R95" s="251"/>
      <c r="S95" s="251"/>
      <c r="AJ95" s="333"/>
      <c r="AK95" s="333"/>
      <c r="AL95" s="333"/>
      <c r="AM95" s="333"/>
      <c r="AN95" s="333"/>
      <c r="AO95" s="333"/>
      <c r="AP95" s="333"/>
      <c r="AQ95" s="333"/>
      <c r="AR95" s="333"/>
      <c r="AS95" s="333"/>
      <c r="AT95" s="333"/>
      <c r="AU95" s="333"/>
      <c r="AV95" s="333"/>
      <c r="AW95" s="333"/>
      <c r="AX95" s="333"/>
      <c r="AY95" s="333"/>
      <c r="AZ95" s="333"/>
      <c r="BD95" s="399">
        <v>92</v>
      </c>
      <c r="BE95" s="399" t="s">
        <v>737</v>
      </c>
      <c r="BF95" s="251" t="s">
        <v>738</v>
      </c>
      <c r="BG95" s="399" t="s">
        <v>739</v>
      </c>
      <c r="BH95" s="252">
        <v>45</v>
      </c>
      <c r="BI95" s="251" t="s">
        <v>740</v>
      </c>
      <c r="BJ95" s="251" t="s">
        <v>413</v>
      </c>
      <c r="BK95" s="251" t="s">
        <v>741</v>
      </c>
      <c r="BL95" s="251" t="s">
        <v>742</v>
      </c>
      <c r="BQ95" s="27" t="s">
        <v>7660</v>
      </c>
      <c r="BR95" s="27" t="s">
        <v>7661</v>
      </c>
    </row>
    <row r="96" spans="2:70" ht="15">
      <c r="B96" s="84"/>
      <c r="C96" s="10"/>
      <c r="D96" s="251" t="s">
        <v>9191</v>
      </c>
      <c r="E96" s="251" t="s">
        <v>9192</v>
      </c>
      <c r="F96" s="251" t="s">
        <v>9754</v>
      </c>
      <c r="G96" s="402" t="s">
        <v>9405</v>
      </c>
      <c r="H96" s="333"/>
      <c r="I96" s="333"/>
      <c r="J96" s="333"/>
      <c r="K96" s="333"/>
      <c r="L96" s="333"/>
      <c r="R96" s="251"/>
      <c r="S96" s="251"/>
      <c r="AJ96" s="333"/>
      <c r="AK96" s="333"/>
      <c r="AL96" s="333"/>
      <c r="AM96" s="333"/>
      <c r="AN96" s="333"/>
      <c r="AO96" s="333"/>
      <c r="AP96" s="333"/>
      <c r="AQ96" s="333"/>
      <c r="AR96" s="333"/>
      <c r="AS96" s="333"/>
      <c r="AT96" s="333"/>
      <c r="AU96" s="333"/>
      <c r="AV96" s="333"/>
      <c r="AW96" s="333"/>
      <c r="AX96" s="333"/>
      <c r="AY96" s="333"/>
      <c r="AZ96" s="333"/>
      <c r="BD96" s="399">
        <v>93</v>
      </c>
      <c r="BE96" s="399" t="s">
        <v>743</v>
      </c>
      <c r="BF96" s="251" t="s">
        <v>744</v>
      </c>
      <c r="BG96" s="399" t="s">
        <v>363</v>
      </c>
      <c r="BH96" s="252" t="s">
        <v>575</v>
      </c>
      <c r="BI96" s="251" t="s">
        <v>465</v>
      </c>
      <c r="BJ96" s="251" t="s">
        <v>413</v>
      </c>
      <c r="BK96" s="251" t="s">
        <v>745</v>
      </c>
      <c r="BL96" s="251" t="s">
        <v>368</v>
      </c>
      <c r="BQ96" s="27" t="s">
        <v>7662</v>
      </c>
      <c r="BR96" s="27" t="s">
        <v>7663</v>
      </c>
    </row>
    <row r="97" spans="2:70" ht="15">
      <c r="B97" s="84"/>
      <c r="C97" s="10"/>
      <c r="D97" s="251" t="s">
        <v>9191</v>
      </c>
      <c r="E97" s="251" t="s">
        <v>9192</v>
      </c>
      <c r="F97" s="251" t="s">
        <v>9755</v>
      </c>
      <c r="G97" s="402" t="s">
        <v>9412</v>
      </c>
      <c r="H97" s="333"/>
      <c r="I97" s="333"/>
      <c r="J97" s="333"/>
      <c r="K97" s="333"/>
      <c r="L97" s="333"/>
      <c r="R97" s="251"/>
      <c r="S97" s="251"/>
      <c r="AJ97" s="333"/>
      <c r="AK97" s="333"/>
      <c r="AL97" s="333"/>
      <c r="AM97" s="333"/>
      <c r="AN97" s="333"/>
      <c r="AO97" s="333"/>
      <c r="AP97" s="333"/>
      <c r="AQ97" s="333"/>
      <c r="AR97" s="333"/>
      <c r="AS97" s="333"/>
      <c r="AT97" s="333"/>
      <c r="AU97" s="333"/>
      <c r="AV97" s="333"/>
      <c r="AW97" s="333"/>
      <c r="AX97" s="333"/>
      <c r="AY97" s="333"/>
      <c r="AZ97" s="333"/>
      <c r="BD97" s="399">
        <v>94</v>
      </c>
      <c r="BE97" s="399" t="s">
        <v>746</v>
      </c>
      <c r="BF97" s="251" t="s">
        <v>747</v>
      </c>
      <c r="BG97" s="399" t="s">
        <v>739</v>
      </c>
      <c r="BH97" s="252">
        <v>45</v>
      </c>
      <c r="BI97" s="251" t="s">
        <v>450</v>
      </c>
      <c r="BJ97" s="251" t="s">
        <v>413</v>
      </c>
      <c r="BK97" s="251" t="s">
        <v>748</v>
      </c>
      <c r="BL97" s="251" t="s">
        <v>742</v>
      </c>
      <c r="BQ97" s="27" t="s">
        <v>7664</v>
      </c>
      <c r="BR97" s="27" t="s">
        <v>7665</v>
      </c>
    </row>
    <row r="98" spans="2:70" ht="15">
      <c r="B98" s="84"/>
      <c r="C98" s="10"/>
      <c r="D98" s="251" t="s">
        <v>9191</v>
      </c>
      <c r="E98" s="251" t="s">
        <v>9192</v>
      </c>
      <c r="F98" s="251" t="s">
        <v>9756</v>
      </c>
      <c r="G98" s="402" t="s">
        <v>9410</v>
      </c>
      <c r="H98" s="333"/>
      <c r="I98" s="333"/>
      <c r="J98" s="333"/>
      <c r="K98" s="333"/>
      <c r="L98" s="333"/>
      <c r="R98" s="251"/>
      <c r="S98" s="251"/>
      <c r="AJ98" s="333"/>
      <c r="AK98" s="333"/>
      <c r="AL98" s="333"/>
      <c r="AM98" s="333"/>
      <c r="AN98" s="333"/>
      <c r="AO98" s="333"/>
      <c r="AP98" s="333"/>
      <c r="AQ98" s="333"/>
      <c r="AR98" s="333"/>
      <c r="AS98" s="333"/>
      <c r="AT98" s="333"/>
      <c r="AU98" s="333"/>
      <c r="AV98" s="333"/>
      <c r="AW98" s="333"/>
      <c r="AX98" s="333"/>
      <c r="AY98" s="333"/>
      <c r="AZ98" s="333"/>
      <c r="BD98" s="399">
        <v>95</v>
      </c>
      <c r="BE98" s="399" t="s">
        <v>749</v>
      </c>
      <c r="BF98" s="251" t="s">
        <v>750</v>
      </c>
      <c r="BG98" s="399" t="s">
        <v>519</v>
      </c>
      <c r="BH98" s="252">
        <v>30</v>
      </c>
      <c r="BI98" s="251" t="s">
        <v>379</v>
      </c>
      <c r="BJ98" s="251" t="s">
        <v>351</v>
      </c>
      <c r="BK98" s="251" t="s">
        <v>751</v>
      </c>
      <c r="BL98" s="251" t="s">
        <v>521</v>
      </c>
      <c r="BQ98" s="27" t="s">
        <v>7666</v>
      </c>
      <c r="BR98" s="27" t="s">
        <v>7667</v>
      </c>
    </row>
    <row r="99" spans="2:70" ht="15">
      <c r="B99" s="84"/>
      <c r="C99" s="10"/>
      <c r="D99" s="251" t="s">
        <v>9191</v>
      </c>
      <c r="E99" s="251" t="s">
        <v>9192</v>
      </c>
      <c r="F99" s="251" t="s">
        <v>9757</v>
      </c>
      <c r="G99" s="251" t="s">
        <v>9676</v>
      </c>
      <c r="H99" s="333"/>
      <c r="I99" s="333"/>
      <c r="J99" s="333"/>
      <c r="K99" s="333"/>
      <c r="L99" s="333"/>
      <c r="R99" s="251"/>
      <c r="S99" s="251"/>
      <c r="AJ99" s="333"/>
      <c r="AK99" s="333"/>
      <c r="AL99" s="333"/>
      <c r="AM99" s="333"/>
      <c r="AN99" s="333"/>
      <c r="AO99" s="333"/>
      <c r="AP99" s="333"/>
      <c r="AQ99" s="333"/>
      <c r="AR99" s="333"/>
      <c r="AS99" s="333"/>
      <c r="AT99" s="333"/>
      <c r="AU99" s="333"/>
      <c r="AV99" s="333"/>
      <c r="AW99" s="333"/>
      <c r="AX99" s="333"/>
      <c r="AY99" s="333"/>
      <c r="AZ99" s="333"/>
      <c r="BD99" s="399">
        <v>96</v>
      </c>
      <c r="BE99" s="399" t="s">
        <v>752</v>
      </c>
      <c r="BF99" s="251" t="s">
        <v>753</v>
      </c>
      <c r="BG99" s="399" t="s">
        <v>519</v>
      </c>
      <c r="BH99" s="252">
        <v>30</v>
      </c>
      <c r="BI99" s="251" t="s">
        <v>535</v>
      </c>
      <c r="BJ99" s="251" t="s">
        <v>413</v>
      </c>
      <c r="BK99" s="251" t="s">
        <v>754</v>
      </c>
      <c r="BL99" s="251" t="s">
        <v>521</v>
      </c>
      <c r="BQ99" s="27" t="s">
        <v>7668</v>
      </c>
      <c r="BR99" s="27" t="s">
        <v>7669</v>
      </c>
    </row>
    <row r="100" spans="2:70" ht="15">
      <c r="B100" s="84"/>
      <c r="C100" s="10"/>
      <c r="D100" s="251" t="s">
        <v>9191</v>
      </c>
      <c r="E100" s="251" t="s">
        <v>9192</v>
      </c>
      <c r="F100" s="251" t="s">
        <v>9758</v>
      </c>
      <c r="G100" s="402" t="s">
        <v>9406</v>
      </c>
      <c r="H100" s="333"/>
      <c r="I100" s="333"/>
      <c r="J100" s="333"/>
      <c r="K100" s="333"/>
      <c r="L100" s="333"/>
      <c r="R100" s="251"/>
      <c r="S100" s="251"/>
      <c r="AJ100" s="333"/>
      <c r="AK100" s="333"/>
      <c r="AL100" s="333"/>
      <c r="AM100" s="333"/>
      <c r="AN100" s="333"/>
      <c r="AO100" s="333"/>
      <c r="AP100" s="333"/>
      <c r="AQ100" s="333"/>
      <c r="AR100" s="333"/>
      <c r="AS100" s="333"/>
      <c r="AT100" s="333"/>
      <c r="AU100" s="333"/>
      <c r="AV100" s="333"/>
      <c r="AW100" s="333"/>
      <c r="AX100" s="333"/>
      <c r="AY100" s="333"/>
      <c r="AZ100" s="333"/>
      <c r="BD100" s="399">
        <v>97</v>
      </c>
      <c r="BE100" s="399" t="s">
        <v>755</v>
      </c>
      <c r="BF100" s="251" t="s">
        <v>756</v>
      </c>
      <c r="BG100" s="399" t="s">
        <v>489</v>
      </c>
      <c r="BH100" s="252" t="s">
        <v>639</v>
      </c>
      <c r="BI100" s="251" t="s">
        <v>357</v>
      </c>
      <c r="BJ100" s="251" t="s">
        <v>380</v>
      </c>
      <c r="BK100" s="251" t="s">
        <v>757</v>
      </c>
      <c r="BL100" s="251" t="s">
        <v>493</v>
      </c>
      <c r="BQ100" s="27" t="s">
        <v>7670</v>
      </c>
      <c r="BR100" s="27" t="s">
        <v>7671</v>
      </c>
    </row>
    <row r="101" spans="2:70" ht="15">
      <c r="B101" s="84"/>
      <c r="C101" s="10"/>
      <c r="D101" s="251" t="s">
        <v>9191</v>
      </c>
      <c r="E101" s="251" t="s">
        <v>9192</v>
      </c>
      <c r="F101" s="251" t="s">
        <v>9759</v>
      </c>
      <c r="G101" s="251" t="s">
        <v>9677</v>
      </c>
      <c r="H101" s="333"/>
      <c r="I101" s="333"/>
      <c r="J101" s="333"/>
      <c r="K101" s="333"/>
      <c r="L101" s="333"/>
      <c r="R101" s="251"/>
      <c r="S101" s="251"/>
      <c r="AJ101" s="333"/>
      <c r="AK101" s="333"/>
      <c r="AL101" s="333"/>
      <c r="AM101" s="333"/>
      <c r="AN101" s="333"/>
      <c r="AO101" s="333"/>
      <c r="AP101" s="333"/>
      <c r="AQ101" s="333"/>
      <c r="AR101" s="333"/>
      <c r="AS101" s="333"/>
      <c r="AT101" s="333"/>
      <c r="AU101" s="333"/>
      <c r="AV101" s="333"/>
      <c r="AW101" s="333"/>
      <c r="AX101" s="333"/>
      <c r="AY101" s="333"/>
      <c r="AZ101" s="333"/>
      <c r="BD101" s="399">
        <v>98</v>
      </c>
      <c r="BE101" s="399" t="s">
        <v>758</v>
      </c>
      <c r="BF101" s="251" t="s">
        <v>759</v>
      </c>
      <c r="BG101" s="399" t="s">
        <v>405</v>
      </c>
      <c r="BH101" s="252" t="s">
        <v>760</v>
      </c>
      <c r="BI101" s="251" t="s">
        <v>331</v>
      </c>
      <c r="BJ101" s="251" t="s">
        <v>539</v>
      </c>
      <c r="BK101" s="251" t="s">
        <v>761</v>
      </c>
      <c r="BL101" s="251" t="s">
        <v>409</v>
      </c>
      <c r="BQ101" s="27" t="s">
        <v>7672</v>
      </c>
      <c r="BR101" s="27" t="s">
        <v>7325</v>
      </c>
    </row>
    <row r="102" spans="2:70" ht="15">
      <c r="B102" s="84"/>
      <c r="C102" s="10"/>
      <c r="D102" s="251" t="s">
        <v>9191</v>
      </c>
      <c r="E102" s="251" t="s">
        <v>9192</v>
      </c>
      <c r="F102" s="251" t="s">
        <v>9760</v>
      </c>
      <c r="G102" s="402" t="s">
        <v>9407</v>
      </c>
      <c r="H102" s="333"/>
      <c r="I102" s="333"/>
      <c r="J102" s="333"/>
      <c r="K102" s="333"/>
      <c r="L102" s="333"/>
      <c r="R102" s="251"/>
      <c r="S102" s="251"/>
      <c r="AJ102" s="333"/>
      <c r="AK102" s="333"/>
      <c r="AL102" s="333"/>
      <c r="AM102" s="333"/>
      <c r="AN102" s="333"/>
      <c r="AO102" s="333"/>
      <c r="AP102" s="333"/>
      <c r="AQ102" s="333"/>
      <c r="AR102" s="333"/>
      <c r="AS102" s="333"/>
      <c r="AT102" s="333"/>
      <c r="AU102" s="333"/>
      <c r="AV102" s="333"/>
      <c r="AW102" s="333"/>
      <c r="AX102" s="333"/>
      <c r="AY102" s="333"/>
      <c r="AZ102" s="333"/>
      <c r="BD102" s="399">
        <v>99</v>
      </c>
      <c r="BE102" s="399" t="s">
        <v>762</v>
      </c>
      <c r="BF102" s="251" t="s">
        <v>763</v>
      </c>
      <c r="BG102" s="399" t="s">
        <v>429</v>
      </c>
      <c r="BH102" s="252" t="s">
        <v>764</v>
      </c>
      <c r="BI102" s="251" t="s">
        <v>333</v>
      </c>
      <c r="BJ102" s="251" t="s">
        <v>539</v>
      </c>
      <c r="BK102" s="251" t="s">
        <v>765</v>
      </c>
      <c r="BL102" s="251" t="s">
        <v>432</v>
      </c>
      <c r="BQ102" s="27" t="s">
        <v>7673</v>
      </c>
      <c r="BR102" s="27" t="s">
        <v>7327</v>
      </c>
    </row>
    <row r="103" spans="2:70" ht="15">
      <c r="B103" s="84"/>
      <c r="C103" s="10"/>
      <c r="D103" s="251" t="s">
        <v>9191</v>
      </c>
      <c r="E103" s="251" t="s">
        <v>9192</v>
      </c>
      <c r="F103" s="251" t="s">
        <v>9761</v>
      </c>
      <c r="G103" s="402" t="s">
        <v>9408</v>
      </c>
      <c r="H103" s="333"/>
      <c r="I103" s="333"/>
      <c r="J103" s="333"/>
      <c r="K103" s="333"/>
      <c r="L103" s="333"/>
      <c r="R103" s="251"/>
      <c r="S103" s="251"/>
      <c r="AJ103" s="333"/>
      <c r="AK103" s="333"/>
      <c r="AL103" s="333"/>
      <c r="AM103" s="333"/>
      <c r="AN103" s="333"/>
      <c r="AO103" s="333"/>
      <c r="AP103" s="333"/>
      <c r="AQ103" s="333"/>
      <c r="AR103" s="333"/>
      <c r="AS103" s="333"/>
      <c r="AT103" s="333"/>
      <c r="AU103" s="333"/>
      <c r="AV103" s="333"/>
      <c r="AW103" s="333"/>
      <c r="AX103" s="333"/>
      <c r="AY103" s="333"/>
      <c r="AZ103" s="333"/>
      <c r="BD103" s="399">
        <v>100</v>
      </c>
      <c r="BE103" s="399" t="s">
        <v>766</v>
      </c>
      <c r="BF103" s="251" t="s">
        <v>767</v>
      </c>
      <c r="BG103" s="399" t="s">
        <v>449</v>
      </c>
      <c r="BH103" s="252">
        <v>43</v>
      </c>
      <c r="BI103" s="251" t="s">
        <v>728</v>
      </c>
      <c r="BJ103" s="251" t="s">
        <v>366</v>
      </c>
      <c r="BK103" s="251" t="s">
        <v>768</v>
      </c>
      <c r="BL103" s="251" t="s">
        <v>452</v>
      </c>
      <c r="BQ103" s="27" t="s">
        <v>7674</v>
      </c>
      <c r="BR103" s="27" t="s">
        <v>7333</v>
      </c>
    </row>
    <row r="104" spans="2:70" ht="15">
      <c r="B104" s="84"/>
      <c r="C104" s="10"/>
      <c r="D104" s="401" t="s">
        <v>9191</v>
      </c>
      <c r="E104" s="401" t="s">
        <v>9828</v>
      </c>
      <c r="F104" s="401" t="s">
        <v>9198</v>
      </c>
      <c r="G104" s="423" t="s">
        <v>9829</v>
      </c>
      <c r="H104" s="333"/>
      <c r="I104" s="333"/>
      <c r="J104" s="333"/>
      <c r="K104" s="333"/>
      <c r="L104" s="333"/>
      <c r="R104" s="251"/>
      <c r="S104" s="251"/>
      <c r="AJ104" s="333"/>
      <c r="AK104" s="333"/>
      <c r="AL104" s="333"/>
      <c r="AM104" s="333"/>
      <c r="AN104" s="333"/>
      <c r="AO104" s="333"/>
      <c r="AP104" s="333"/>
      <c r="AQ104" s="333"/>
      <c r="AR104" s="333"/>
      <c r="AS104" s="333"/>
      <c r="AT104" s="333"/>
      <c r="AU104" s="333"/>
      <c r="AV104" s="333"/>
      <c r="AW104" s="333"/>
      <c r="AX104" s="333"/>
      <c r="AY104" s="333"/>
      <c r="AZ104" s="333"/>
      <c r="BD104" s="399">
        <v>101</v>
      </c>
      <c r="BE104" s="399" t="s">
        <v>769</v>
      </c>
      <c r="BF104" s="251" t="s">
        <v>770</v>
      </c>
      <c r="BG104" s="399" t="s">
        <v>519</v>
      </c>
      <c r="BH104" s="252">
        <v>30</v>
      </c>
      <c r="BI104" s="251" t="s">
        <v>332</v>
      </c>
      <c r="BJ104" s="251" t="s">
        <v>380</v>
      </c>
      <c r="BK104" s="251" t="s">
        <v>771</v>
      </c>
      <c r="BL104" s="251" t="s">
        <v>521</v>
      </c>
      <c r="BQ104" s="27" t="s">
        <v>7675</v>
      </c>
      <c r="BR104" s="27" t="s">
        <v>7676</v>
      </c>
    </row>
    <row r="105" spans="2:70" ht="15">
      <c r="B105" s="84"/>
      <c r="C105" s="10"/>
      <c r="D105" s="401" t="s">
        <v>9191</v>
      </c>
      <c r="E105" s="401" t="s">
        <v>9828</v>
      </c>
      <c r="F105" s="401" t="s">
        <v>9197</v>
      </c>
      <c r="G105" s="423" t="s">
        <v>9831</v>
      </c>
      <c r="H105" s="333"/>
      <c r="I105" s="333"/>
      <c r="J105" s="333"/>
      <c r="K105" s="333"/>
      <c r="L105" s="333"/>
      <c r="R105" s="251"/>
      <c r="S105" s="251"/>
      <c r="AJ105" s="333"/>
      <c r="AK105" s="333"/>
      <c r="AL105" s="333"/>
      <c r="AM105" s="333"/>
      <c r="AN105" s="333"/>
      <c r="AO105" s="333"/>
      <c r="AP105" s="333"/>
      <c r="AQ105" s="333"/>
      <c r="AR105" s="333"/>
      <c r="AS105" s="333"/>
      <c r="AT105" s="333"/>
      <c r="AU105" s="333"/>
      <c r="AV105" s="333"/>
      <c r="AW105" s="333"/>
      <c r="AX105" s="333"/>
      <c r="AY105" s="333"/>
      <c r="AZ105" s="333"/>
      <c r="BD105" s="399">
        <v>102</v>
      </c>
      <c r="BE105" s="399" t="s">
        <v>772</v>
      </c>
      <c r="BF105" s="251" t="s">
        <v>773</v>
      </c>
      <c r="BG105" s="399" t="s">
        <v>371</v>
      </c>
      <c r="BH105" s="252">
        <v>28</v>
      </c>
      <c r="BI105" s="251" t="s">
        <v>332</v>
      </c>
      <c r="BJ105" s="251" t="s">
        <v>351</v>
      </c>
      <c r="BK105" s="251" t="s">
        <v>774</v>
      </c>
      <c r="BL105" s="251" t="s">
        <v>375</v>
      </c>
      <c r="BQ105" s="27" t="s">
        <v>7677</v>
      </c>
      <c r="BR105" s="27" t="s">
        <v>7678</v>
      </c>
    </row>
    <row r="106" spans="2:70" ht="15">
      <c r="B106" s="84"/>
      <c r="C106" s="10"/>
      <c r="D106" s="401" t="s">
        <v>9191</v>
      </c>
      <c r="E106" s="401" t="s">
        <v>9828</v>
      </c>
      <c r="F106" s="401" t="s">
        <v>9196</v>
      </c>
      <c r="G106" s="423" t="s">
        <v>9830</v>
      </c>
      <c r="H106" s="333"/>
      <c r="I106" s="333"/>
      <c r="J106" s="333"/>
      <c r="K106" s="333"/>
      <c r="L106" s="333"/>
      <c r="R106" s="251"/>
      <c r="S106" s="251"/>
      <c r="AJ106" s="333"/>
      <c r="AK106" s="333"/>
      <c r="AL106" s="333"/>
      <c r="AM106" s="333"/>
      <c r="AN106" s="333"/>
      <c r="AO106" s="333"/>
      <c r="AP106" s="333"/>
      <c r="AQ106" s="333"/>
      <c r="AR106" s="333"/>
      <c r="AS106" s="333"/>
      <c r="AT106" s="333"/>
      <c r="AU106" s="333"/>
      <c r="AV106" s="333"/>
      <c r="AW106" s="333"/>
      <c r="AX106" s="333"/>
      <c r="AY106" s="333"/>
      <c r="AZ106" s="333"/>
      <c r="BD106" s="399">
        <v>103</v>
      </c>
      <c r="BE106" s="399" t="s">
        <v>775</v>
      </c>
      <c r="BF106" s="251" t="s">
        <v>776</v>
      </c>
      <c r="BG106" s="399" t="s">
        <v>777</v>
      </c>
      <c r="BH106" s="252">
        <v>21</v>
      </c>
      <c r="BI106" s="251" t="s">
        <v>331</v>
      </c>
      <c r="BJ106" s="251" t="s">
        <v>778</v>
      </c>
      <c r="BK106" s="251" t="s">
        <v>779</v>
      </c>
      <c r="BL106" s="251" t="s">
        <v>780</v>
      </c>
      <c r="BQ106" s="27" t="s">
        <v>7679</v>
      </c>
      <c r="BR106" s="27" t="s">
        <v>7680</v>
      </c>
    </row>
    <row r="107" spans="2:70" ht="15">
      <c r="B107" s="84"/>
      <c r="C107" s="333"/>
      <c r="D107" s="401" t="s">
        <v>9191</v>
      </c>
      <c r="E107" s="401" t="s">
        <v>9773</v>
      </c>
      <c r="F107" s="401" t="s">
        <v>9202</v>
      </c>
      <c r="G107" s="423" t="s">
        <v>9739</v>
      </c>
      <c r="H107" s="333"/>
      <c r="I107" s="333"/>
      <c r="J107" s="333"/>
      <c r="K107" s="333"/>
      <c r="L107" s="333"/>
      <c r="R107" s="251"/>
      <c r="S107" s="251"/>
      <c r="AJ107" s="333"/>
      <c r="AK107" s="333"/>
      <c r="AL107" s="333"/>
      <c r="AM107" s="333"/>
      <c r="AN107" s="333"/>
      <c r="AO107" s="333"/>
      <c r="AP107" s="333"/>
      <c r="AQ107" s="333"/>
      <c r="AR107" s="333"/>
      <c r="AS107" s="333"/>
      <c r="AT107" s="333"/>
      <c r="AU107" s="333"/>
      <c r="AV107" s="333"/>
      <c r="AW107" s="333"/>
      <c r="AX107" s="333"/>
      <c r="AY107" s="333"/>
      <c r="AZ107" s="333"/>
      <c r="BD107" s="399">
        <v>104</v>
      </c>
      <c r="BE107" s="399" t="s">
        <v>781</v>
      </c>
      <c r="BF107" s="251" t="s">
        <v>782</v>
      </c>
      <c r="BG107" s="399" t="s">
        <v>435</v>
      </c>
      <c r="BH107" s="252" t="s">
        <v>436</v>
      </c>
      <c r="BI107" s="251" t="s">
        <v>390</v>
      </c>
      <c r="BJ107" s="251" t="s">
        <v>397</v>
      </c>
      <c r="BK107" s="251" t="s">
        <v>783</v>
      </c>
      <c r="BL107" s="251" t="s">
        <v>439</v>
      </c>
      <c r="BQ107" s="27" t="s">
        <v>7681</v>
      </c>
      <c r="BR107" s="27" t="s">
        <v>7438</v>
      </c>
    </row>
    <row r="108" spans="2:70" ht="15">
      <c r="B108" s="84"/>
      <c r="C108" s="10"/>
      <c r="D108" s="401" t="s">
        <v>9191</v>
      </c>
      <c r="E108" s="401" t="s">
        <v>9773</v>
      </c>
      <c r="F108" s="401" t="s">
        <v>9202</v>
      </c>
      <c r="G108" s="423" t="s">
        <v>9742</v>
      </c>
      <c r="H108" s="333"/>
      <c r="I108" s="333"/>
      <c r="J108" s="333"/>
      <c r="K108" s="333"/>
      <c r="L108" s="333"/>
      <c r="R108" s="251"/>
      <c r="S108" s="251"/>
      <c r="AJ108" s="333"/>
      <c r="AK108" s="333"/>
      <c r="AL108" s="333"/>
      <c r="AM108" s="333"/>
      <c r="AN108" s="333"/>
      <c r="AO108" s="333"/>
      <c r="AP108" s="333"/>
      <c r="AQ108" s="333"/>
      <c r="AR108" s="333"/>
      <c r="AS108" s="333"/>
      <c r="AT108" s="333"/>
      <c r="AU108" s="333"/>
      <c r="AV108" s="333"/>
      <c r="AW108" s="333"/>
      <c r="AX108" s="333"/>
      <c r="AY108" s="333"/>
      <c r="AZ108" s="333"/>
      <c r="BD108" s="399">
        <v>105</v>
      </c>
      <c r="BE108" s="399" t="s">
        <v>784</v>
      </c>
      <c r="BF108" s="251" t="s">
        <v>785</v>
      </c>
      <c r="BG108" s="399" t="s">
        <v>395</v>
      </c>
      <c r="BH108" s="252">
        <v>16</v>
      </c>
      <c r="BI108" s="251" t="s">
        <v>445</v>
      </c>
      <c r="BJ108" s="251" t="s">
        <v>351</v>
      </c>
      <c r="BK108" s="251" t="s">
        <v>786</v>
      </c>
      <c r="BL108" s="251" t="s">
        <v>399</v>
      </c>
      <c r="BQ108" s="27" t="s">
        <v>7682</v>
      </c>
      <c r="BR108" s="27" t="s">
        <v>7452</v>
      </c>
    </row>
    <row r="109" spans="2:70" ht="15">
      <c r="B109" s="84"/>
      <c r="C109" s="10"/>
      <c r="D109" s="401" t="s">
        <v>9191</v>
      </c>
      <c r="E109" s="401" t="s">
        <v>9773</v>
      </c>
      <c r="F109" s="401" t="s">
        <v>9782</v>
      </c>
      <c r="G109" s="423" t="s">
        <v>9783</v>
      </c>
      <c r="H109" s="333"/>
      <c r="I109" s="333"/>
      <c r="J109" s="333"/>
      <c r="K109" s="333"/>
      <c r="L109" s="333"/>
      <c r="R109" s="251"/>
      <c r="S109" s="251"/>
      <c r="AJ109" s="333"/>
      <c r="AK109" s="333"/>
      <c r="AL109" s="333"/>
      <c r="AM109" s="333"/>
      <c r="AN109" s="333"/>
      <c r="AO109" s="333"/>
      <c r="AP109" s="333"/>
      <c r="AQ109" s="333"/>
      <c r="AR109" s="333"/>
      <c r="AS109" s="333"/>
      <c r="AT109" s="333"/>
      <c r="AU109" s="333"/>
      <c r="AV109" s="333"/>
      <c r="AW109" s="333"/>
      <c r="AX109" s="333"/>
      <c r="AY109" s="333"/>
      <c r="AZ109" s="333"/>
      <c r="BD109" s="399">
        <v>106</v>
      </c>
      <c r="BE109" s="399" t="s">
        <v>787</v>
      </c>
      <c r="BF109" s="251" t="s">
        <v>788</v>
      </c>
      <c r="BG109" s="399" t="s">
        <v>435</v>
      </c>
      <c r="BH109" s="252" t="s">
        <v>436</v>
      </c>
      <c r="BI109" s="251" t="s">
        <v>333</v>
      </c>
      <c r="BJ109" s="251" t="s">
        <v>385</v>
      </c>
      <c r="BK109" s="251" t="s">
        <v>789</v>
      </c>
      <c r="BL109" s="251" t="s">
        <v>439</v>
      </c>
      <c r="BQ109" s="27" t="s">
        <v>7683</v>
      </c>
      <c r="BR109" s="27" t="s">
        <v>7462</v>
      </c>
    </row>
    <row r="110" spans="2:70" ht="15">
      <c r="B110" s="84"/>
      <c r="C110" s="10"/>
      <c r="D110" s="401" t="s">
        <v>9191</v>
      </c>
      <c r="E110" s="401" t="s">
        <v>9773</v>
      </c>
      <c r="F110" s="401" t="s">
        <v>9202</v>
      </c>
      <c r="G110" s="423" t="s">
        <v>9741</v>
      </c>
      <c r="H110" s="333"/>
      <c r="I110" s="333"/>
      <c r="J110" s="333"/>
      <c r="K110" s="333"/>
      <c r="L110" s="333"/>
      <c r="R110" s="251"/>
      <c r="S110" s="251"/>
      <c r="AJ110" s="333"/>
      <c r="AK110" s="333"/>
      <c r="AL110" s="333"/>
      <c r="AM110" s="333"/>
      <c r="AN110" s="333"/>
      <c r="AO110" s="333"/>
      <c r="AP110" s="333"/>
      <c r="AQ110" s="333"/>
      <c r="AR110" s="333"/>
      <c r="AS110" s="333"/>
      <c r="AT110" s="333"/>
      <c r="AU110" s="333"/>
      <c r="AV110" s="333"/>
      <c r="AW110" s="333"/>
      <c r="AX110" s="333"/>
      <c r="AY110" s="333"/>
      <c r="AZ110" s="333"/>
      <c r="BD110" s="399">
        <v>107</v>
      </c>
      <c r="BE110" s="399" t="s">
        <v>790</v>
      </c>
      <c r="BF110" s="251" t="s">
        <v>791</v>
      </c>
      <c r="BG110" s="399" t="s">
        <v>363</v>
      </c>
      <c r="BH110" s="252" t="s">
        <v>575</v>
      </c>
      <c r="BI110" s="251" t="s">
        <v>445</v>
      </c>
      <c r="BJ110" s="251" t="s">
        <v>539</v>
      </c>
      <c r="BK110" s="251" t="s">
        <v>792</v>
      </c>
      <c r="BL110" s="251" t="s">
        <v>368</v>
      </c>
      <c r="BQ110" s="27" t="s">
        <v>7684</v>
      </c>
      <c r="BR110" s="27" t="s">
        <v>7307</v>
      </c>
    </row>
    <row r="111" spans="2:70" ht="15">
      <c r="B111" s="84"/>
      <c r="C111" s="10"/>
      <c r="D111" s="401" t="s">
        <v>9191</v>
      </c>
      <c r="E111" s="401" t="s">
        <v>9773</v>
      </c>
      <c r="F111" s="401" t="s">
        <v>9202</v>
      </c>
      <c r="G111" s="423" t="s">
        <v>9743</v>
      </c>
      <c r="H111" s="333"/>
      <c r="I111" s="333"/>
      <c r="J111" s="333"/>
      <c r="K111" s="333"/>
      <c r="L111" s="333"/>
      <c r="R111" s="251"/>
      <c r="S111" s="251"/>
      <c r="AJ111" s="333"/>
      <c r="AK111" s="333"/>
      <c r="AL111" s="333"/>
      <c r="AM111" s="333"/>
      <c r="AN111" s="333"/>
      <c r="AO111" s="333"/>
      <c r="AP111" s="333"/>
      <c r="AQ111" s="333"/>
      <c r="AR111" s="333"/>
      <c r="AS111" s="333"/>
      <c r="AT111" s="333"/>
      <c r="AU111" s="333"/>
      <c r="AV111" s="333"/>
      <c r="AW111" s="333"/>
      <c r="AX111" s="333"/>
      <c r="AY111" s="333"/>
      <c r="AZ111" s="333"/>
      <c r="BD111" s="399">
        <v>108</v>
      </c>
      <c r="BE111" s="399" t="s">
        <v>793</v>
      </c>
      <c r="BF111" s="251" t="s">
        <v>794</v>
      </c>
      <c r="BG111" s="399" t="s">
        <v>378</v>
      </c>
      <c r="BH111" s="252">
        <v>11</v>
      </c>
      <c r="BI111" s="251" t="s">
        <v>332</v>
      </c>
      <c r="BJ111" s="251" t="s">
        <v>385</v>
      </c>
      <c r="BK111" s="251" t="s">
        <v>795</v>
      </c>
      <c r="BL111" s="251" t="s">
        <v>382</v>
      </c>
      <c r="BQ111" s="27" t="s">
        <v>7685</v>
      </c>
      <c r="BR111" s="27" t="s">
        <v>7686</v>
      </c>
    </row>
    <row r="112" spans="2:70" ht="15">
      <c r="B112" s="84"/>
      <c r="C112" s="10"/>
      <c r="D112" s="251" t="s">
        <v>9191</v>
      </c>
      <c r="E112" s="251" t="s">
        <v>9199</v>
      </c>
      <c r="F112" s="251" t="s">
        <v>9200</v>
      </c>
      <c r="G112" s="402" t="s">
        <v>9413</v>
      </c>
      <c r="H112" s="333"/>
      <c r="I112" s="333"/>
      <c r="J112" s="333"/>
      <c r="K112" s="333"/>
      <c r="L112" s="333"/>
      <c r="R112" s="251"/>
      <c r="S112" s="251"/>
      <c r="AJ112" s="333"/>
      <c r="AK112" s="333"/>
      <c r="AL112" s="333"/>
      <c r="AM112" s="333"/>
      <c r="AN112" s="333"/>
      <c r="AO112" s="333"/>
      <c r="AP112" s="333"/>
      <c r="AQ112" s="333"/>
      <c r="AR112" s="333"/>
      <c r="AS112" s="333"/>
      <c r="AT112" s="333"/>
      <c r="AU112" s="333"/>
      <c r="AV112" s="333"/>
      <c r="AW112" s="333"/>
      <c r="AX112" s="333"/>
      <c r="AY112" s="333"/>
      <c r="AZ112" s="333"/>
      <c r="BD112" s="399">
        <v>109</v>
      </c>
      <c r="BE112" s="399" t="s">
        <v>796</v>
      </c>
      <c r="BF112" s="251" t="s">
        <v>797</v>
      </c>
      <c r="BG112" s="399" t="s">
        <v>623</v>
      </c>
      <c r="BH112" s="252" t="s">
        <v>624</v>
      </c>
      <c r="BI112" s="251" t="s">
        <v>798</v>
      </c>
      <c r="BJ112" s="251" t="s">
        <v>407</v>
      </c>
      <c r="BK112" s="251" t="s">
        <v>799</v>
      </c>
      <c r="BL112" s="251" t="s">
        <v>626</v>
      </c>
      <c r="BQ112" s="27" t="s">
        <v>7687</v>
      </c>
      <c r="BR112" s="27" t="s">
        <v>7688</v>
      </c>
    </row>
    <row r="113" spans="2:70" ht="15">
      <c r="B113" s="84"/>
      <c r="C113" s="10"/>
      <c r="D113" s="251" t="s">
        <v>9191</v>
      </c>
      <c r="E113" s="251" t="s">
        <v>9199</v>
      </c>
      <c r="F113" s="251" t="s">
        <v>9201</v>
      </c>
      <c r="G113" s="402" t="s">
        <v>9414</v>
      </c>
      <c r="H113" s="333"/>
      <c r="I113" s="333"/>
      <c r="J113" s="333"/>
      <c r="K113" s="333"/>
      <c r="L113" s="333"/>
      <c r="R113" s="251"/>
      <c r="S113" s="251"/>
      <c r="AJ113" s="333"/>
      <c r="AK113" s="333"/>
      <c r="AL113" s="333"/>
      <c r="AM113" s="333"/>
      <c r="AN113" s="333"/>
      <c r="AO113" s="333"/>
      <c r="AP113" s="333"/>
      <c r="AQ113" s="333"/>
      <c r="AR113" s="333"/>
      <c r="AS113" s="333"/>
      <c r="AT113" s="333"/>
      <c r="AU113" s="333"/>
      <c r="AV113" s="333"/>
      <c r="AW113" s="333"/>
      <c r="AX113" s="333"/>
      <c r="AY113" s="333"/>
      <c r="AZ113" s="333"/>
      <c r="BD113" s="399">
        <v>110</v>
      </c>
      <c r="BE113" s="399" t="s">
        <v>800</v>
      </c>
      <c r="BF113" s="251" t="s">
        <v>801</v>
      </c>
      <c r="BG113" s="399" t="s">
        <v>469</v>
      </c>
      <c r="BH113" s="252" t="s">
        <v>470</v>
      </c>
      <c r="BI113" s="251" t="s">
        <v>365</v>
      </c>
      <c r="BJ113" s="251" t="s">
        <v>366</v>
      </c>
      <c r="BK113" s="251" t="s">
        <v>802</v>
      </c>
      <c r="BL113" s="251" t="s">
        <v>472</v>
      </c>
      <c r="BQ113" s="27" t="s">
        <v>7689</v>
      </c>
      <c r="BR113" s="27" t="s">
        <v>7690</v>
      </c>
    </row>
    <row r="114" spans="2:70" ht="15">
      <c r="B114" s="84"/>
      <c r="C114" s="10"/>
      <c r="D114" s="251" t="s">
        <v>9668</v>
      </c>
      <c r="E114" s="251" t="s">
        <v>9228</v>
      </c>
      <c r="F114" s="251" t="s">
        <v>9230</v>
      </c>
      <c r="G114" s="402" t="s">
        <v>9416</v>
      </c>
      <c r="H114" s="333"/>
      <c r="I114" s="333"/>
      <c r="J114" s="333"/>
      <c r="K114" s="333"/>
      <c r="L114" s="333"/>
      <c r="R114" s="251"/>
      <c r="S114" s="251"/>
      <c r="AJ114" s="333"/>
      <c r="AK114" s="333"/>
      <c r="AL114" s="333"/>
      <c r="AM114" s="333"/>
      <c r="AN114" s="333"/>
      <c r="AO114" s="333"/>
      <c r="AP114" s="333"/>
      <c r="AQ114" s="333"/>
      <c r="AR114" s="333"/>
      <c r="AS114" s="333"/>
      <c r="AT114" s="333"/>
      <c r="AU114" s="333"/>
      <c r="AV114" s="333"/>
      <c r="AW114" s="333"/>
      <c r="AX114" s="333"/>
      <c r="AY114" s="333"/>
      <c r="AZ114" s="333"/>
      <c r="BD114" s="399">
        <v>111</v>
      </c>
      <c r="BE114" s="399" t="s">
        <v>803</v>
      </c>
      <c r="BF114" s="251" t="s">
        <v>804</v>
      </c>
      <c r="BG114" s="399" t="s">
        <v>378</v>
      </c>
      <c r="BH114" s="252">
        <v>11</v>
      </c>
      <c r="BI114" s="251" t="s">
        <v>334</v>
      </c>
      <c r="BJ114" s="251" t="s">
        <v>385</v>
      </c>
      <c r="BK114" s="251" t="s">
        <v>805</v>
      </c>
      <c r="BL114" s="251" t="s">
        <v>382</v>
      </c>
      <c r="BQ114" s="27" t="s">
        <v>7691</v>
      </c>
      <c r="BR114" s="27" t="s">
        <v>7692</v>
      </c>
    </row>
    <row r="115" spans="2:70" ht="15">
      <c r="B115" s="84"/>
      <c r="C115" s="10"/>
      <c r="D115" s="251" t="s">
        <v>9668</v>
      </c>
      <c r="E115" s="251" t="s">
        <v>9228</v>
      </c>
      <c r="F115" s="251" t="s">
        <v>9229</v>
      </c>
      <c r="G115" s="402" t="s">
        <v>9415</v>
      </c>
      <c r="H115" s="333"/>
      <c r="I115" s="333"/>
      <c r="J115" s="333"/>
      <c r="K115" s="333"/>
      <c r="L115" s="333"/>
      <c r="R115" s="251"/>
      <c r="S115" s="251"/>
      <c r="AJ115" s="333"/>
      <c r="AK115" s="333"/>
      <c r="AL115" s="333"/>
      <c r="AM115" s="333"/>
      <c r="AN115" s="333"/>
      <c r="AO115" s="333"/>
      <c r="AP115" s="333"/>
      <c r="AQ115" s="333"/>
      <c r="AR115" s="333"/>
      <c r="AS115" s="333"/>
      <c r="AT115" s="333"/>
      <c r="AU115" s="333"/>
      <c r="AV115" s="333"/>
      <c r="AW115" s="333"/>
      <c r="AX115" s="333"/>
      <c r="AY115" s="333"/>
      <c r="AZ115" s="333"/>
      <c r="BD115" s="399">
        <v>112</v>
      </c>
      <c r="BE115" s="399" t="s">
        <v>806</v>
      </c>
      <c r="BF115" s="251" t="s">
        <v>807</v>
      </c>
      <c r="BG115" s="399" t="s">
        <v>469</v>
      </c>
      <c r="BH115" s="252" t="s">
        <v>662</v>
      </c>
      <c r="BI115" s="251" t="s">
        <v>365</v>
      </c>
      <c r="BJ115" s="251" t="s">
        <v>385</v>
      </c>
      <c r="BK115" s="251" t="s">
        <v>808</v>
      </c>
      <c r="BL115" s="251" t="s">
        <v>472</v>
      </c>
      <c r="BQ115" s="27" t="s">
        <v>7693</v>
      </c>
      <c r="BR115" s="27" t="s">
        <v>7470</v>
      </c>
    </row>
    <row r="116" spans="2:70" ht="15">
      <c r="B116" s="84"/>
      <c r="C116" s="10"/>
      <c r="D116" s="251" t="s">
        <v>9668</v>
      </c>
      <c r="E116" s="251" t="s">
        <v>9231</v>
      </c>
      <c r="F116" s="251" t="s">
        <v>9232</v>
      </c>
      <c r="G116" s="402" t="s">
        <v>9417</v>
      </c>
      <c r="H116" s="333"/>
      <c r="I116" s="333"/>
      <c r="J116" s="333"/>
      <c r="K116" s="333"/>
      <c r="L116" s="333"/>
      <c r="R116" s="251"/>
      <c r="S116" s="251"/>
      <c r="AJ116" s="333"/>
      <c r="AK116" s="333"/>
      <c r="AL116" s="333"/>
      <c r="AM116" s="333"/>
      <c r="AN116" s="333"/>
      <c r="AO116" s="333"/>
      <c r="AP116" s="333"/>
      <c r="AQ116" s="333"/>
      <c r="AR116" s="333"/>
      <c r="AS116" s="333"/>
      <c r="AT116" s="333"/>
      <c r="AU116" s="333"/>
      <c r="AV116" s="333"/>
      <c r="AW116" s="333"/>
      <c r="AX116" s="333"/>
      <c r="AY116" s="333"/>
      <c r="AZ116" s="333"/>
      <c r="BD116" s="399">
        <v>113</v>
      </c>
      <c r="BE116" s="399" t="s">
        <v>809</v>
      </c>
      <c r="BF116" s="251" t="s">
        <v>810</v>
      </c>
      <c r="BG116" s="399" t="s">
        <v>566</v>
      </c>
      <c r="BH116" s="252" t="s">
        <v>567</v>
      </c>
      <c r="BI116" s="251" t="s">
        <v>728</v>
      </c>
      <c r="BJ116" s="251" t="s">
        <v>366</v>
      </c>
      <c r="BK116" s="251" t="s">
        <v>811</v>
      </c>
      <c r="BL116" s="251" t="s">
        <v>569</v>
      </c>
      <c r="BQ116" s="27" t="s">
        <v>7694</v>
      </c>
      <c r="BR116" s="27" t="s">
        <v>7695</v>
      </c>
    </row>
    <row r="117" spans="2:70" ht="15">
      <c r="B117" s="84"/>
      <c r="C117" s="10"/>
      <c r="D117" s="251" t="s">
        <v>9668</v>
      </c>
      <c r="E117" s="251" t="s">
        <v>9231</v>
      </c>
      <c r="F117" s="251" t="s">
        <v>9233</v>
      </c>
      <c r="G117" s="402" t="s">
        <v>9418</v>
      </c>
      <c r="H117" s="333"/>
      <c r="I117" s="333"/>
      <c r="J117" s="333"/>
      <c r="K117" s="333"/>
      <c r="L117" s="333"/>
      <c r="R117" s="251"/>
      <c r="S117" s="251"/>
      <c r="AJ117" s="333"/>
      <c r="AK117" s="333"/>
      <c r="AL117" s="333"/>
      <c r="AM117" s="333"/>
      <c r="AN117" s="333"/>
      <c r="AO117" s="333"/>
      <c r="AP117" s="333"/>
      <c r="AQ117" s="333"/>
      <c r="AR117" s="333"/>
      <c r="AS117" s="333"/>
      <c r="AT117" s="333"/>
      <c r="AU117" s="333"/>
      <c r="AV117" s="333"/>
      <c r="AW117" s="333"/>
      <c r="AX117" s="333"/>
      <c r="AY117" s="333"/>
      <c r="AZ117" s="333"/>
      <c r="BD117" s="399">
        <v>114</v>
      </c>
      <c r="BE117" s="399" t="s">
        <v>812</v>
      </c>
      <c r="BF117" s="251" t="s">
        <v>813</v>
      </c>
      <c r="BG117" s="399" t="s">
        <v>469</v>
      </c>
      <c r="BH117" s="252" t="s">
        <v>470</v>
      </c>
      <c r="BI117" s="251" t="s">
        <v>331</v>
      </c>
      <c r="BJ117" s="251" t="s">
        <v>539</v>
      </c>
      <c r="BK117" s="251" t="s">
        <v>814</v>
      </c>
      <c r="BL117" s="251" t="s">
        <v>472</v>
      </c>
      <c r="BQ117" s="27" t="s">
        <v>7696</v>
      </c>
      <c r="BR117" s="27" t="s">
        <v>7697</v>
      </c>
    </row>
    <row r="118" spans="2:70" ht="15">
      <c r="B118" s="84"/>
      <c r="C118" s="10"/>
      <c r="D118" s="251" t="s">
        <v>9668</v>
      </c>
      <c r="E118" s="251" t="s">
        <v>9231</v>
      </c>
      <c r="F118" s="251" t="s">
        <v>9234</v>
      </c>
      <c r="G118" s="402" t="s">
        <v>9419</v>
      </c>
      <c r="H118" s="333"/>
      <c r="I118" s="333"/>
      <c r="J118" s="333"/>
      <c r="K118" s="333"/>
      <c r="L118" s="333"/>
      <c r="R118" s="251"/>
      <c r="S118" s="251"/>
      <c r="AJ118" s="333"/>
      <c r="AK118" s="333"/>
      <c r="AL118" s="333"/>
      <c r="AM118" s="333"/>
      <c r="AN118" s="333"/>
      <c r="AO118" s="333"/>
      <c r="AP118" s="333"/>
      <c r="AQ118" s="333"/>
      <c r="AR118" s="333"/>
      <c r="AS118" s="333"/>
      <c r="AT118" s="333"/>
      <c r="AU118" s="333"/>
      <c r="AV118" s="333"/>
      <c r="AW118" s="333"/>
      <c r="AX118" s="333"/>
      <c r="AY118" s="333"/>
      <c r="AZ118" s="333"/>
      <c r="BD118" s="399">
        <v>115</v>
      </c>
      <c r="BE118" s="399" t="s">
        <v>815</v>
      </c>
      <c r="BF118" s="251" t="s">
        <v>816</v>
      </c>
      <c r="BG118" s="399" t="s">
        <v>0</v>
      </c>
      <c r="BH118" s="252">
        <v>48</v>
      </c>
      <c r="BI118" s="251" t="s">
        <v>615</v>
      </c>
      <c r="BJ118" s="251" t="s">
        <v>380</v>
      </c>
      <c r="BK118" s="251" t="s">
        <v>817</v>
      </c>
      <c r="BL118" s="251" t="s">
        <v>818</v>
      </c>
      <c r="BQ118" s="27" t="s">
        <v>7698</v>
      </c>
      <c r="BR118" s="27" t="s">
        <v>7699</v>
      </c>
    </row>
    <row r="119" spans="2:70" ht="15">
      <c r="B119" s="84"/>
      <c r="C119" s="10"/>
      <c r="D119" s="251" t="s">
        <v>9668</v>
      </c>
      <c r="E119" s="251" t="s">
        <v>9203</v>
      </c>
      <c r="F119" s="251" t="s">
        <v>9204</v>
      </c>
      <c r="G119" s="402" t="s">
        <v>9420</v>
      </c>
      <c r="H119" s="333"/>
      <c r="I119" s="333"/>
      <c r="J119" s="333"/>
      <c r="K119" s="333"/>
      <c r="L119" s="333"/>
      <c r="R119" s="251"/>
      <c r="S119" s="251"/>
      <c r="AJ119" s="333"/>
      <c r="AK119" s="333"/>
      <c r="AL119" s="333"/>
      <c r="AM119" s="333"/>
      <c r="AN119" s="333"/>
      <c r="AO119" s="333"/>
      <c r="AP119" s="333"/>
      <c r="AQ119" s="333"/>
      <c r="AR119" s="333"/>
      <c r="AS119" s="333"/>
      <c r="AT119" s="333"/>
      <c r="AU119" s="333"/>
      <c r="AV119" s="333"/>
      <c r="AW119" s="333"/>
      <c r="AX119" s="333"/>
      <c r="AY119" s="333"/>
      <c r="AZ119" s="333"/>
      <c r="BD119" s="399">
        <v>116</v>
      </c>
      <c r="BE119" s="399" t="s">
        <v>819</v>
      </c>
      <c r="BF119" s="251" t="s">
        <v>820</v>
      </c>
      <c r="BG119" s="399" t="s">
        <v>395</v>
      </c>
      <c r="BH119" s="252">
        <v>16</v>
      </c>
      <c r="BI119" s="251" t="s">
        <v>563</v>
      </c>
      <c r="BJ119" s="251" t="s">
        <v>366</v>
      </c>
      <c r="BK119" s="251" t="s">
        <v>821</v>
      </c>
      <c r="BL119" s="251" t="s">
        <v>399</v>
      </c>
      <c r="BQ119" s="27" t="s">
        <v>7700</v>
      </c>
      <c r="BR119" s="27" t="s">
        <v>7701</v>
      </c>
    </row>
    <row r="120" spans="2:70" ht="15">
      <c r="B120" s="84"/>
      <c r="C120" s="10"/>
      <c r="D120" s="251" t="s">
        <v>9668</v>
      </c>
      <c r="E120" s="251" t="s">
        <v>9203</v>
      </c>
      <c r="F120" s="251" t="s">
        <v>9206</v>
      </c>
      <c r="G120" s="402" t="s">
        <v>9422</v>
      </c>
      <c r="H120" s="333"/>
      <c r="I120" s="333"/>
      <c r="J120" s="333"/>
      <c r="K120" s="333"/>
      <c r="L120" s="333"/>
      <c r="R120" s="251"/>
      <c r="S120" s="251"/>
      <c r="AJ120" s="333"/>
      <c r="AK120" s="333"/>
      <c r="AL120" s="333"/>
      <c r="AM120" s="333"/>
      <c r="AN120" s="333"/>
      <c r="AO120" s="333"/>
      <c r="AP120" s="333"/>
      <c r="AQ120" s="333"/>
      <c r="AR120" s="333"/>
      <c r="AS120" s="333"/>
      <c r="AT120" s="333"/>
      <c r="AU120" s="333"/>
      <c r="AV120" s="333"/>
      <c r="AW120" s="333"/>
      <c r="AX120" s="333"/>
      <c r="AY120" s="333"/>
      <c r="AZ120" s="333"/>
      <c r="BD120" s="399">
        <v>117</v>
      </c>
      <c r="BE120" s="399" t="s">
        <v>822</v>
      </c>
      <c r="BF120" s="251" t="s">
        <v>823</v>
      </c>
      <c r="BG120" s="399" t="s">
        <v>423</v>
      </c>
      <c r="BH120" s="252" t="s">
        <v>424</v>
      </c>
      <c r="BI120" s="251" t="s">
        <v>365</v>
      </c>
      <c r="BJ120" s="251" t="s">
        <v>366</v>
      </c>
      <c r="BK120" s="251" t="s">
        <v>824</v>
      </c>
      <c r="BL120" s="251" t="s">
        <v>426</v>
      </c>
      <c r="BQ120" s="27" t="s">
        <v>7702</v>
      </c>
      <c r="BR120" s="27" t="s">
        <v>7703</v>
      </c>
    </row>
    <row r="121" spans="2:70" ht="15">
      <c r="B121" s="84"/>
      <c r="C121" s="10"/>
      <c r="D121" s="251" t="s">
        <v>9668</v>
      </c>
      <c r="E121" s="251" t="s">
        <v>9203</v>
      </c>
      <c r="F121" s="251" t="s">
        <v>9205</v>
      </c>
      <c r="G121" s="402" t="s">
        <v>9421</v>
      </c>
      <c r="H121" s="333"/>
      <c r="I121" s="333"/>
      <c r="J121" s="333"/>
      <c r="K121" s="333"/>
      <c r="L121" s="333"/>
      <c r="R121" s="251"/>
      <c r="S121" s="251"/>
      <c r="AJ121" s="333"/>
      <c r="AK121" s="333"/>
      <c r="AL121" s="333"/>
      <c r="AM121" s="333"/>
      <c r="AN121" s="333"/>
      <c r="AO121" s="333"/>
      <c r="AP121" s="333"/>
      <c r="AQ121" s="333"/>
      <c r="AR121" s="333"/>
      <c r="AS121" s="333"/>
      <c r="AT121" s="333"/>
      <c r="AU121" s="333"/>
      <c r="AV121" s="333"/>
      <c r="AW121" s="333"/>
      <c r="AX121" s="333"/>
      <c r="AY121" s="333"/>
      <c r="AZ121" s="333"/>
      <c r="BD121" s="399">
        <v>118</v>
      </c>
      <c r="BE121" s="399" t="s">
        <v>825</v>
      </c>
      <c r="BF121" s="251" t="s">
        <v>826</v>
      </c>
      <c r="BG121" s="399" t="s">
        <v>395</v>
      </c>
      <c r="BH121" s="252">
        <v>16</v>
      </c>
      <c r="BI121" s="251" t="s">
        <v>357</v>
      </c>
      <c r="BJ121" s="251" t="s">
        <v>397</v>
      </c>
      <c r="BK121" s="251" t="s">
        <v>827</v>
      </c>
      <c r="BL121" s="251" t="s">
        <v>399</v>
      </c>
      <c r="BQ121" s="27" t="s">
        <v>7704</v>
      </c>
      <c r="BR121" s="27" t="s">
        <v>7705</v>
      </c>
    </row>
    <row r="122" spans="2:70" ht="15">
      <c r="B122" s="84"/>
      <c r="C122" s="10"/>
      <c r="D122" s="251" t="s">
        <v>9668</v>
      </c>
      <c r="E122" s="251" t="s">
        <v>9672</v>
      </c>
      <c r="F122" s="251" t="s">
        <v>9673</v>
      </c>
      <c r="G122" s="251" t="s">
        <v>9680</v>
      </c>
      <c r="H122" s="333"/>
      <c r="I122" s="333"/>
      <c r="J122" s="333"/>
      <c r="K122" s="333"/>
      <c r="L122" s="333"/>
      <c r="R122" s="251"/>
      <c r="S122" s="251"/>
      <c r="AJ122" s="333"/>
      <c r="AK122" s="333"/>
      <c r="AL122" s="333"/>
      <c r="AM122" s="333"/>
      <c r="AN122" s="333"/>
      <c r="AO122" s="333"/>
      <c r="AP122" s="333"/>
      <c r="AQ122" s="333"/>
      <c r="AR122" s="333"/>
      <c r="AS122" s="333"/>
      <c r="AT122" s="333"/>
      <c r="AU122" s="333"/>
      <c r="AV122" s="333"/>
      <c r="AW122" s="333"/>
      <c r="AX122" s="333"/>
      <c r="AY122" s="333"/>
      <c r="AZ122" s="333"/>
      <c r="BD122" s="399">
        <v>119</v>
      </c>
      <c r="BE122" s="399" t="s">
        <v>828</v>
      </c>
      <c r="BF122" s="251" t="s">
        <v>829</v>
      </c>
      <c r="BG122" s="399" t="s">
        <v>405</v>
      </c>
      <c r="BH122" s="252" t="s">
        <v>830</v>
      </c>
      <c r="BI122" s="251" t="s">
        <v>334</v>
      </c>
      <c r="BJ122" s="251" t="s">
        <v>397</v>
      </c>
      <c r="BK122" s="251" t="s">
        <v>831</v>
      </c>
      <c r="BL122" s="251" t="s">
        <v>409</v>
      </c>
      <c r="BQ122" s="27" t="s">
        <v>7706</v>
      </c>
      <c r="BR122" s="27" t="s">
        <v>7707</v>
      </c>
    </row>
    <row r="123" spans="2:70" ht="15">
      <c r="B123" s="84"/>
      <c r="C123" s="10"/>
      <c r="D123" s="251" t="s">
        <v>9668</v>
      </c>
      <c r="E123" s="251" t="s">
        <v>9235</v>
      </c>
      <c r="F123" s="251" t="s">
        <v>9237</v>
      </c>
      <c r="G123" s="402" t="s">
        <v>9424</v>
      </c>
      <c r="H123" s="333"/>
      <c r="I123" s="333"/>
      <c r="J123" s="333"/>
      <c r="K123" s="333"/>
      <c r="L123" s="333"/>
      <c r="R123" s="251"/>
      <c r="S123" s="251"/>
      <c r="AJ123" s="333"/>
      <c r="AK123" s="333"/>
      <c r="AL123" s="333"/>
      <c r="AM123" s="333"/>
      <c r="AN123" s="333"/>
      <c r="AO123" s="333"/>
      <c r="AP123" s="333"/>
      <c r="AQ123" s="333"/>
      <c r="AR123" s="333"/>
      <c r="AS123" s="333"/>
      <c r="AT123" s="333"/>
      <c r="AU123" s="333"/>
      <c r="AV123" s="333"/>
      <c r="AW123" s="333"/>
      <c r="AX123" s="333"/>
      <c r="AY123" s="333"/>
      <c r="AZ123" s="333"/>
      <c r="BD123" s="399">
        <v>120</v>
      </c>
      <c r="BE123" s="399" t="s">
        <v>832</v>
      </c>
      <c r="BF123" s="251" t="s">
        <v>833</v>
      </c>
      <c r="BG123" s="399" t="s">
        <v>405</v>
      </c>
      <c r="BH123" s="252" t="s">
        <v>830</v>
      </c>
      <c r="BI123" s="251" t="s">
        <v>390</v>
      </c>
      <c r="BJ123" s="251" t="s">
        <v>397</v>
      </c>
      <c r="BK123" s="251" t="s">
        <v>834</v>
      </c>
      <c r="BL123" s="251" t="s">
        <v>409</v>
      </c>
      <c r="BQ123" s="27" t="s">
        <v>7708</v>
      </c>
      <c r="BR123" s="27" t="s">
        <v>7709</v>
      </c>
    </row>
    <row r="124" spans="2:70" ht="15">
      <c r="B124" s="84"/>
      <c r="C124" s="10"/>
      <c r="D124" s="251" t="s">
        <v>9668</v>
      </c>
      <c r="E124" s="251" t="s">
        <v>9235</v>
      </c>
      <c r="F124" s="251" t="s">
        <v>9238</v>
      </c>
      <c r="G124" s="402" t="s">
        <v>9425</v>
      </c>
      <c r="H124" s="333"/>
      <c r="I124" s="333"/>
      <c r="J124" s="333"/>
      <c r="K124" s="333"/>
      <c r="L124" s="333"/>
      <c r="R124" s="251"/>
      <c r="S124" s="251"/>
      <c r="AJ124" s="333"/>
      <c r="AK124" s="333"/>
      <c r="AL124" s="333"/>
      <c r="AM124" s="333"/>
      <c r="AN124" s="333"/>
      <c r="AO124" s="333"/>
      <c r="AP124" s="333"/>
      <c r="AQ124" s="333"/>
      <c r="AR124" s="333"/>
      <c r="AS124" s="333"/>
      <c r="AT124" s="333"/>
      <c r="AU124" s="333"/>
      <c r="AV124" s="333"/>
      <c r="AW124" s="333"/>
      <c r="AX124" s="333"/>
      <c r="AY124" s="333"/>
      <c r="AZ124" s="333"/>
      <c r="BD124" s="399">
        <v>121</v>
      </c>
      <c r="BE124" s="399" t="s">
        <v>835</v>
      </c>
      <c r="BF124" s="251" t="s">
        <v>836</v>
      </c>
      <c r="BG124" s="399" t="s">
        <v>405</v>
      </c>
      <c r="BH124" s="252" t="s">
        <v>837</v>
      </c>
      <c r="BI124" s="251" t="s">
        <v>838</v>
      </c>
      <c r="BJ124" s="251" t="s">
        <v>380</v>
      </c>
      <c r="BK124" s="251" t="s">
        <v>839</v>
      </c>
      <c r="BL124" s="251" t="s">
        <v>409</v>
      </c>
      <c r="BQ124" s="27" t="s">
        <v>7710</v>
      </c>
      <c r="BR124" s="27" t="s">
        <v>7711</v>
      </c>
    </row>
    <row r="125" spans="2:70" ht="15">
      <c r="B125" s="84"/>
      <c r="C125" s="10"/>
      <c r="D125" s="251" t="s">
        <v>9668</v>
      </c>
      <c r="E125" s="251" t="s">
        <v>9235</v>
      </c>
      <c r="F125" s="251" t="s">
        <v>9236</v>
      </c>
      <c r="G125" s="402" t="s">
        <v>9423</v>
      </c>
      <c r="H125" s="333"/>
      <c r="I125" s="333"/>
      <c r="J125" s="333"/>
      <c r="K125" s="333"/>
      <c r="L125" s="333"/>
      <c r="R125" s="251"/>
      <c r="S125" s="251"/>
      <c r="AJ125" s="333"/>
      <c r="AK125" s="333"/>
      <c r="AL125" s="333"/>
      <c r="AM125" s="333"/>
      <c r="AN125" s="333"/>
      <c r="AO125" s="333"/>
      <c r="AP125" s="333"/>
      <c r="AQ125" s="333"/>
      <c r="AR125" s="333"/>
      <c r="AS125" s="333"/>
      <c r="AT125" s="333"/>
      <c r="AU125" s="333"/>
      <c r="AV125" s="333"/>
      <c r="AW125" s="333"/>
      <c r="AX125" s="333"/>
      <c r="AY125" s="333"/>
      <c r="AZ125" s="333"/>
      <c r="BD125" s="399">
        <v>122</v>
      </c>
      <c r="BE125" s="399" t="s">
        <v>840</v>
      </c>
      <c r="BF125" s="251" t="s">
        <v>841</v>
      </c>
      <c r="BG125" s="399" t="s">
        <v>371</v>
      </c>
      <c r="BH125" s="252">
        <v>28</v>
      </c>
      <c r="BI125" s="251" t="s">
        <v>357</v>
      </c>
      <c r="BJ125" s="251" t="s">
        <v>373</v>
      </c>
      <c r="BK125" s="251" t="s">
        <v>842</v>
      </c>
      <c r="BL125" s="251" t="s">
        <v>375</v>
      </c>
      <c r="BQ125" s="27" t="s">
        <v>7712</v>
      </c>
      <c r="BR125" s="27" t="s">
        <v>7713</v>
      </c>
    </row>
    <row r="126" spans="2:70" ht="15">
      <c r="B126" s="84"/>
      <c r="C126" s="10"/>
      <c r="D126" s="251" t="s">
        <v>9668</v>
      </c>
      <c r="E126" s="251" t="s">
        <v>9239</v>
      </c>
      <c r="F126" s="251" t="s">
        <v>9243</v>
      </c>
      <c r="G126" s="402" t="s">
        <v>9429</v>
      </c>
      <c r="H126" s="333"/>
      <c r="I126" s="333"/>
      <c r="J126" s="333"/>
      <c r="K126" s="333"/>
      <c r="L126" s="333"/>
      <c r="R126" s="251"/>
      <c r="S126" s="251"/>
      <c r="AJ126" s="333"/>
      <c r="AK126" s="333"/>
      <c r="AL126" s="333"/>
      <c r="AM126" s="333"/>
      <c r="AN126" s="333"/>
      <c r="AO126" s="333"/>
      <c r="AP126" s="333"/>
      <c r="AQ126" s="333"/>
      <c r="AR126" s="333"/>
      <c r="AS126" s="333"/>
      <c r="AT126" s="333"/>
      <c r="AU126" s="333"/>
      <c r="AV126" s="333"/>
      <c r="AW126" s="333"/>
      <c r="AX126" s="333"/>
      <c r="AY126" s="333"/>
      <c r="AZ126" s="333"/>
      <c r="BD126" s="399">
        <v>123</v>
      </c>
      <c r="BE126" s="399" t="s">
        <v>843</v>
      </c>
      <c r="BF126" s="251" t="s">
        <v>844</v>
      </c>
      <c r="BG126" s="399" t="s">
        <v>371</v>
      </c>
      <c r="BH126" s="252">
        <v>28</v>
      </c>
      <c r="BI126" s="251" t="s">
        <v>350</v>
      </c>
      <c r="BJ126" s="251" t="s">
        <v>539</v>
      </c>
      <c r="BK126" s="251" t="s">
        <v>845</v>
      </c>
      <c r="BL126" s="251" t="s">
        <v>375</v>
      </c>
      <c r="BQ126" s="27" t="s">
        <v>7714</v>
      </c>
      <c r="BR126" s="27" t="s">
        <v>7715</v>
      </c>
    </row>
    <row r="127" spans="2:70" ht="15">
      <c r="B127" s="84"/>
      <c r="C127" s="10"/>
      <c r="D127" s="251" t="s">
        <v>9668</v>
      </c>
      <c r="E127" s="251" t="s">
        <v>9239</v>
      </c>
      <c r="F127" s="251" t="s">
        <v>9244</v>
      </c>
      <c r="G127" s="402" t="s">
        <v>9430</v>
      </c>
      <c r="H127" s="333"/>
      <c r="I127" s="333"/>
      <c r="J127" s="333"/>
      <c r="K127" s="333"/>
      <c r="L127" s="333"/>
      <c r="R127" s="251"/>
      <c r="S127" s="251"/>
      <c r="AJ127" s="333"/>
      <c r="AK127" s="333"/>
      <c r="AL127" s="333"/>
      <c r="AM127" s="333"/>
      <c r="AN127" s="333"/>
      <c r="AO127" s="333"/>
      <c r="AP127" s="333"/>
      <c r="AQ127" s="333"/>
      <c r="AR127" s="333"/>
      <c r="AS127" s="333"/>
      <c r="AT127" s="333"/>
      <c r="AU127" s="333"/>
      <c r="AV127" s="333"/>
      <c r="AW127" s="333"/>
      <c r="AX127" s="333"/>
      <c r="AY127" s="333"/>
      <c r="AZ127" s="333"/>
      <c r="BD127" s="399">
        <v>124</v>
      </c>
      <c r="BE127" s="399" t="s">
        <v>846</v>
      </c>
      <c r="BF127" s="251" t="s">
        <v>847</v>
      </c>
      <c r="BG127" s="399" t="s">
        <v>395</v>
      </c>
      <c r="BH127" s="252">
        <v>16</v>
      </c>
      <c r="BI127" s="251" t="s">
        <v>450</v>
      </c>
      <c r="BJ127" s="251" t="s">
        <v>380</v>
      </c>
      <c r="BK127" s="251" t="s">
        <v>848</v>
      </c>
      <c r="BL127" s="251" t="s">
        <v>399</v>
      </c>
      <c r="BQ127" s="27" t="s">
        <v>7716</v>
      </c>
      <c r="BR127" s="27" t="s">
        <v>7717</v>
      </c>
    </row>
    <row r="128" spans="2:70" ht="15">
      <c r="B128" s="84"/>
      <c r="C128" s="10"/>
      <c r="D128" s="251" t="s">
        <v>9668</v>
      </c>
      <c r="E128" s="251" t="s">
        <v>9239</v>
      </c>
      <c r="F128" s="251" t="s">
        <v>9240</v>
      </c>
      <c r="G128" s="402" t="s">
        <v>9426</v>
      </c>
      <c r="H128" s="333"/>
      <c r="I128" s="333"/>
      <c r="J128" s="333"/>
      <c r="K128" s="333"/>
      <c r="L128" s="333"/>
      <c r="R128" s="251"/>
      <c r="S128" s="251"/>
      <c r="AJ128" s="333"/>
      <c r="AK128" s="333"/>
      <c r="AL128" s="333"/>
      <c r="AM128" s="333"/>
      <c r="AN128" s="333"/>
      <c r="AO128" s="333"/>
      <c r="AP128" s="333"/>
      <c r="AQ128" s="333"/>
      <c r="AR128" s="333"/>
      <c r="AS128" s="333"/>
      <c r="AT128" s="333"/>
      <c r="AU128" s="333"/>
      <c r="AV128" s="333"/>
      <c r="AW128" s="333"/>
      <c r="AX128" s="333"/>
      <c r="AY128" s="333"/>
      <c r="AZ128" s="333"/>
      <c r="BD128" s="399">
        <v>125</v>
      </c>
      <c r="BE128" s="399" t="s">
        <v>849</v>
      </c>
      <c r="BF128" s="251" t="s">
        <v>850</v>
      </c>
      <c r="BG128" s="399" t="s">
        <v>777</v>
      </c>
      <c r="BH128" s="252">
        <v>21</v>
      </c>
      <c r="BI128" s="251" t="s">
        <v>357</v>
      </c>
      <c r="BJ128" s="251" t="s">
        <v>413</v>
      </c>
      <c r="BK128" s="251" t="s">
        <v>851</v>
      </c>
      <c r="BL128" s="251" t="s">
        <v>780</v>
      </c>
      <c r="BQ128" s="27" t="s">
        <v>7718</v>
      </c>
      <c r="BR128" s="27" t="s">
        <v>7719</v>
      </c>
    </row>
    <row r="129" spans="2:70" ht="15">
      <c r="B129" s="84"/>
      <c r="C129" s="10"/>
      <c r="D129" s="251" t="s">
        <v>9668</v>
      </c>
      <c r="E129" s="251" t="s">
        <v>9239</v>
      </c>
      <c r="F129" s="251" t="s">
        <v>7063</v>
      </c>
      <c r="G129" s="402" t="s">
        <v>9431</v>
      </c>
      <c r="H129" s="333"/>
      <c r="I129" s="333"/>
      <c r="J129" s="333"/>
      <c r="K129" s="333"/>
      <c r="L129" s="333"/>
      <c r="R129" s="251"/>
      <c r="S129" s="251"/>
      <c r="AJ129" s="333"/>
      <c r="AK129" s="333"/>
      <c r="AL129" s="333"/>
      <c r="AM129" s="333"/>
      <c r="AN129" s="333"/>
      <c r="AO129" s="333"/>
      <c r="AP129" s="333"/>
      <c r="AQ129" s="333"/>
      <c r="AR129" s="333"/>
      <c r="AS129" s="333"/>
      <c r="AT129" s="333"/>
      <c r="AU129" s="333"/>
      <c r="AV129" s="333"/>
      <c r="AW129" s="333"/>
      <c r="AX129" s="333"/>
      <c r="AY129" s="333"/>
      <c r="AZ129" s="333"/>
      <c r="BD129" s="399">
        <v>126</v>
      </c>
      <c r="BE129" s="399" t="s">
        <v>852</v>
      </c>
      <c r="BF129" s="251" t="s">
        <v>853</v>
      </c>
      <c r="BG129" s="399" t="s">
        <v>519</v>
      </c>
      <c r="BH129" s="252">
        <v>30</v>
      </c>
      <c r="BI129" s="251" t="s">
        <v>563</v>
      </c>
      <c r="BJ129" s="251" t="s">
        <v>407</v>
      </c>
      <c r="BK129" s="251" t="s">
        <v>854</v>
      </c>
      <c r="BL129" s="251" t="s">
        <v>521</v>
      </c>
      <c r="BQ129" s="27" t="s">
        <v>7720</v>
      </c>
      <c r="BR129" s="27" t="s">
        <v>7721</v>
      </c>
    </row>
    <row r="130" spans="2:70" ht="15">
      <c r="B130" s="84"/>
      <c r="C130" s="10"/>
      <c r="D130" s="401" t="s">
        <v>9668</v>
      </c>
      <c r="E130" s="401" t="s">
        <v>9239</v>
      </c>
      <c r="F130" s="401" t="s">
        <v>9771</v>
      </c>
      <c r="G130" s="423" t="s">
        <v>9784</v>
      </c>
      <c r="H130" s="333"/>
      <c r="I130" s="333"/>
      <c r="J130" s="333"/>
      <c r="K130" s="333"/>
      <c r="L130" s="333"/>
      <c r="R130" s="251"/>
      <c r="S130" s="251"/>
      <c r="AJ130" s="333"/>
      <c r="AK130" s="333"/>
      <c r="AL130" s="333"/>
      <c r="AM130" s="333"/>
      <c r="AN130" s="333"/>
      <c r="AO130" s="333"/>
      <c r="AP130" s="333"/>
      <c r="AQ130" s="333"/>
      <c r="AR130" s="333"/>
      <c r="AS130" s="333"/>
      <c r="AT130" s="333"/>
      <c r="AU130" s="333"/>
      <c r="AV130" s="333"/>
      <c r="AW130" s="333"/>
      <c r="AX130" s="333"/>
      <c r="AY130" s="333"/>
      <c r="AZ130" s="333"/>
      <c r="BD130" s="399">
        <v>127</v>
      </c>
      <c r="BE130" s="399" t="s">
        <v>855</v>
      </c>
      <c r="BF130" s="251" t="s">
        <v>856</v>
      </c>
      <c r="BG130" s="399" t="s">
        <v>475</v>
      </c>
      <c r="BH130" s="252" t="s">
        <v>534</v>
      </c>
      <c r="BI130" s="251" t="s">
        <v>332</v>
      </c>
      <c r="BJ130" s="251" t="s">
        <v>366</v>
      </c>
      <c r="BK130" s="251" t="s">
        <v>857</v>
      </c>
      <c r="BL130" s="251" t="s">
        <v>479</v>
      </c>
      <c r="BQ130" s="27" t="s">
        <v>7722</v>
      </c>
      <c r="BR130" s="27" t="s">
        <v>7723</v>
      </c>
    </row>
    <row r="131" spans="2:70" ht="15">
      <c r="B131" s="84"/>
      <c r="C131" s="10"/>
      <c r="D131" s="401" t="s">
        <v>9668</v>
      </c>
      <c r="E131" s="401" t="s">
        <v>9239</v>
      </c>
      <c r="F131" s="401" t="s">
        <v>9769</v>
      </c>
      <c r="G131" s="423" t="s">
        <v>9770</v>
      </c>
      <c r="H131" s="333"/>
      <c r="I131" s="333"/>
      <c r="J131" s="333"/>
      <c r="K131" s="333"/>
      <c r="L131" s="333"/>
      <c r="R131" s="251"/>
      <c r="S131" s="251"/>
      <c r="AJ131" s="333"/>
      <c r="AK131" s="333"/>
      <c r="AL131" s="333"/>
      <c r="AM131" s="333"/>
      <c r="AN131" s="333"/>
      <c r="AO131" s="333"/>
      <c r="AP131" s="333"/>
      <c r="AQ131" s="333"/>
      <c r="AR131" s="333"/>
      <c r="AS131" s="333"/>
      <c r="AT131" s="333"/>
      <c r="AU131" s="333"/>
      <c r="AV131" s="333"/>
      <c r="AW131" s="333"/>
      <c r="AX131" s="333"/>
      <c r="AY131" s="333"/>
      <c r="AZ131" s="333"/>
      <c r="BD131" s="399">
        <v>128</v>
      </c>
      <c r="BE131" s="399" t="s">
        <v>858</v>
      </c>
      <c r="BF131" s="251" t="s">
        <v>859</v>
      </c>
      <c r="BG131" s="399" t="s">
        <v>489</v>
      </c>
      <c r="BH131" s="252" t="s">
        <v>860</v>
      </c>
      <c r="BI131" s="251" t="s">
        <v>445</v>
      </c>
      <c r="BJ131" s="251" t="s">
        <v>380</v>
      </c>
      <c r="BK131" s="251" t="s">
        <v>861</v>
      </c>
      <c r="BL131" s="251" t="s">
        <v>493</v>
      </c>
      <c r="BQ131" s="27" t="s">
        <v>7724</v>
      </c>
      <c r="BR131" s="27" t="s">
        <v>7355</v>
      </c>
    </row>
    <row r="132" spans="2:70" ht="15">
      <c r="B132" s="84"/>
      <c r="C132" s="10"/>
      <c r="D132" s="434" t="s">
        <v>9668</v>
      </c>
      <c r="E132" s="434" t="s">
        <v>9239</v>
      </c>
      <c r="F132" s="434" t="s">
        <v>9241</v>
      </c>
      <c r="G132" s="435" t="s">
        <v>9427</v>
      </c>
      <c r="H132" s="333"/>
      <c r="I132" s="333"/>
      <c r="J132" s="333"/>
      <c r="K132" s="333"/>
      <c r="L132" s="333"/>
      <c r="R132" s="251"/>
      <c r="S132" s="251"/>
      <c r="AJ132" s="333"/>
      <c r="AK132" s="333"/>
      <c r="AL132" s="333"/>
      <c r="AM132" s="333"/>
      <c r="AN132" s="333"/>
      <c r="AO132" s="333"/>
      <c r="AP132" s="333"/>
      <c r="AQ132" s="333"/>
      <c r="AR132" s="333"/>
      <c r="AS132" s="333"/>
      <c r="AT132" s="333"/>
      <c r="AU132" s="333"/>
      <c r="AV132" s="333"/>
      <c r="AW132" s="333"/>
      <c r="AX132" s="333"/>
      <c r="AY132" s="333"/>
      <c r="AZ132" s="333"/>
      <c r="BD132" s="399">
        <v>129</v>
      </c>
      <c r="BE132" s="399" t="s">
        <v>862</v>
      </c>
      <c r="BF132" s="251" t="s">
        <v>863</v>
      </c>
      <c r="BG132" s="399" t="s">
        <v>469</v>
      </c>
      <c r="BH132" s="252" t="s">
        <v>470</v>
      </c>
      <c r="BI132" s="251" t="s">
        <v>379</v>
      </c>
      <c r="BJ132" s="251" t="s">
        <v>539</v>
      </c>
      <c r="BK132" s="251" t="s">
        <v>864</v>
      </c>
      <c r="BL132" s="251" t="s">
        <v>472</v>
      </c>
      <c r="BQ132" s="27" t="s">
        <v>7725</v>
      </c>
      <c r="BR132" s="27" t="s">
        <v>7726</v>
      </c>
    </row>
    <row r="133" spans="2:70" ht="15">
      <c r="B133" s="84"/>
      <c r="C133" s="10"/>
      <c r="D133" s="434" t="s">
        <v>9668</v>
      </c>
      <c r="E133" s="434" t="s">
        <v>9239</v>
      </c>
      <c r="F133" s="434" t="s">
        <v>9242</v>
      </c>
      <c r="G133" s="435" t="s">
        <v>9428</v>
      </c>
      <c r="H133" s="333"/>
      <c r="I133" s="333"/>
      <c r="J133" s="333"/>
      <c r="K133" s="333"/>
      <c r="L133" s="333"/>
      <c r="R133" s="251"/>
      <c r="S133" s="251"/>
      <c r="AJ133" s="333"/>
      <c r="AK133" s="333"/>
      <c r="AL133" s="333"/>
      <c r="AM133" s="333"/>
      <c r="AN133" s="333"/>
      <c r="AO133" s="333"/>
      <c r="AP133" s="333"/>
      <c r="AQ133" s="333"/>
      <c r="AR133" s="333"/>
      <c r="AS133" s="333"/>
      <c r="AT133" s="333"/>
      <c r="AU133" s="333"/>
      <c r="AV133" s="333"/>
      <c r="AW133" s="333"/>
      <c r="AX133" s="333"/>
      <c r="AY133" s="333"/>
      <c r="AZ133" s="333"/>
      <c r="BD133" s="399">
        <v>130</v>
      </c>
      <c r="BE133" s="399" t="s">
        <v>865</v>
      </c>
      <c r="BF133" s="251" t="s">
        <v>866</v>
      </c>
      <c r="BG133" s="399" t="s">
        <v>429</v>
      </c>
      <c r="BH133" s="252" t="s">
        <v>430</v>
      </c>
      <c r="BI133" s="251" t="s">
        <v>331</v>
      </c>
      <c r="BJ133" s="251" t="s">
        <v>407</v>
      </c>
      <c r="BK133" s="251" t="s">
        <v>867</v>
      </c>
      <c r="BL133" s="251" t="s">
        <v>432</v>
      </c>
      <c r="BQ133" s="27" t="s">
        <v>7727</v>
      </c>
      <c r="BR133" s="27" t="s">
        <v>7728</v>
      </c>
    </row>
    <row r="134" spans="2:70" ht="15">
      <c r="B134" s="84"/>
      <c r="C134" s="10"/>
      <c r="D134" s="251" t="s">
        <v>9668</v>
      </c>
      <c r="E134" s="251" t="s">
        <v>9207</v>
      </c>
      <c r="F134" s="251" t="s">
        <v>9223</v>
      </c>
      <c r="G134" s="402" t="s">
        <v>9447</v>
      </c>
      <c r="H134" s="333"/>
      <c r="I134" s="333"/>
      <c r="J134" s="333"/>
      <c r="K134" s="333"/>
      <c r="L134" s="333"/>
      <c r="R134" s="251"/>
      <c r="S134" s="251"/>
      <c r="AJ134" s="333"/>
      <c r="AK134" s="333"/>
      <c r="AL134" s="333"/>
      <c r="AM134" s="333"/>
      <c r="AN134" s="333"/>
      <c r="AO134" s="333"/>
      <c r="AP134" s="333"/>
      <c r="AQ134" s="333"/>
      <c r="AR134" s="333"/>
      <c r="AS134" s="333"/>
      <c r="AT134" s="333"/>
      <c r="AU134" s="333"/>
      <c r="AV134" s="333"/>
      <c r="AW134" s="333"/>
      <c r="AX134" s="333"/>
      <c r="AY134" s="333"/>
      <c r="AZ134" s="333"/>
      <c r="BD134" s="399">
        <v>131</v>
      </c>
      <c r="BE134" s="399" t="s">
        <v>868</v>
      </c>
      <c r="BF134" s="251" t="s">
        <v>869</v>
      </c>
      <c r="BG134" s="399" t="s">
        <v>371</v>
      </c>
      <c r="BH134" s="252">
        <v>28</v>
      </c>
      <c r="BI134" s="251" t="s">
        <v>331</v>
      </c>
      <c r="BJ134" s="251" t="s">
        <v>539</v>
      </c>
      <c r="BK134" s="251" t="s">
        <v>870</v>
      </c>
      <c r="BL134" s="251" t="s">
        <v>375</v>
      </c>
      <c r="BQ134" s="27" t="s">
        <v>7729</v>
      </c>
      <c r="BR134" s="27" t="s">
        <v>7730</v>
      </c>
    </row>
    <row r="135" spans="2:70" ht="15">
      <c r="B135" s="84"/>
      <c r="C135" s="10"/>
      <c r="D135" s="251" t="s">
        <v>9668</v>
      </c>
      <c r="E135" s="251" t="s">
        <v>9207</v>
      </c>
      <c r="F135" s="251" t="s">
        <v>9224</v>
      </c>
      <c r="G135" s="402" t="s">
        <v>9448</v>
      </c>
      <c r="H135" s="333"/>
      <c r="I135" s="333"/>
      <c r="J135" s="333"/>
      <c r="K135" s="333"/>
      <c r="L135" s="333"/>
      <c r="R135" s="251"/>
      <c r="S135" s="251"/>
      <c r="AJ135" s="333"/>
      <c r="AK135" s="333"/>
      <c r="AL135" s="333"/>
      <c r="AM135" s="333"/>
      <c r="AN135" s="333"/>
      <c r="AO135" s="333"/>
      <c r="AP135" s="333"/>
      <c r="AQ135" s="333"/>
      <c r="AR135" s="333"/>
      <c r="AS135" s="333"/>
      <c r="AT135" s="333"/>
      <c r="AU135" s="333"/>
      <c r="AV135" s="333"/>
      <c r="AW135" s="333"/>
      <c r="AX135" s="333"/>
      <c r="AY135" s="333"/>
      <c r="AZ135" s="333"/>
      <c r="BD135" s="399">
        <v>132</v>
      </c>
      <c r="BE135" s="399" t="s">
        <v>871</v>
      </c>
      <c r="BF135" s="251" t="s">
        <v>872</v>
      </c>
      <c r="BG135" s="399" t="s">
        <v>739</v>
      </c>
      <c r="BH135" s="252">
        <v>45</v>
      </c>
      <c r="BI135" s="251" t="s">
        <v>873</v>
      </c>
      <c r="BJ135" s="251" t="s">
        <v>413</v>
      </c>
      <c r="BK135" s="251" t="s">
        <v>874</v>
      </c>
      <c r="BL135" s="251" t="s">
        <v>742</v>
      </c>
      <c r="BQ135" s="27" t="s">
        <v>7731</v>
      </c>
      <c r="BR135" s="27" t="s">
        <v>7732</v>
      </c>
    </row>
    <row r="136" spans="2:70" ht="15">
      <c r="B136" s="84"/>
      <c r="C136" s="10"/>
      <c r="D136" s="251" t="s">
        <v>9668</v>
      </c>
      <c r="E136" s="251" t="s">
        <v>9207</v>
      </c>
      <c r="F136" s="251" t="s">
        <v>9225</v>
      </c>
      <c r="G136" s="402" t="s">
        <v>9449</v>
      </c>
      <c r="H136" s="333"/>
      <c r="I136" s="333"/>
      <c r="J136" s="333"/>
      <c r="K136" s="333"/>
      <c r="L136" s="333"/>
      <c r="R136" s="251"/>
      <c r="S136" s="251"/>
      <c r="AJ136" s="333"/>
      <c r="AK136" s="333"/>
      <c r="AL136" s="333"/>
      <c r="AM136" s="333"/>
      <c r="AN136" s="333"/>
      <c r="AO136" s="333"/>
      <c r="AP136" s="333"/>
      <c r="AQ136" s="333"/>
      <c r="AR136" s="333"/>
      <c r="AS136" s="333"/>
      <c r="AT136" s="333"/>
      <c r="AU136" s="333"/>
      <c r="AV136" s="333"/>
      <c r="AW136" s="333"/>
      <c r="AX136" s="333"/>
      <c r="AY136" s="333"/>
      <c r="AZ136" s="333"/>
      <c r="BD136" s="399">
        <v>133</v>
      </c>
      <c r="BE136" s="399" t="s">
        <v>875</v>
      </c>
      <c r="BF136" s="251" t="s">
        <v>876</v>
      </c>
      <c r="BG136" s="399" t="s">
        <v>405</v>
      </c>
      <c r="BH136" s="252" t="s">
        <v>406</v>
      </c>
      <c r="BI136" s="251" t="s">
        <v>877</v>
      </c>
      <c r="BJ136" s="251" t="s">
        <v>407</v>
      </c>
      <c r="BK136" s="251" t="s">
        <v>878</v>
      </c>
      <c r="BL136" s="251" t="s">
        <v>409</v>
      </c>
      <c r="BQ136" s="27" t="s">
        <v>7733</v>
      </c>
      <c r="BR136" s="27" t="s">
        <v>7734</v>
      </c>
    </row>
    <row r="137" spans="2:70" ht="15">
      <c r="B137" s="84"/>
      <c r="C137" s="10"/>
      <c r="D137" s="251" t="s">
        <v>9668</v>
      </c>
      <c r="E137" s="251" t="s">
        <v>9207</v>
      </c>
      <c r="F137" s="251" t="s">
        <v>9208</v>
      </c>
      <c r="G137" s="402" t="s">
        <v>9432</v>
      </c>
      <c r="H137" s="333"/>
      <c r="I137" s="333"/>
      <c r="J137" s="333"/>
      <c r="K137" s="333"/>
      <c r="L137" s="333"/>
      <c r="R137" s="251"/>
      <c r="S137" s="251"/>
      <c r="AJ137" s="333"/>
      <c r="AK137" s="333"/>
      <c r="AL137" s="333"/>
      <c r="AM137" s="333"/>
      <c r="AN137" s="333"/>
      <c r="AO137" s="333"/>
      <c r="AP137" s="333"/>
      <c r="AQ137" s="333"/>
      <c r="AR137" s="333"/>
      <c r="AS137" s="333"/>
      <c r="AT137" s="333"/>
      <c r="AU137" s="333"/>
      <c r="AV137" s="333"/>
      <c r="AW137" s="333"/>
      <c r="AX137" s="333"/>
      <c r="AY137" s="333"/>
      <c r="AZ137" s="333"/>
      <c r="BD137" s="399">
        <v>134</v>
      </c>
      <c r="BE137" s="399" t="s">
        <v>879</v>
      </c>
      <c r="BF137" s="251" t="s">
        <v>880</v>
      </c>
      <c r="BG137" s="399" t="s">
        <v>349</v>
      </c>
      <c r="BH137" s="252">
        <v>17</v>
      </c>
      <c r="BI137" s="251" t="s">
        <v>740</v>
      </c>
      <c r="BJ137" s="251" t="s">
        <v>413</v>
      </c>
      <c r="BK137" s="251" t="s">
        <v>881</v>
      </c>
      <c r="BL137" s="251" t="s">
        <v>353</v>
      </c>
      <c r="BQ137" s="27" t="s">
        <v>7735</v>
      </c>
      <c r="BR137" s="27" t="s">
        <v>7736</v>
      </c>
    </row>
    <row r="138" spans="2:70" ht="15">
      <c r="B138" s="84"/>
      <c r="C138" s="10"/>
      <c r="D138" s="251" t="s">
        <v>9668</v>
      </c>
      <c r="E138" s="251" t="s">
        <v>9207</v>
      </c>
      <c r="F138" s="251" t="s">
        <v>9226</v>
      </c>
      <c r="G138" s="402" t="s">
        <v>9450</v>
      </c>
      <c r="H138" s="333"/>
      <c r="I138" s="333"/>
      <c r="J138" s="333"/>
      <c r="K138" s="333"/>
      <c r="L138" s="333"/>
      <c r="R138" s="251"/>
      <c r="S138" s="251"/>
      <c r="AJ138" s="333"/>
      <c r="AK138" s="333"/>
      <c r="AL138" s="333"/>
      <c r="AM138" s="333"/>
      <c r="AN138" s="333"/>
      <c r="AO138" s="333"/>
      <c r="AP138" s="333"/>
      <c r="AQ138" s="333"/>
      <c r="AR138" s="333"/>
      <c r="AS138" s="333"/>
      <c r="AT138" s="333"/>
      <c r="AU138" s="333"/>
      <c r="AV138" s="333"/>
      <c r="AW138" s="333"/>
      <c r="AX138" s="333"/>
      <c r="AY138" s="333"/>
      <c r="AZ138" s="333"/>
      <c r="BD138" s="399">
        <v>135</v>
      </c>
      <c r="BE138" s="399" t="s">
        <v>882</v>
      </c>
      <c r="BF138" s="251" t="s">
        <v>883</v>
      </c>
      <c r="BG138" s="399" t="s">
        <v>429</v>
      </c>
      <c r="BH138" s="252" t="s">
        <v>430</v>
      </c>
      <c r="BI138" s="251" t="s">
        <v>332</v>
      </c>
      <c r="BJ138" s="251" t="s">
        <v>390</v>
      </c>
      <c r="BK138" s="251" t="s">
        <v>884</v>
      </c>
      <c r="BL138" s="251" t="s">
        <v>432</v>
      </c>
      <c r="BQ138" s="27" t="s">
        <v>7737</v>
      </c>
      <c r="BR138" s="27" t="s">
        <v>7738</v>
      </c>
    </row>
    <row r="139" spans="2:70" ht="15">
      <c r="B139" s="84"/>
      <c r="C139" s="10"/>
      <c r="D139" s="251" t="s">
        <v>9668</v>
      </c>
      <c r="E139" s="251" t="s">
        <v>9207</v>
      </c>
      <c r="F139" s="251" t="s">
        <v>9209</v>
      </c>
      <c r="G139" s="402" t="s">
        <v>9433</v>
      </c>
      <c r="H139" s="333"/>
      <c r="I139" s="333"/>
      <c r="J139" s="333"/>
      <c r="K139" s="333"/>
      <c r="L139" s="333"/>
      <c r="R139" s="251"/>
      <c r="S139" s="251"/>
      <c r="AJ139" s="333"/>
      <c r="AK139" s="333"/>
      <c r="AL139" s="333"/>
      <c r="AM139" s="333"/>
      <c r="AN139" s="333"/>
      <c r="AO139" s="333"/>
      <c r="AP139" s="333"/>
      <c r="AQ139" s="333"/>
      <c r="AR139" s="333"/>
      <c r="AS139" s="333"/>
      <c r="AT139" s="333"/>
      <c r="AU139" s="333"/>
      <c r="AV139" s="333"/>
      <c r="AW139" s="333"/>
      <c r="AX139" s="333"/>
      <c r="AY139" s="333"/>
      <c r="AZ139" s="333"/>
      <c r="BD139" s="399">
        <v>136</v>
      </c>
      <c r="BE139" s="399" t="s">
        <v>885</v>
      </c>
      <c r="BF139" s="251" t="s">
        <v>886</v>
      </c>
      <c r="BG139" s="399" t="s">
        <v>429</v>
      </c>
      <c r="BH139" s="252" t="s">
        <v>430</v>
      </c>
      <c r="BI139" s="251" t="s">
        <v>728</v>
      </c>
      <c r="BJ139" s="251" t="s">
        <v>366</v>
      </c>
      <c r="BK139" s="251" t="s">
        <v>887</v>
      </c>
      <c r="BL139" s="251" t="s">
        <v>432</v>
      </c>
      <c r="BQ139" s="27" t="s">
        <v>7739</v>
      </c>
      <c r="BR139" s="27" t="s">
        <v>7740</v>
      </c>
    </row>
    <row r="140" spans="2:70" ht="15">
      <c r="B140" s="84"/>
      <c r="C140" s="10"/>
      <c r="D140" s="251" t="s">
        <v>9668</v>
      </c>
      <c r="E140" s="251" t="s">
        <v>9207</v>
      </c>
      <c r="F140" s="251" t="s">
        <v>9215</v>
      </c>
      <c r="G140" s="402" t="s">
        <v>9439</v>
      </c>
      <c r="H140" s="333"/>
      <c r="I140" s="333"/>
      <c r="J140" s="333"/>
      <c r="K140" s="333"/>
      <c r="L140" s="333"/>
      <c r="R140" s="251"/>
      <c r="S140" s="251"/>
      <c r="AJ140" s="333"/>
      <c r="AK140" s="333"/>
      <c r="AL140" s="333"/>
      <c r="AM140" s="333"/>
      <c r="AN140" s="333"/>
      <c r="AO140" s="333"/>
      <c r="AP140" s="333"/>
      <c r="AQ140" s="333"/>
      <c r="AR140" s="333"/>
      <c r="AS140" s="333"/>
      <c r="AT140" s="333"/>
      <c r="AU140" s="333"/>
      <c r="AV140" s="333"/>
      <c r="AW140" s="333"/>
      <c r="AX140" s="333"/>
      <c r="AY140" s="333"/>
      <c r="AZ140" s="333"/>
      <c r="BD140" s="399">
        <v>137</v>
      </c>
      <c r="BE140" s="399" t="s">
        <v>888</v>
      </c>
      <c r="BF140" s="251" t="s">
        <v>889</v>
      </c>
      <c r="BG140" s="399" t="s">
        <v>363</v>
      </c>
      <c r="BH140" s="252" t="s">
        <v>364</v>
      </c>
      <c r="BI140" s="251" t="s">
        <v>332</v>
      </c>
      <c r="BJ140" s="251" t="s">
        <v>397</v>
      </c>
      <c r="BK140" s="251" t="s">
        <v>890</v>
      </c>
      <c r="BL140" s="251" t="s">
        <v>368</v>
      </c>
      <c r="BQ140" s="27" t="s">
        <v>7741</v>
      </c>
      <c r="BR140" s="27" t="s">
        <v>7742</v>
      </c>
    </row>
    <row r="141" spans="2:70" ht="15">
      <c r="B141" s="84"/>
      <c r="C141" s="10"/>
      <c r="D141" s="251" t="s">
        <v>9668</v>
      </c>
      <c r="E141" s="251" t="s">
        <v>9207</v>
      </c>
      <c r="F141" s="251" t="s">
        <v>9210</v>
      </c>
      <c r="G141" s="402" t="s">
        <v>9434</v>
      </c>
      <c r="H141" s="333"/>
      <c r="I141" s="333"/>
      <c r="J141" s="333"/>
      <c r="K141" s="333"/>
      <c r="L141" s="333"/>
      <c r="R141" s="251"/>
      <c r="S141" s="251"/>
      <c r="AJ141" s="333"/>
      <c r="AK141" s="333"/>
      <c r="AL141" s="333"/>
      <c r="AM141" s="333"/>
      <c r="AN141" s="333"/>
      <c r="AO141" s="333"/>
      <c r="AP141" s="333"/>
      <c r="AQ141" s="333"/>
      <c r="AR141" s="333"/>
      <c r="AS141" s="333"/>
      <c r="AT141" s="333"/>
      <c r="AU141" s="333"/>
      <c r="AV141" s="333"/>
      <c r="AW141" s="333"/>
      <c r="AX141" s="333"/>
      <c r="AY141" s="333"/>
      <c r="AZ141" s="333"/>
      <c r="BD141" s="399">
        <v>138</v>
      </c>
      <c r="BE141" s="399" t="s">
        <v>891</v>
      </c>
      <c r="BF141" s="251" t="s">
        <v>892</v>
      </c>
      <c r="BG141" s="399" t="s">
        <v>405</v>
      </c>
      <c r="BH141" s="252" t="s">
        <v>528</v>
      </c>
      <c r="BI141" s="251" t="s">
        <v>740</v>
      </c>
      <c r="BJ141" s="251" t="s">
        <v>778</v>
      </c>
      <c r="BK141" s="251" t="s">
        <v>893</v>
      </c>
      <c r="BL141" s="251" t="s">
        <v>409</v>
      </c>
      <c r="BQ141" s="27" t="s">
        <v>7743</v>
      </c>
      <c r="BR141" s="27" t="s">
        <v>7744</v>
      </c>
    </row>
    <row r="142" spans="2:70" ht="15">
      <c r="B142" s="84"/>
      <c r="C142" s="10"/>
      <c r="D142" s="251" t="s">
        <v>9668</v>
      </c>
      <c r="E142" s="251" t="s">
        <v>9207</v>
      </c>
      <c r="F142" s="251" t="s">
        <v>9212</v>
      </c>
      <c r="G142" s="402" t="s">
        <v>9436</v>
      </c>
      <c r="H142" s="333"/>
      <c r="I142" s="333"/>
      <c r="J142" s="333"/>
      <c r="K142" s="333"/>
      <c r="L142" s="333"/>
      <c r="R142" s="251"/>
      <c r="S142" s="251"/>
      <c r="AJ142" s="333"/>
      <c r="AK142" s="333"/>
      <c r="AL142" s="333"/>
      <c r="AM142" s="333"/>
      <c r="AN142" s="333"/>
      <c r="AO142" s="333"/>
      <c r="AP142" s="333"/>
      <c r="AQ142" s="333"/>
      <c r="AR142" s="333"/>
      <c r="AS142" s="333"/>
      <c r="AT142" s="333"/>
      <c r="AU142" s="333"/>
      <c r="AV142" s="333"/>
      <c r="AW142" s="333"/>
      <c r="AX142" s="333"/>
      <c r="AY142" s="333"/>
      <c r="AZ142" s="333"/>
      <c r="BD142" s="399">
        <v>139</v>
      </c>
      <c r="BE142" s="399" t="s">
        <v>894</v>
      </c>
      <c r="BF142" s="251" t="s">
        <v>895</v>
      </c>
      <c r="BG142" s="399" t="s">
        <v>371</v>
      </c>
      <c r="BH142" s="252">
        <v>28</v>
      </c>
      <c r="BI142" s="251" t="s">
        <v>496</v>
      </c>
      <c r="BJ142" s="251" t="s">
        <v>539</v>
      </c>
      <c r="BK142" s="251" t="s">
        <v>896</v>
      </c>
      <c r="BL142" s="251" t="s">
        <v>375</v>
      </c>
      <c r="BQ142" s="27" t="s">
        <v>7745</v>
      </c>
      <c r="BR142" s="27" t="s">
        <v>7746</v>
      </c>
    </row>
    <row r="143" spans="2:70" ht="15">
      <c r="B143" s="84"/>
      <c r="C143" s="10"/>
      <c r="D143" s="251" t="s">
        <v>9668</v>
      </c>
      <c r="E143" s="251" t="s">
        <v>9207</v>
      </c>
      <c r="F143" s="251" t="s">
        <v>9211</v>
      </c>
      <c r="G143" s="402" t="s">
        <v>9435</v>
      </c>
      <c r="H143" s="333"/>
      <c r="I143" s="333"/>
      <c r="J143" s="333"/>
      <c r="K143" s="333"/>
      <c r="L143" s="333"/>
      <c r="R143" s="251"/>
      <c r="S143" s="251"/>
      <c r="AJ143" s="333"/>
      <c r="AK143" s="333"/>
      <c r="AL143" s="333"/>
      <c r="AM143" s="333"/>
      <c r="AN143" s="333"/>
      <c r="AO143" s="333"/>
      <c r="AP143" s="333"/>
      <c r="AQ143" s="333"/>
      <c r="AR143" s="333"/>
      <c r="AS143" s="333"/>
      <c r="AT143" s="333"/>
      <c r="AU143" s="333"/>
      <c r="AV143" s="333"/>
      <c r="AW143" s="333"/>
      <c r="AX143" s="333"/>
      <c r="AY143" s="333"/>
      <c r="AZ143" s="333"/>
      <c r="BD143" s="399">
        <v>140</v>
      </c>
      <c r="BE143" s="399" t="s">
        <v>897</v>
      </c>
      <c r="BF143" s="251" t="s">
        <v>898</v>
      </c>
      <c r="BG143" s="399" t="s">
        <v>455</v>
      </c>
      <c r="BH143" s="252">
        <v>35</v>
      </c>
      <c r="BI143" s="251" t="s">
        <v>365</v>
      </c>
      <c r="BJ143" s="251" t="s">
        <v>390</v>
      </c>
      <c r="BK143" s="251" t="s">
        <v>899</v>
      </c>
      <c r="BL143" s="251" t="s">
        <v>458</v>
      </c>
      <c r="BQ143" s="27" t="s">
        <v>7747</v>
      </c>
      <c r="BR143" s="27" t="s">
        <v>7748</v>
      </c>
    </row>
    <row r="144" spans="2:70" ht="15">
      <c r="B144" s="84"/>
      <c r="C144" s="10"/>
      <c r="D144" s="251" t="s">
        <v>9668</v>
      </c>
      <c r="E144" s="251" t="s">
        <v>9207</v>
      </c>
      <c r="F144" s="251" t="s">
        <v>9227</v>
      </c>
      <c r="G144" s="402" t="s">
        <v>9451</v>
      </c>
      <c r="H144" s="333"/>
      <c r="I144" s="333"/>
      <c r="J144" s="333"/>
      <c r="K144" s="333"/>
      <c r="L144" s="333"/>
      <c r="R144" s="251"/>
      <c r="S144" s="251"/>
      <c r="AJ144" s="333"/>
      <c r="AK144" s="333"/>
      <c r="AL144" s="333"/>
      <c r="AM144" s="333"/>
      <c r="AN144" s="333"/>
      <c r="AO144" s="333"/>
      <c r="AP144" s="333"/>
      <c r="AQ144" s="333"/>
      <c r="AR144" s="333"/>
      <c r="AS144" s="333"/>
      <c r="AT144" s="333"/>
      <c r="AU144" s="333"/>
      <c r="AV144" s="333"/>
      <c r="AW144" s="333"/>
      <c r="AX144" s="333"/>
      <c r="AY144" s="333"/>
      <c r="AZ144" s="333"/>
      <c r="BD144" s="399">
        <v>141</v>
      </c>
      <c r="BE144" s="399" t="s">
        <v>900</v>
      </c>
      <c r="BF144" s="251" t="s">
        <v>901</v>
      </c>
      <c r="BG144" s="399" t="s">
        <v>349</v>
      </c>
      <c r="BH144" s="252">
        <v>17</v>
      </c>
      <c r="BI144" s="251" t="s">
        <v>379</v>
      </c>
      <c r="BJ144" s="251" t="s">
        <v>351</v>
      </c>
      <c r="BK144" s="251" t="s">
        <v>902</v>
      </c>
      <c r="BL144" s="251" t="s">
        <v>353</v>
      </c>
      <c r="BQ144" s="27" t="s">
        <v>7749</v>
      </c>
      <c r="BR144" s="27" t="s">
        <v>7750</v>
      </c>
    </row>
    <row r="145" spans="2:70" ht="15">
      <c r="B145" s="84"/>
      <c r="C145" s="10"/>
      <c r="D145" s="251" t="s">
        <v>9668</v>
      </c>
      <c r="E145" s="251" t="s">
        <v>9207</v>
      </c>
      <c r="F145" s="251" t="s">
        <v>9216</v>
      </c>
      <c r="G145" s="402" t="s">
        <v>9440</v>
      </c>
      <c r="H145" s="333"/>
      <c r="I145" s="333"/>
      <c r="J145" s="333"/>
      <c r="K145" s="333"/>
      <c r="L145" s="333"/>
      <c r="R145" s="251"/>
      <c r="S145" s="251"/>
      <c r="AJ145" s="333"/>
      <c r="AK145" s="333"/>
      <c r="AL145" s="333"/>
      <c r="AM145" s="333"/>
      <c r="AN145" s="333"/>
      <c r="AO145" s="333"/>
      <c r="AP145" s="333"/>
      <c r="AQ145" s="333"/>
      <c r="AR145" s="333"/>
      <c r="AS145" s="333"/>
      <c r="AT145" s="333"/>
      <c r="AU145" s="333"/>
      <c r="AV145" s="333"/>
      <c r="AW145" s="333"/>
      <c r="AX145" s="333"/>
      <c r="AY145" s="333"/>
      <c r="AZ145" s="333"/>
      <c r="BD145" s="399">
        <v>142</v>
      </c>
      <c r="BE145" s="399" t="s">
        <v>903</v>
      </c>
      <c r="BF145" s="251" t="s">
        <v>904</v>
      </c>
      <c r="BG145" s="399" t="s">
        <v>614</v>
      </c>
      <c r="BH145" s="252">
        <v>38</v>
      </c>
      <c r="BI145" s="251" t="s">
        <v>583</v>
      </c>
      <c r="BJ145" s="251" t="s">
        <v>413</v>
      </c>
      <c r="BK145" s="251" t="s">
        <v>905</v>
      </c>
      <c r="BL145" s="251" t="s">
        <v>617</v>
      </c>
      <c r="BQ145" s="27" t="s">
        <v>7751</v>
      </c>
      <c r="BR145" s="27" t="s">
        <v>7752</v>
      </c>
    </row>
    <row r="146" spans="2:70" ht="15">
      <c r="B146" s="84"/>
      <c r="C146" s="10"/>
      <c r="D146" s="251" t="s">
        <v>9668</v>
      </c>
      <c r="E146" s="251" t="s">
        <v>9207</v>
      </c>
      <c r="F146" s="251" t="s">
        <v>9217</v>
      </c>
      <c r="G146" s="402" t="s">
        <v>9441</v>
      </c>
      <c r="H146" s="333"/>
      <c r="I146" s="333"/>
      <c r="J146" s="333"/>
      <c r="K146" s="333"/>
      <c r="L146" s="333"/>
      <c r="R146" s="251"/>
      <c r="S146" s="251"/>
      <c r="AJ146" s="333"/>
      <c r="AK146" s="333"/>
      <c r="AL146" s="333"/>
      <c r="AM146" s="333"/>
      <c r="AN146" s="333"/>
      <c r="AO146" s="333"/>
      <c r="AP146" s="333"/>
      <c r="AQ146" s="333"/>
      <c r="AR146" s="333"/>
      <c r="AS146" s="333"/>
      <c r="AT146" s="333"/>
      <c r="AU146" s="333"/>
      <c r="AV146" s="333"/>
      <c r="AW146" s="333"/>
      <c r="AX146" s="333"/>
      <c r="AY146" s="333"/>
      <c r="AZ146" s="333"/>
      <c r="BD146" s="399">
        <v>143</v>
      </c>
      <c r="BE146" s="399" t="s">
        <v>906</v>
      </c>
      <c r="BF146" s="251" t="s">
        <v>907</v>
      </c>
      <c r="BG146" s="399" t="s">
        <v>566</v>
      </c>
      <c r="BH146" s="252" t="s">
        <v>567</v>
      </c>
      <c r="BI146" s="251" t="s">
        <v>334</v>
      </c>
      <c r="BJ146" s="251" t="s">
        <v>366</v>
      </c>
      <c r="BK146" s="251" t="s">
        <v>908</v>
      </c>
      <c r="BL146" s="251" t="s">
        <v>569</v>
      </c>
      <c r="BQ146" s="27" t="s">
        <v>7753</v>
      </c>
      <c r="BR146" s="27" t="s">
        <v>7754</v>
      </c>
    </row>
    <row r="147" spans="2:70" ht="15">
      <c r="B147" s="84"/>
      <c r="C147" s="10"/>
      <c r="D147" s="251" t="s">
        <v>9668</v>
      </c>
      <c r="E147" s="251" t="s">
        <v>9207</v>
      </c>
      <c r="F147" s="251" t="s">
        <v>9218</v>
      </c>
      <c r="G147" s="402" t="s">
        <v>9442</v>
      </c>
      <c r="H147" s="333"/>
      <c r="I147" s="333"/>
      <c r="J147" s="333"/>
      <c r="K147" s="333"/>
      <c r="L147" s="333"/>
      <c r="R147" s="251"/>
      <c r="S147" s="251"/>
      <c r="AJ147" s="333"/>
      <c r="AK147" s="333"/>
      <c r="AL147" s="333"/>
      <c r="AM147" s="333"/>
      <c r="AN147" s="333"/>
      <c r="AO147" s="333"/>
      <c r="AP147" s="333"/>
      <c r="AQ147" s="333"/>
      <c r="AR147" s="333"/>
      <c r="AS147" s="333"/>
      <c r="AT147" s="333"/>
      <c r="AU147" s="333"/>
      <c r="AV147" s="333"/>
      <c r="AW147" s="333"/>
      <c r="AX147" s="333"/>
      <c r="AY147" s="333"/>
      <c r="AZ147" s="333"/>
      <c r="BD147" s="399">
        <v>144</v>
      </c>
      <c r="BE147" s="399" t="s">
        <v>909</v>
      </c>
      <c r="BF147" s="251" t="s">
        <v>910</v>
      </c>
      <c r="BG147" s="399" t="s">
        <v>489</v>
      </c>
      <c r="BH147" s="252" t="s">
        <v>490</v>
      </c>
      <c r="BI147" s="251" t="s">
        <v>331</v>
      </c>
      <c r="BJ147" s="251" t="s">
        <v>366</v>
      </c>
      <c r="BK147" s="251" t="s">
        <v>911</v>
      </c>
      <c r="BL147" s="251" t="s">
        <v>493</v>
      </c>
      <c r="BQ147" s="27" t="s">
        <v>7755</v>
      </c>
      <c r="BR147" s="27" t="s">
        <v>7756</v>
      </c>
    </row>
    <row r="148" spans="2:70" ht="15">
      <c r="B148" s="84"/>
      <c r="C148" s="10"/>
      <c r="D148" s="251" t="s">
        <v>9668</v>
      </c>
      <c r="E148" s="251" t="s">
        <v>9207</v>
      </c>
      <c r="F148" s="251" t="s">
        <v>9213</v>
      </c>
      <c r="G148" s="402" t="s">
        <v>9437</v>
      </c>
      <c r="H148" s="333"/>
      <c r="I148" s="333"/>
      <c r="J148" s="333"/>
      <c r="K148" s="333"/>
      <c r="L148" s="333"/>
      <c r="R148" s="251"/>
      <c r="S148" s="251"/>
      <c r="AJ148" s="333"/>
      <c r="AK148" s="333"/>
      <c r="AL148" s="333"/>
      <c r="AM148" s="333"/>
      <c r="AN148" s="333"/>
      <c r="AO148" s="333"/>
      <c r="AP148" s="333"/>
      <c r="AQ148" s="333"/>
      <c r="AR148" s="333"/>
      <c r="AS148" s="333"/>
      <c r="AT148" s="333"/>
      <c r="AU148" s="333"/>
      <c r="AV148" s="333"/>
      <c r="AW148" s="333"/>
      <c r="AX148" s="333"/>
      <c r="AY148" s="333"/>
      <c r="AZ148" s="333"/>
      <c r="BD148" s="399">
        <v>145</v>
      </c>
      <c r="BE148" s="399" t="s">
        <v>912</v>
      </c>
      <c r="BF148" s="251" t="s">
        <v>913</v>
      </c>
      <c r="BG148" s="399" t="s">
        <v>363</v>
      </c>
      <c r="BH148" s="252">
        <v>8</v>
      </c>
      <c r="BI148" s="251" t="s">
        <v>445</v>
      </c>
      <c r="BJ148" s="251" t="s">
        <v>385</v>
      </c>
      <c r="BK148" s="251" t="s">
        <v>914</v>
      </c>
      <c r="BL148" s="251" t="s">
        <v>368</v>
      </c>
      <c r="BQ148" s="27" t="s">
        <v>7757</v>
      </c>
      <c r="BR148" s="27" t="s">
        <v>7758</v>
      </c>
    </row>
    <row r="149" spans="2:70" ht="15">
      <c r="B149" s="84"/>
      <c r="C149" s="10"/>
      <c r="D149" s="251" t="s">
        <v>9668</v>
      </c>
      <c r="E149" s="251" t="s">
        <v>9207</v>
      </c>
      <c r="F149" s="251" t="s">
        <v>9222</v>
      </c>
      <c r="G149" s="402" t="s">
        <v>9446</v>
      </c>
      <c r="H149" s="333"/>
      <c r="I149" s="333"/>
      <c r="J149" s="333"/>
      <c r="K149" s="333"/>
      <c r="L149" s="333"/>
      <c r="R149" s="251"/>
      <c r="S149" s="251"/>
      <c r="AJ149" s="333"/>
      <c r="AK149" s="333"/>
      <c r="AL149" s="333"/>
      <c r="AM149" s="333"/>
      <c r="AN149" s="333"/>
      <c r="AO149" s="333"/>
      <c r="AP149" s="333"/>
      <c r="AQ149" s="333"/>
      <c r="AR149" s="333"/>
      <c r="AS149" s="333"/>
      <c r="AT149" s="333"/>
      <c r="AU149" s="333"/>
      <c r="AV149" s="333"/>
      <c r="AW149" s="333"/>
      <c r="AX149" s="333"/>
      <c r="AY149" s="333"/>
      <c r="AZ149" s="333"/>
      <c r="BD149" s="399">
        <v>146</v>
      </c>
      <c r="BE149" s="399" t="s">
        <v>915</v>
      </c>
      <c r="BF149" s="251" t="s">
        <v>916</v>
      </c>
      <c r="BG149" s="399" t="s">
        <v>469</v>
      </c>
      <c r="BH149" s="252" t="s">
        <v>662</v>
      </c>
      <c r="BI149" s="251" t="s">
        <v>563</v>
      </c>
      <c r="BJ149" s="251" t="s">
        <v>380</v>
      </c>
      <c r="BK149" s="251" t="s">
        <v>917</v>
      </c>
      <c r="BL149" s="251" t="s">
        <v>472</v>
      </c>
      <c r="BQ149" s="27" t="s">
        <v>7759</v>
      </c>
      <c r="BR149" s="27" t="s">
        <v>7760</v>
      </c>
    </row>
    <row r="150" spans="2:70" ht="15">
      <c r="B150" s="84"/>
      <c r="C150" s="10"/>
      <c r="D150" s="251" t="s">
        <v>9668</v>
      </c>
      <c r="E150" s="251" t="s">
        <v>9207</v>
      </c>
      <c r="F150" s="251" t="s">
        <v>9219</v>
      </c>
      <c r="G150" s="402" t="s">
        <v>9443</v>
      </c>
      <c r="H150" s="333"/>
      <c r="I150" s="333"/>
      <c r="J150" s="333"/>
      <c r="K150" s="333"/>
      <c r="L150" s="333"/>
      <c r="R150" s="251"/>
      <c r="S150" s="251"/>
      <c r="AJ150" s="333"/>
      <c r="AK150" s="333"/>
      <c r="AL150" s="333"/>
      <c r="AM150" s="333"/>
      <c r="AN150" s="333"/>
      <c r="AO150" s="333"/>
      <c r="AP150" s="333"/>
      <c r="AQ150" s="333"/>
      <c r="AR150" s="333"/>
      <c r="AS150" s="333"/>
      <c r="AT150" s="333"/>
      <c r="AU150" s="333"/>
      <c r="AV150" s="333"/>
      <c r="AW150" s="333"/>
      <c r="AX150" s="333"/>
      <c r="AY150" s="333"/>
      <c r="AZ150" s="333"/>
      <c r="BD150" s="399">
        <v>147</v>
      </c>
      <c r="BE150" s="399" t="s">
        <v>918</v>
      </c>
      <c r="BF150" s="251" t="s">
        <v>919</v>
      </c>
      <c r="BG150" s="399" t="s">
        <v>363</v>
      </c>
      <c r="BH150" s="252" t="s">
        <v>575</v>
      </c>
      <c r="BI150" s="251" t="s">
        <v>365</v>
      </c>
      <c r="BJ150" s="251" t="s">
        <v>380</v>
      </c>
      <c r="BK150" s="251" t="s">
        <v>920</v>
      </c>
      <c r="BL150" s="251" t="s">
        <v>368</v>
      </c>
      <c r="BQ150" s="27" t="s">
        <v>7761</v>
      </c>
      <c r="BR150" s="27" t="s">
        <v>7762</v>
      </c>
    </row>
    <row r="151" spans="2:70" ht="15">
      <c r="B151" s="84"/>
      <c r="C151" s="10"/>
      <c r="D151" s="251" t="s">
        <v>9668</v>
      </c>
      <c r="E151" s="251" t="s">
        <v>9207</v>
      </c>
      <c r="F151" s="251" t="s">
        <v>9220</v>
      </c>
      <c r="G151" s="402" t="s">
        <v>9444</v>
      </c>
      <c r="H151" s="333"/>
      <c r="I151" s="333"/>
      <c r="J151" s="333"/>
      <c r="K151" s="333"/>
      <c r="L151" s="333"/>
      <c r="R151" s="251"/>
      <c r="S151" s="251"/>
      <c r="AJ151" s="333"/>
      <c r="AK151" s="333"/>
      <c r="AL151" s="333"/>
      <c r="AM151" s="333"/>
      <c r="AN151" s="333"/>
      <c r="AO151" s="333"/>
      <c r="AP151" s="333"/>
      <c r="AQ151" s="333"/>
      <c r="AR151" s="333"/>
      <c r="AS151" s="333"/>
      <c r="AT151" s="333"/>
      <c r="AU151" s="333"/>
      <c r="AV151" s="333"/>
      <c r="AW151" s="333"/>
      <c r="AX151" s="333"/>
      <c r="AY151" s="333"/>
      <c r="AZ151" s="333"/>
      <c r="BD151" s="399">
        <v>148</v>
      </c>
      <c r="BE151" s="399" t="s">
        <v>921</v>
      </c>
      <c r="BF151" s="251" t="s">
        <v>922</v>
      </c>
      <c r="BG151" s="399" t="s">
        <v>395</v>
      </c>
      <c r="BH151" s="252">
        <v>16</v>
      </c>
      <c r="BI151" s="251" t="s">
        <v>334</v>
      </c>
      <c r="BJ151" s="251" t="s">
        <v>397</v>
      </c>
      <c r="BK151" s="251" t="s">
        <v>923</v>
      </c>
      <c r="BL151" s="251" t="s">
        <v>399</v>
      </c>
      <c r="BQ151" s="27" t="s">
        <v>7763</v>
      </c>
      <c r="BR151" s="27" t="s">
        <v>7764</v>
      </c>
    </row>
    <row r="152" spans="2:70" ht="15">
      <c r="B152" s="84"/>
      <c r="C152" s="10"/>
      <c r="D152" s="251" t="s">
        <v>9668</v>
      </c>
      <c r="E152" s="251" t="s">
        <v>9207</v>
      </c>
      <c r="F152" s="251" t="s">
        <v>9221</v>
      </c>
      <c r="G152" s="402" t="s">
        <v>9445</v>
      </c>
      <c r="H152" s="333"/>
      <c r="I152" s="333"/>
      <c r="J152" s="333"/>
      <c r="K152" s="333"/>
      <c r="L152" s="333"/>
      <c r="R152" s="251"/>
      <c r="S152" s="251"/>
      <c r="AJ152" s="333"/>
      <c r="AK152" s="333"/>
      <c r="AL152" s="333"/>
      <c r="AM152" s="333"/>
      <c r="AN152" s="333"/>
      <c r="AO152" s="333"/>
      <c r="AP152" s="333"/>
      <c r="AQ152" s="333"/>
      <c r="AR152" s="333"/>
      <c r="AS152" s="333"/>
      <c r="AT152" s="333"/>
      <c r="AU152" s="333"/>
      <c r="AV152" s="333"/>
      <c r="AW152" s="333"/>
      <c r="AX152" s="333"/>
      <c r="AY152" s="333"/>
      <c r="AZ152" s="333"/>
      <c r="BD152" s="399">
        <v>149</v>
      </c>
      <c r="BE152" s="399" t="s">
        <v>924</v>
      </c>
      <c r="BF152" s="251" t="s">
        <v>925</v>
      </c>
      <c r="BG152" s="399" t="s">
        <v>395</v>
      </c>
      <c r="BH152" s="252">
        <v>16</v>
      </c>
      <c r="BI152" s="251" t="s">
        <v>334</v>
      </c>
      <c r="BJ152" s="251" t="s">
        <v>407</v>
      </c>
      <c r="BK152" s="251" t="s">
        <v>926</v>
      </c>
      <c r="BL152" s="251" t="s">
        <v>399</v>
      </c>
      <c r="BQ152" s="27" t="s">
        <v>7765</v>
      </c>
      <c r="BR152" s="27" t="s">
        <v>7766</v>
      </c>
    </row>
    <row r="153" spans="2:70" ht="15">
      <c r="B153" s="84"/>
      <c r="C153" s="10"/>
      <c r="D153" s="251" t="s">
        <v>9668</v>
      </c>
      <c r="E153" s="251" t="s">
        <v>9207</v>
      </c>
      <c r="F153" s="251" t="s">
        <v>9214</v>
      </c>
      <c r="G153" s="402" t="s">
        <v>9438</v>
      </c>
      <c r="H153" s="333"/>
      <c r="I153" s="333"/>
      <c r="J153" s="333"/>
      <c r="K153" s="333"/>
      <c r="L153" s="333"/>
      <c r="R153" s="251"/>
      <c r="S153" s="251"/>
      <c r="AJ153" s="333"/>
      <c r="AK153" s="333"/>
      <c r="AL153" s="333"/>
      <c r="AM153" s="333"/>
      <c r="AN153" s="333"/>
      <c r="AO153" s="333"/>
      <c r="AP153" s="333"/>
      <c r="AQ153" s="333"/>
      <c r="AR153" s="333"/>
      <c r="AS153" s="333"/>
      <c r="AT153" s="333"/>
      <c r="AU153" s="333"/>
      <c r="AV153" s="333"/>
      <c r="AW153" s="333"/>
      <c r="AX153" s="333"/>
      <c r="AY153" s="333"/>
      <c r="AZ153" s="333"/>
      <c r="BD153" s="399">
        <v>150</v>
      </c>
      <c r="BE153" s="399" t="s">
        <v>927</v>
      </c>
      <c r="BF153" s="251" t="s">
        <v>928</v>
      </c>
      <c r="BG153" s="399">
        <v>54</v>
      </c>
      <c r="BH153" s="252">
        <v>54</v>
      </c>
      <c r="BI153" s="251" t="s">
        <v>450</v>
      </c>
      <c r="BJ153" s="251" t="s">
        <v>366</v>
      </c>
      <c r="BK153" s="251" t="s">
        <v>929</v>
      </c>
      <c r="BL153" s="251" t="s">
        <v>930</v>
      </c>
      <c r="BQ153" s="27" t="s">
        <v>7767</v>
      </c>
      <c r="BR153" s="27" t="s">
        <v>7768</v>
      </c>
    </row>
    <row r="154" spans="2:70" ht="15">
      <c r="B154" s="84"/>
      <c r="C154" s="10"/>
      <c r="D154" s="251" t="s">
        <v>9668</v>
      </c>
      <c r="E154" s="251" t="s">
        <v>9669</v>
      </c>
      <c r="F154" s="251" t="s">
        <v>9674</v>
      </c>
      <c r="G154" s="251" t="s">
        <v>9681</v>
      </c>
      <c r="H154" s="333"/>
      <c r="I154" s="333"/>
      <c r="J154" s="333"/>
      <c r="K154" s="333"/>
      <c r="L154" s="333"/>
      <c r="R154" s="251"/>
      <c r="S154" s="251"/>
      <c r="AJ154" s="333"/>
      <c r="AK154" s="333"/>
      <c r="AL154" s="333"/>
      <c r="AM154" s="333"/>
      <c r="AN154" s="333"/>
      <c r="AO154" s="333"/>
      <c r="AP154" s="333"/>
      <c r="AQ154" s="333"/>
      <c r="AR154" s="333"/>
      <c r="AS154" s="333"/>
      <c r="AT154" s="333"/>
      <c r="AU154" s="333"/>
      <c r="AV154" s="333"/>
      <c r="AW154" s="333"/>
      <c r="AX154" s="333"/>
      <c r="AY154" s="333"/>
      <c r="AZ154" s="333"/>
      <c r="BD154" s="399">
        <v>151</v>
      </c>
      <c r="BE154" s="399" t="s">
        <v>931</v>
      </c>
      <c r="BF154" s="251" t="s">
        <v>932</v>
      </c>
      <c r="BG154" s="399" t="s">
        <v>429</v>
      </c>
      <c r="BH154" s="252" t="s">
        <v>430</v>
      </c>
      <c r="BI154" s="251" t="s">
        <v>350</v>
      </c>
      <c r="BJ154" s="251" t="s">
        <v>366</v>
      </c>
      <c r="BK154" s="251" t="s">
        <v>933</v>
      </c>
      <c r="BL154" s="251" t="s">
        <v>432</v>
      </c>
      <c r="BQ154" s="27" t="s">
        <v>7769</v>
      </c>
      <c r="BR154" s="27" t="s">
        <v>7770</v>
      </c>
    </row>
    <row r="155" spans="2:70" ht="15">
      <c r="B155" s="84"/>
      <c r="C155" s="10"/>
      <c r="D155" s="251" t="s">
        <v>9668</v>
      </c>
      <c r="E155" s="251" t="s">
        <v>9669</v>
      </c>
      <c r="F155" s="251" t="s">
        <v>9671</v>
      </c>
      <c r="G155" s="251" t="s">
        <v>9679</v>
      </c>
      <c r="H155" s="333"/>
      <c r="I155" s="333"/>
      <c r="J155" s="333"/>
      <c r="K155" s="333"/>
      <c r="L155" s="333"/>
      <c r="R155" s="251"/>
      <c r="S155" s="251"/>
      <c r="AJ155" s="333"/>
      <c r="AK155" s="28"/>
      <c r="AL155" s="333"/>
      <c r="AM155" s="333"/>
      <c r="AN155" s="333"/>
      <c r="AO155" s="333"/>
      <c r="AP155" s="333"/>
      <c r="AQ155" s="333"/>
      <c r="AR155" s="333"/>
      <c r="AS155" s="333"/>
      <c r="AT155" s="333"/>
      <c r="AU155" s="333"/>
      <c r="AV155" s="333"/>
      <c r="AW155" s="333"/>
      <c r="AX155" s="333"/>
      <c r="AY155" s="333"/>
      <c r="AZ155" s="333"/>
      <c r="BD155" s="399">
        <v>152</v>
      </c>
      <c r="BE155" s="399" t="s">
        <v>934</v>
      </c>
      <c r="BF155" s="251" t="s">
        <v>935</v>
      </c>
      <c r="BG155" s="399" t="s">
        <v>363</v>
      </c>
      <c r="BH155" s="252" t="s">
        <v>364</v>
      </c>
      <c r="BI155" s="251" t="s">
        <v>740</v>
      </c>
      <c r="BJ155" s="251" t="s">
        <v>413</v>
      </c>
      <c r="BK155" s="251" t="s">
        <v>936</v>
      </c>
      <c r="BL155" s="251" t="s">
        <v>368</v>
      </c>
      <c r="BQ155" s="27" t="s">
        <v>7771</v>
      </c>
      <c r="BR155" s="27" t="s">
        <v>7772</v>
      </c>
    </row>
    <row r="156" spans="2:70" ht="15">
      <c r="B156" s="84"/>
      <c r="C156" s="28"/>
      <c r="D156" s="251" t="s">
        <v>9668</v>
      </c>
      <c r="E156" s="251" t="s">
        <v>9669</v>
      </c>
      <c r="F156" s="251" t="s">
        <v>9670</v>
      </c>
      <c r="G156" s="251" t="s">
        <v>9678</v>
      </c>
      <c r="H156" s="333"/>
      <c r="I156" s="333"/>
      <c r="J156" s="333"/>
      <c r="K156" s="333"/>
      <c r="L156" s="333"/>
      <c r="R156" s="251"/>
      <c r="S156" s="251"/>
      <c r="AJ156" s="333"/>
      <c r="AK156" s="28"/>
      <c r="AL156" s="333"/>
      <c r="AM156" s="333"/>
      <c r="AN156" s="333"/>
      <c r="AO156" s="333"/>
      <c r="AP156" s="333"/>
      <c r="AQ156" s="333"/>
      <c r="AR156" s="333"/>
      <c r="AS156" s="333"/>
      <c r="AT156" s="333"/>
      <c r="AU156" s="333"/>
      <c r="AV156" s="333"/>
      <c r="AW156" s="333"/>
      <c r="AX156" s="333"/>
      <c r="AY156" s="333"/>
      <c r="AZ156" s="333"/>
      <c r="BD156" s="399">
        <v>153</v>
      </c>
      <c r="BE156" s="399" t="s">
        <v>937</v>
      </c>
      <c r="BF156" s="251" t="s">
        <v>938</v>
      </c>
      <c r="BG156" s="399" t="s">
        <v>371</v>
      </c>
      <c r="BH156" s="252">
        <v>28</v>
      </c>
      <c r="BI156" s="251" t="s">
        <v>477</v>
      </c>
      <c r="BJ156" s="251" t="s">
        <v>351</v>
      </c>
      <c r="BK156" s="251" t="s">
        <v>939</v>
      </c>
      <c r="BL156" s="251" t="s">
        <v>375</v>
      </c>
      <c r="BQ156" s="27" t="s">
        <v>7773</v>
      </c>
      <c r="BR156" s="27" t="s">
        <v>7774</v>
      </c>
    </row>
    <row r="157" spans="2:70" ht="15">
      <c r="B157" s="84"/>
      <c r="C157" s="28"/>
      <c r="D157" s="251" t="s">
        <v>9301</v>
      </c>
      <c r="E157" s="251" t="s">
        <v>9313</v>
      </c>
      <c r="F157" s="251" t="s">
        <v>9316</v>
      </c>
      <c r="G157" s="402" t="s">
        <v>9459</v>
      </c>
      <c r="H157" s="333"/>
      <c r="I157" s="333"/>
      <c r="J157" s="333"/>
      <c r="K157" s="333"/>
      <c r="L157" s="333"/>
      <c r="R157" s="251"/>
      <c r="S157" s="251"/>
      <c r="AJ157" s="333"/>
      <c r="AK157" s="333"/>
      <c r="AL157" s="333"/>
      <c r="AM157" s="333"/>
      <c r="AN157" s="333"/>
      <c r="AO157" s="333"/>
      <c r="AP157" s="333"/>
      <c r="AQ157" s="333"/>
      <c r="AR157" s="333"/>
      <c r="AS157" s="333"/>
      <c r="AT157" s="333"/>
      <c r="AU157" s="333"/>
      <c r="AV157" s="333"/>
      <c r="AW157" s="333"/>
      <c r="AX157" s="333"/>
      <c r="AY157" s="333"/>
      <c r="AZ157" s="333"/>
      <c r="BD157" s="399">
        <v>154</v>
      </c>
      <c r="BE157" s="399" t="s">
        <v>940</v>
      </c>
      <c r="BF157" s="251" t="s">
        <v>941</v>
      </c>
      <c r="BG157" s="399" t="s">
        <v>566</v>
      </c>
      <c r="BH157" s="252" t="s">
        <v>567</v>
      </c>
      <c r="BI157" s="251" t="s">
        <v>332</v>
      </c>
      <c r="BJ157" s="251" t="s">
        <v>539</v>
      </c>
      <c r="BK157" s="251" t="s">
        <v>942</v>
      </c>
      <c r="BL157" s="251" t="s">
        <v>569</v>
      </c>
      <c r="BQ157" s="27" t="s">
        <v>7775</v>
      </c>
      <c r="BR157" s="27" t="s">
        <v>7261</v>
      </c>
    </row>
    <row r="158" spans="2:70" ht="15">
      <c r="B158" s="84"/>
      <c r="C158" s="10"/>
      <c r="D158" s="251" t="s">
        <v>9301</v>
      </c>
      <c r="E158" s="251" t="s">
        <v>9313</v>
      </c>
      <c r="F158" s="251" t="s">
        <v>9328</v>
      </c>
      <c r="G158" s="402" t="s">
        <v>9471</v>
      </c>
      <c r="H158" s="333"/>
      <c r="I158" s="333"/>
      <c r="J158" s="333"/>
      <c r="K158" s="333"/>
      <c r="L158" s="333"/>
      <c r="R158" s="251"/>
      <c r="S158" s="251"/>
      <c r="AJ158" s="333"/>
      <c r="AK158" s="333"/>
      <c r="AL158" s="333"/>
      <c r="AM158" s="333"/>
      <c r="AN158" s="333"/>
      <c r="AO158" s="333"/>
      <c r="AP158" s="333"/>
      <c r="AQ158" s="333"/>
      <c r="AR158" s="333"/>
      <c r="AS158" s="333"/>
      <c r="AT158" s="333"/>
      <c r="AU158" s="333"/>
      <c r="AV158" s="333"/>
      <c r="AW158" s="333"/>
      <c r="AX158" s="333"/>
      <c r="AY158" s="333"/>
      <c r="AZ158" s="333"/>
      <c r="BD158" s="399">
        <v>155</v>
      </c>
      <c r="BE158" s="399" t="s">
        <v>943</v>
      </c>
      <c r="BF158" s="251" t="s">
        <v>944</v>
      </c>
      <c r="BG158" s="399">
        <v>57</v>
      </c>
      <c r="BH158" s="252">
        <v>57</v>
      </c>
      <c r="BI158" s="251" t="s">
        <v>332</v>
      </c>
      <c r="BJ158" s="251" t="s">
        <v>366</v>
      </c>
      <c r="BK158" s="251" t="s">
        <v>945</v>
      </c>
      <c r="BL158" s="251" t="s">
        <v>725</v>
      </c>
      <c r="BQ158" s="27" t="s">
        <v>7776</v>
      </c>
      <c r="BR158" s="27" t="s">
        <v>7777</v>
      </c>
    </row>
    <row r="159" spans="2:70" ht="15">
      <c r="B159" s="84"/>
      <c r="C159" s="333"/>
      <c r="D159" s="251" t="s">
        <v>9301</v>
      </c>
      <c r="E159" s="251" t="s">
        <v>9313</v>
      </c>
      <c r="F159" s="251" t="s">
        <v>9329</v>
      </c>
      <c r="G159" s="402" t="s">
        <v>9472</v>
      </c>
      <c r="H159" s="333"/>
      <c r="I159" s="333"/>
      <c r="J159" s="333"/>
      <c r="K159" s="333"/>
      <c r="L159" s="333"/>
      <c r="R159" s="251"/>
      <c r="S159" s="251"/>
      <c r="AJ159" s="333"/>
      <c r="AK159" s="333"/>
      <c r="AL159" s="333"/>
      <c r="AM159" s="333"/>
      <c r="AN159" s="333"/>
      <c r="AO159" s="333"/>
      <c r="AP159" s="333"/>
      <c r="AQ159" s="333"/>
      <c r="AR159" s="333"/>
      <c r="AS159" s="333"/>
      <c r="AT159" s="333"/>
      <c r="AU159" s="333"/>
      <c r="AV159" s="333"/>
      <c r="AW159" s="333"/>
      <c r="AX159" s="333"/>
      <c r="AY159" s="333"/>
      <c r="AZ159" s="333"/>
      <c r="BD159" s="399">
        <v>156</v>
      </c>
      <c r="BE159" s="399" t="s">
        <v>946</v>
      </c>
      <c r="BF159" s="251" t="s">
        <v>947</v>
      </c>
      <c r="BG159" s="399" t="s">
        <v>395</v>
      </c>
      <c r="BH159" s="252">
        <v>16</v>
      </c>
      <c r="BI159" s="251" t="s">
        <v>396</v>
      </c>
      <c r="BJ159" s="251" t="s">
        <v>351</v>
      </c>
      <c r="BK159" s="251" t="s">
        <v>948</v>
      </c>
      <c r="BL159" s="251" t="s">
        <v>399</v>
      </c>
      <c r="BQ159" s="27" t="s">
        <v>7778</v>
      </c>
      <c r="BR159" s="27" t="s">
        <v>7779</v>
      </c>
    </row>
    <row r="160" spans="2:70" ht="15">
      <c r="B160" s="84"/>
      <c r="C160" s="333"/>
      <c r="D160" s="251" t="s">
        <v>9301</v>
      </c>
      <c r="E160" s="251" t="s">
        <v>9313</v>
      </c>
      <c r="F160" s="251" t="s">
        <v>9314</v>
      </c>
      <c r="G160" s="402" t="s">
        <v>9457</v>
      </c>
      <c r="H160" s="333"/>
      <c r="I160" s="333"/>
      <c r="J160" s="333"/>
      <c r="K160" s="333"/>
      <c r="L160" s="333"/>
      <c r="R160" s="251"/>
      <c r="S160" s="251"/>
      <c r="AJ160" s="333"/>
      <c r="AK160" s="333"/>
      <c r="AL160" s="333"/>
      <c r="AM160" s="333"/>
      <c r="AN160" s="333"/>
      <c r="AO160" s="333"/>
      <c r="AP160" s="333"/>
      <c r="AQ160" s="333"/>
      <c r="AR160" s="333"/>
      <c r="AS160" s="333"/>
      <c r="AT160" s="333"/>
      <c r="AU160" s="333"/>
      <c r="AV160" s="333"/>
      <c r="AW160" s="333"/>
      <c r="AX160" s="333"/>
      <c r="AY160" s="333"/>
      <c r="AZ160" s="333"/>
      <c r="BD160" s="399">
        <v>157</v>
      </c>
      <c r="BE160" s="399" t="s">
        <v>949</v>
      </c>
      <c r="BF160" s="251" t="s">
        <v>950</v>
      </c>
      <c r="BG160" s="399" t="s">
        <v>363</v>
      </c>
      <c r="BH160" s="252" t="s">
        <v>575</v>
      </c>
      <c r="BI160" s="251" t="s">
        <v>450</v>
      </c>
      <c r="BJ160" s="251" t="s">
        <v>385</v>
      </c>
      <c r="BK160" s="251" t="s">
        <v>951</v>
      </c>
      <c r="BL160" s="251" t="s">
        <v>368</v>
      </c>
      <c r="BQ160" s="27" t="s">
        <v>7780</v>
      </c>
      <c r="BR160" s="27" t="s">
        <v>7781</v>
      </c>
    </row>
    <row r="161" spans="2:70" ht="15">
      <c r="B161" s="84"/>
      <c r="C161" s="333"/>
      <c r="D161" s="251" t="s">
        <v>9301</v>
      </c>
      <c r="E161" s="251" t="s">
        <v>9313</v>
      </c>
      <c r="F161" s="251" t="s">
        <v>9322</v>
      </c>
      <c r="G161" s="402" t="s">
        <v>9465</v>
      </c>
      <c r="H161" s="333"/>
      <c r="I161" s="333"/>
      <c r="J161" s="333"/>
      <c r="K161" s="333"/>
      <c r="L161" s="333"/>
      <c r="R161" s="251"/>
      <c r="S161" s="251"/>
      <c r="AJ161" s="333"/>
      <c r="AK161" s="333"/>
      <c r="AL161" s="333"/>
      <c r="AM161" s="333"/>
      <c r="AN161" s="333"/>
      <c r="AO161" s="333"/>
      <c r="AP161" s="333"/>
      <c r="AQ161" s="333"/>
      <c r="AR161" s="333"/>
      <c r="AS161" s="333"/>
      <c r="AT161" s="333"/>
      <c r="AU161" s="333"/>
      <c r="AV161" s="333"/>
      <c r="AW161" s="333"/>
      <c r="AX161" s="333"/>
      <c r="AY161" s="333"/>
      <c r="AZ161" s="333"/>
      <c r="BD161" s="399">
        <v>158</v>
      </c>
      <c r="BE161" s="399" t="s">
        <v>952</v>
      </c>
      <c r="BF161" s="251" t="s">
        <v>953</v>
      </c>
      <c r="BG161" s="399" t="s">
        <v>363</v>
      </c>
      <c r="BH161" s="252" t="s">
        <v>575</v>
      </c>
      <c r="BI161" s="251" t="s">
        <v>331</v>
      </c>
      <c r="BJ161" s="251" t="s">
        <v>954</v>
      </c>
      <c r="BK161" s="251" t="s">
        <v>955</v>
      </c>
      <c r="BL161" s="251" t="s">
        <v>368</v>
      </c>
      <c r="BQ161" s="27" t="s">
        <v>7782</v>
      </c>
      <c r="BR161" s="27" t="s">
        <v>7783</v>
      </c>
    </row>
    <row r="162" spans="2:70" ht="15">
      <c r="B162" s="84"/>
      <c r="C162" s="333"/>
      <c r="D162" s="251" t="s">
        <v>9301</v>
      </c>
      <c r="E162" s="251" t="s">
        <v>9313</v>
      </c>
      <c r="F162" s="251" t="s">
        <v>9327</v>
      </c>
      <c r="G162" s="402" t="s">
        <v>9470</v>
      </c>
      <c r="H162" s="333"/>
      <c r="I162" s="333"/>
      <c r="J162" s="333"/>
      <c r="K162" s="333"/>
      <c r="L162" s="333"/>
      <c r="R162" s="251"/>
      <c r="S162" s="251"/>
      <c r="AJ162" s="333"/>
      <c r="AK162" s="333"/>
      <c r="AL162" s="333"/>
      <c r="AM162" s="333"/>
      <c r="AN162" s="333"/>
      <c r="AO162" s="333"/>
      <c r="AP162" s="333"/>
      <c r="AQ162" s="333"/>
      <c r="AR162" s="333"/>
      <c r="AS162" s="333"/>
      <c r="AT162" s="333"/>
      <c r="AU162" s="333"/>
      <c r="AV162" s="333"/>
      <c r="AW162" s="333"/>
      <c r="AX162" s="333"/>
      <c r="AY162" s="333"/>
      <c r="AZ162" s="333"/>
      <c r="BD162" s="399">
        <v>159</v>
      </c>
      <c r="BE162" s="399" t="s">
        <v>956</v>
      </c>
      <c r="BF162" s="251" t="s">
        <v>957</v>
      </c>
      <c r="BG162" s="399" t="s">
        <v>489</v>
      </c>
      <c r="BH162" s="252" t="s">
        <v>958</v>
      </c>
      <c r="BI162" s="251" t="s">
        <v>445</v>
      </c>
      <c r="BJ162" s="251" t="s">
        <v>539</v>
      </c>
      <c r="BK162" s="251" t="s">
        <v>959</v>
      </c>
      <c r="BL162" s="251" t="s">
        <v>493</v>
      </c>
      <c r="BQ162" s="27" t="s">
        <v>7784</v>
      </c>
      <c r="BR162" s="27" t="s">
        <v>7785</v>
      </c>
    </row>
    <row r="163" spans="2:70" ht="15">
      <c r="B163" s="84"/>
      <c r="C163" s="333"/>
      <c r="D163" s="251" t="s">
        <v>9301</v>
      </c>
      <c r="E163" s="251" t="s">
        <v>9313</v>
      </c>
      <c r="F163" s="251" t="s">
        <v>9326</v>
      </c>
      <c r="G163" s="402" t="s">
        <v>9469</v>
      </c>
      <c r="H163" s="333"/>
      <c r="I163" s="333"/>
      <c r="J163" s="333"/>
      <c r="K163" s="333"/>
      <c r="L163" s="333"/>
      <c r="R163" s="251"/>
      <c r="S163" s="251"/>
      <c r="AJ163" s="333"/>
      <c r="AK163" s="333"/>
      <c r="AL163" s="333"/>
      <c r="AM163" s="333"/>
      <c r="AN163" s="333"/>
      <c r="AO163" s="333"/>
      <c r="AP163" s="333"/>
      <c r="AQ163" s="333"/>
      <c r="AR163" s="333"/>
      <c r="AS163" s="333"/>
      <c r="AT163" s="333"/>
      <c r="AU163" s="333"/>
      <c r="AV163" s="333"/>
      <c r="AW163" s="333"/>
      <c r="AZ163" s="333"/>
      <c r="BD163" s="399">
        <v>160</v>
      </c>
      <c r="BE163" s="399" t="s">
        <v>960</v>
      </c>
      <c r="BF163" s="251" t="s">
        <v>961</v>
      </c>
      <c r="BG163" s="399" t="s">
        <v>423</v>
      </c>
      <c r="BH163" s="252" t="s">
        <v>424</v>
      </c>
      <c r="BI163" s="251" t="s">
        <v>396</v>
      </c>
      <c r="BJ163" s="251" t="s">
        <v>366</v>
      </c>
      <c r="BK163" s="251" t="s">
        <v>962</v>
      </c>
      <c r="BL163" s="251" t="s">
        <v>426</v>
      </c>
      <c r="BQ163" s="27" t="s">
        <v>7786</v>
      </c>
      <c r="BR163" s="27" t="s">
        <v>7787</v>
      </c>
    </row>
    <row r="164" spans="2:70" ht="15">
      <c r="B164" s="84"/>
      <c r="C164" s="333"/>
      <c r="D164" s="251" t="s">
        <v>9301</v>
      </c>
      <c r="E164" s="251" t="s">
        <v>9313</v>
      </c>
      <c r="F164" s="251" t="s">
        <v>9323</v>
      </c>
      <c r="G164" s="402" t="s">
        <v>9466</v>
      </c>
      <c r="H164" s="333"/>
      <c r="I164" s="333"/>
      <c r="J164" s="333"/>
      <c r="K164" s="333"/>
      <c r="L164" s="333"/>
      <c r="R164" s="251"/>
      <c r="S164" s="251"/>
      <c r="AJ164" s="333"/>
      <c r="AK164" s="333"/>
      <c r="AL164" s="333"/>
      <c r="AM164" s="333"/>
      <c r="AN164" s="333"/>
      <c r="AO164" s="333"/>
      <c r="AP164" s="333"/>
      <c r="AQ164" s="333"/>
      <c r="AR164" s="333"/>
      <c r="AS164" s="333"/>
      <c r="AT164" s="333"/>
      <c r="AU164" s="333"/>
      <c r="AV164" s="333"/>
      <c r="AW164" s="333"/>
      <c r="AZ164" s="333"/>
      <c r="BD164" s="399">
        <v>161</v>
      </c>
      <c r="BE164" s="399" t="s">
        <v>963</v>
      </c>
      <c r="BF164" s="251" t="s">
        <v>964</v>
      </c>
      <c r="BG164" s="399" t="s">
        <v>363</v>
      </c>
      <c r="BH164" s="252" t="s">
        <v>364</v>
      </c>
      <c r="BI164" s="251" t="s">
        <v>333</v>
      </c>
      <c r="BJ164" s="251" t="s">
        <v>407</v>
      </c>
      <c r="BK164" s="251" t="s">
        <v>965</v>
      </c>
      <c r="BL164" s="251" t="s">
        <v>368</v>
      </c>
      <c r="BQ164" s="27" t="s">
        <v>7788</v>
      </c>
      <c r="BR164" s="27" t="s">
        <v>7789</v>
      </c>
    </row>
    <row r="165" spans="2:70" ht="15">
      <c r="B165" s="84"/>
      <c r="C165" s="333"/>
      <c r="D165" s="251" t="s">
        <v>9301</v>
      </c>
      <c r="E165" s="251" t="s">
        <v>9313</v>
      </c>
      <c r="F165" s="251" t="s">
        <v>9325</v>
      </c>
      <c r="G165" s="402" t="s">
        <v>9468</v>
      </c>
      <c r="H165" s="333"/>
      <c r="I165" s="333"/>
      <c r="J165" s="333"/>
      <c r="K165" s="333"/>
      <c r="L165" s="333"/>
      <c r="R165" s="251"/>
      <c r="S165" s="251"/>
      <c r="AJ165" s="333"/>
      <c r="AK165" s="333"/>
      <c r="AL165" s="333"/>
      <c r="AM165" s="333"/>
      <c r="AN165" s="333"/>
      <c r="AO165" s="333"/>
      <c r="AP165" s="333"/>
      <c r="AQ165" s="333"/>
      <c r="AR165" s="333"/>
      <c r="AS165" s="333"/>
      <c r="AT165" s="333"/>
      <c r="AU165" s="333"/>
      <c r="AV165" s="333"/>
      <c r="AW165" s="333"/>
      <c r="AZ165" s="333"/>
      <c r="BD165" s="399">
        <v>162</v>
      </c>
      <c r="BE165" s="399" t="s">
        <v>966</v>
      </c>
      <c r="BF165" s="251" t="s">
        <v>967</v>
      </c>
      <c r="BG165" s="399" t="s">
        <v>363</v>
      </c>
      <c r="BH165" s="252" t="s">
        <v>364</v>
      </c>
      <c r="BI165" s="251" t="s">
        <v>333</v>
      </c>
      <c r="BJ165" s="251" t="s">
        <v>539</v>
      </c>
      <c r="BK165" s="251" t="s">
        <v>968</v>
      </c>
      <c r="BL165" s="251" t="s">
        <v>368</v>
      </c>
      <c r="BQ165" s="27" t="s">
        <v>7790</v>
      </c>
      <c r="BR165" s="27" t="s">
        <v>7791</v>
      </c>
    </row>
    <row r="166" spans="2:70" ht="15">
      <c r="B166" s="84"/>
      <c r="C166" s="333"/>
      <c r="D166" s="251" t="s">
        <v>9301</v>
      </c>
      <c r="E166" s="251" t="s">
        <v>9313</v>
      </c>
      <c r="F166" s="251" t="s">
        <v>9320</v>
      </c>
      <c r="G166" s="402" t="s">
        <v>9463</v>
      </c>
      <c r="H166" s="333"/>
      <c r="I166" s="333"/>
      <c r="J166" s="333"/>
      <c r="K166" s="333"/>
      <c r="L166" s="333"/>
      <c r="R166" s="251"/>
      <c r="S166" s="251"/>
      <c r="AJ166" s="333"/>
      <c r="AK166" s="333"/>
      <c r="AL166" s="333"/>
      <c r="AM166" s="333"/>
      <c r="AN166" s="333"/>
      <c r="AO166" s="333"/>
      <c r="AP166" s="333"/>
      <c r="AQ166" s="333"/>
      <c r="AR166" s="333"/>
      <c r="AS166" s="333"/>
      <c r="AT166" s="333"/>
      <c r="AU166" s="333"/>
      <c r="AV166" s="333"/>
      <c r="AW166" s="333"/>
      <c r="AZ166" s="333"/>
      <c r="BD166" s="399">
        <v>163</v>
      </c>
      <c r="BE166" s="399" t="s">
        <v>969</v>
      </c>
      <c r="BF166" s="251" t="s">
        <v>970</v>
      </c>
      <c r="BG166" s="399" t="s">
        <v>363</v>
      </c>
      <c r="BH166" s="252">
        <v>8</v>
      </c>
      <c r="BI166" s="251" t="s">
        <v>357</v>
      </c>
      <c r="BJ166" s="251" t="s">
        <v>539</v>
      </c>
      <c r="BK166" s="251" t="s">
        <v>971</v>
      </c>
      <c r="BL166" s="251" t="s">
        <v>368</v>
      </c>
      <c r="BQ166" s="27" t="s">
        <v>7792</v>
      </c>
      <c r="BR166" s="27" t="s">
        <v>7793</v>
      </c>
    </row>
    <row r="167" spans="2:70" ht="15">
      <c r="B167" s="84"/>
      <c r="C167" s="333"/>
      <c r="D167" s="251" t="s">
        <v>9301</v>
      </c>
      <c r="E167" s="251" t="s">
        <v>9313</v>
      </c>
      <c r="F167" s="251" t="s">
        <v>9317</v>
      </c>
      <c r="G167" s="402" t="s">
        <v>9460</v>
      </c>
      <c r="H167" s="333"/>
      <c r="I167" s="333"/>
      <c r="J167" s="333"/>
      <c r="K167" s="333"/>
      <c r="L167" s="333"/>
      <c r="R167" s="251"/>
      <c r="S167" s="251"/>
      <c r="AJ167" s="333"/>
      <c r="AK167" s="333"/>
      <c r="AL167" s="333"/>
      <c r="AM167" s="333"/>
      <c r="AN167" s="333"/>
      <c r="AO167" s="333"/>
      <c r="AP167" s="333"/>
      <c r="AQ167" s="333"/>
      <c r="AR167" s="333"/>
      <c r="AS167" s="333"/>
      <c r="AT167" s="333"/>
      <c r="AU167" s="333"/>
      <c r="AV167" s="333"/>
      <c r="AW167" s="333"/>
      <c r="AZ167" s="333"/>
      <c r="BD167" s="399">
        <v>164</v>
      </c>
      <c r="BE167" s="399" t="s">
        <v>972</v>
      </c>
      <c r="BF167" s="251" t="s">
        <v>973</v>
      </c>
      <c r="BG167" s="399" t="s">
        <v>435</v>
      </c>
      <c r="BH167" s="252" t="s">
        <v>436</v>
      </c>
      <c r="BI167" s="251" t="s">
        <v>332</v>
      </c>
      <c r="BJ167" s="251" t="s">
        <v>407</v>
      </c>
      <c r="BK167" s="251" t="s">
        <v>974</v>
      </c>
      <c r="BL167" s="251" t="s">
        <v>439</v>
      </c>
      <c r="BQ167" s="27" t="s">
        <v>7794</v>
      </c>
      <c r="BR167" s="27" t="s">
        <v>7795</v>
      </c>
    </row>
    <row r="168" spans="2:70" ht="15">
      <c r="B168" s="84"/>
      <c r="C168" s="333"/>
      <c r="D168" s="251" t="s">
        <v>9301</v>
      </c>
      <c r="E168" s="251" t="s">
        <v>9313</v>
      </c>
      <c r="F168" s="251" t="s">
        <v>9324</v>
      </c>
      <c r="G168" s="402" t="s">
        <v>9467</v>
      </c>
      <c r="H168" s="333"/>
      <c r="I168" s="333"/>
      <c r="J168" s="333"/>
      <c r="K168" s="333"/>
      <c r="L168" s="333"/>
      <c r="R168" s="251"/>
      <c r="S168" s="251"/>
      <c r="AJ168" s="333"/>
      <c r="AK168" s="333"/>
      <c r="AL168" s="333"/>
      <c r="AM168" s="333"/>
      <c r="AN168" s="333"/>
      <c r="AO168" s="333"/>
      <c r="AP168" s="333"/>
      <c r="AQ168" s="333"/>
      <c r="AR168" s="333"/>
      <c r="AS168" s="333"/>
      <c r="AT168" s="333"/>
      <c r="AU168" s="333"/>
      <c r="AV168" s="333"/>
      <c r="AW168" s="333"/>
      <c r="AZ168" s="333"/>
      <c r="BD168" s="399">
        <v>165</v>
      </c>
      <c r="BE168" s="399" t="s">
        <v>975</v>
      </c>
      <c r="BF168" s="251" t="s">
        <v>976</v>
      </c>
      <c r="BG168" s="399" t="s">
        <v>623</v>
      </c>
      <c r="BH168" s="252">
        <v>40</v>
      </c>
      <c r="BI168" s="251" t="s">
        <v>332</v>
      </c>
      <c r="BJ168" s="251" t="s">
        <v>397</v>
      </c>
      <c r="BK168" s="251" t="s">
        <v>977</v>
      </c>
      <c r="BL168" s="251" t="s">
        <v>626</v>
      </c>
      <c r="BQ168" s="27" t="s">
        <v>7796</v>
      </c>
      <c r="BR168" s="27" t="s">
        <v>7797</v>
      </c>
    </row>
    <row r="169" spans="2:70" ht="15">
      <c r="B169" s="84"/>
      <c r="C169" s="333"/>
      <c r="D169" s="251" t="s">
        <v>9301</v>
      </c>
      <c r="E169" s="251" t="s">
        <v>9313</v>
      </c>
      <c r="F169" s="251" t="s">
        <v>9319</v>
      </c>
      <c r="G169" s="402" t="s">
        <v>9462</v>
      </c>
      <c r="H169" s="333"/>
      <c r="I169" s="333"/>
      <c r="J169" s="333"/>
      <c r="K169" s="333"/>
      <c r="L169" s="333"/>
      <c r="R169" s="251"/>
      <c r="S169" s="251"/>
      <c r="AJ169" s="333"/>
      <c r="AK169" s="333"/>
      <c r="AL169" s="333"/>
      <c r="AM169" s="333"/>
      <c r="AN169" s="333"/>
      <c r="AO169" s="333"/>
      <c r="AP169" s="333"/>
      <c r="AQ169" s="333"/>
      <c r="AR169" s="333"/>
      <c r="AS169" s="333"/>
      <c r="AT169" s="333"/>
      <c r="AU169" s="333"/>
      <c r="AV169" s="333"/>
      <c r="AW169" s="333"/>
      <c r="AZ169" s="333"/>
      <c r="BD169" s="399">
        <v>166</v>
      </c>
      <c r="BE169" s="399" t="s">
        <v>978</v>
      </c>
      <c r="BF169" s="251" t="s">
        <v>979</v>
      </c>
      <c r="BG169" s="399" t="s">
        <v>429</v>
      </c>
      <c r="BH169" s="252" t="s">
        <v>430</v>
      </c>
      <c r="BI169" s="251" t="s">
        <v>563</v>
      </c>
      <c r="BJ169" s="251" t="s">
        <v>539</v>
      </c>
      <c r="BK169" s="251" t="s">
        <v>980</v>
      </c>
      <c r="BL169" s="251" t="s">
        <v>432</v>
      </c>
      <c r="BQ169" s="27" t="s">
        <v>7798</v>
      </c>
      <c r="BR169" s="27" t="s">
        <v>7799</v>
      </c>
    </row>
    <row r="170" spans="2:70" ht="15">
      <c r="B170" s="84"/>
      <c r="C170" s="333"/>
      <c r="D170" s="251" t="s">
        <v>9301</v>
      </c>
      <c r="E170" s="251" t="s">
        <v>9313</v>
      </c>
      <c r="F170" s="251" t="s">
        <v>9318</v>
      </c>
      <c r="G170" s="402" t="s">
        <v>9461</v>
      </c>
      <c r="H170" s="333"/>
      <c r="I170" s="333"/>
      <c r="J170" s="333"/>
      <c r="K170" s="333"/>
      <c r="L170" s="333"/>
      <c r="R170" s="251"/>
      <c r="S170" s="251"/>
      <c r="AJ170" s="333"/>
      <c r="AK170" s="333"/>
      <c r="AL170" s="333"/>
      <c r="AM170" s="333"/>
      <c r="AN170" s="333"/>
      <c r="AO170" s="333"/>
      <c r="AP170" s="333"/>
      <c r="AQ170" s="333"/>
      <c r="AR170" s="333"/>
      <c r="AS170" s="333"/>
      <c r="AT170" s="333"/>
      <c r="AU170" s="333"/>
      <c r="AV170" s="333"/>
      <c r="AW170" s="333"/>
      <c r="AZ170" s="333"/>
      <c r="BD170" s="399">
        <v>167</v>
      </c>
      <c r="BE170" s="399" t="s">
        <v>981</v>
      </c>
      <c r="BF170" s="251" t="s">
        <v>982</v>
      </c>
      <c r="BG170" s="399" t="s">
        <v>363</v>
      </c>
      <c r="BH170" s="252" t="s">
        <v>364</v>
      </c>
      <c r="BI170" s="251" t="s">
        <v>563</v>
      </c>
      <c r="BJ170" s="251" t="s">
        <v>390</v>
      </c>
      <c r="BK170" s="251" t="s">
        <v>983</v>
      </c>
      <c r="BL170" s="251" t="s">
        <v>368</v>
      </c>
      <c r="BQ170" s="27" t="s">
        <v>7800</v>
      </c>
      <c r="BR170" s="27" t="s">
        <v>7801</v>
      </c>
    </row>
    <row r="171" spans="2:70" ht="15">
      <c r="B171" s="84"/>
      <c r="C171" s="333"/>
      <c r="D171" s="251" t="s">
        <v>9301</v>
      </c>
      <c r="E171" s="251" t="s">
        <v>9313</v>
      </c>
      <c r="F171" s="251" t="s">
        <v>9258</v>
      </c>
      <c r="G171" s="402" t="s">
        <v>9456</v>
      </c>
      <c r="H171" s="333"/>
      <c r="I171" s="333"/>
      <c r="J171" s="333"/>
      <c r="K171" s="333"/>
      <c r="L171" s="333"/>
      <c r="R171" s="251"/>
      <c r="S171" s="251"/>
      <c r="AJ171" s="333"/>
      <c r="AK171" s="333"/>
      <c r="AL171" s="333"/>
      <c r="AM171" s="333"/>
      <c r="AN171" s="333"/>
      <c r="AO171" s="333"/>
      <c r="AP171" s="333"/>
      <c r="AQ171" s="333"/>
      <c r="AR171" s="333"/>
      <c r="AS171" s="333"/>
      <c r="AT171" s="333"/>
      <c r="AU171" s="333"/>
      <c r="AV171" s="333"/>
      <c r="AW171" s="333"/>
      <c r="AZ171" s="333"/>
      <c r="BD171" s="399">
        <v>168</v>
      </c>
      <c r="BE171" s="399" t="s">
        <v>984</v>
      </c>
      <c r="BF171" s="251" t="s">
        <v>985</v>
      </c>
      <c r="BG171" s="399" t="s">
        <v>602</v>
      </c>
      <c r="BH171" s="252">
        <v>47</v>
      </c>
      <c r="BI171" s="251" t="s">
        <v>357</v>
      </c>
      <c r="BJ171" s="251" t="s">
        <v>397</v>
      </c>
      <c r="BK171" s="251" t="s">
        <v>986</v>
      </c>
      <c r="BL171" s="251" t="s">
        <v>604</v>
      </c>
      <c r="BQ171" s="27" t="s">
        <v>7802</v>
      </c>
      <c r="BR171" s="27" t="s">
        <v>7803</v>
      </c>
    </row>
    <row r="172" spans="2:70" ht="15">
      <c r="B172" s="84"/>
      <c r="C172" s="333"/>
      <c r="D172" s="251" t="s">
        <v>9301</v>
      </c>
      <c r="E172" s="251" t="s">
        <v>9313</v>
      </c>
      <c r="F172" s="251" t="s">
        <v>9315</v>
      </c>
      <c r="G172" s="402" t="s">
        <v>9458</v>
      </c>
      <c r="H172" s="333"/>
      <c r="I172" s="333"/>
      <c r="J172" s="333"/>
      <c r="K172" s="333"/>
      <c r="L172" s="333"/>
      <c r="R172" s="251"/>
      <c r="S172" s="251"/>
      <c r="AJ172" s="333"/>
      <c r="AK172" s="333"/>
      <c r="AL172" s="333"/>
      <c r="AM172" s="333"/>
      <c r="AN172" s="333"/>
      <c r="AO172" s="333"/>
      <c r="AP172" s="333"/>
      <c r="AQ172" s="333"/>
      <c r="AR172" s="333"/>
      <c r="AS172" s="333"/>
      <c r="AT172" s="333"/>
      <c r="AU172" s="333"/>
      <c r="AV172" s="333"/>
      <c r="AW172" s="333"/>
      <c r="AZ172" s="333"/>
      <c r="BD172" s="399">
        <v>169</v>
      </c>
      <c r="BE172" s="399" t="s">
        <v>987</v>
      </c>
      <c r="BF172" s="251" t="s">
        <v>988</v>
      </c>
      <c r="BG172" s="399" t="s">
        <v>429</v>
      </c>
      <c r="BH172" s="252" t="s">
        <v>430</v>
      </c>
      <c r="BI172" s="251" t="s">
        <v>445</v>
      </c>
      <c r="BJ172" s="251" t="s">
        <v>385</v>
      </c>
      <c r="BK172" s="251" t="s">
        <v>989</v>
      </c>
      <c r="BL172" s="251" t="s">
        <v>432</v>
      </c>
      <c r="BQ172" s="27" t="s">
        <v>7804</v>
      </c>
      <c r="BR172" s="27" t="s">
        <v>7805</v>
      </c>
    </row>
    <row r="173" spans="2:70" ht="15">
      <c r="B173" s="84"/>
      <c r="C173" s="333"/>
      <c r="D173" s="251" t="s">
        <v>9301</v>
      </c>
      <c r="E173" s="251" t="s">
        <v>9313</v>
      </c>
      <c r="F173" s="251" t="s">
        <v>9330</v>
      </c>
      <c r="G173" s="402" t="s">
        <v>9473</v>
      </c>
      <c r="H173" s="333"/>
      <c r="I173" s="333"/>
      <c r="J173" s="333"/>
      <c r="K173" s="333"/>
      <c r="L173" s="333"/>
      <c r="R173" s="251"/>
      <c r="S173" s="251"/>
      <c r="AJ173" s="333"/>
      <c r="AK173" s="333"/>
      <c r="AL173" s="333"/>
      <c r="AM173" s="333"/>
      <c r="AN173" s="333"/>
      <c r="AO173" s="333"/>
      <c r="AP173" s="333"/>
      <c r="AQ173" s="333"/>
      <c r="AR173" s="333"/>
      <c r="AS173" s="333"/>
      <c r="AT173" s="333"/>
      <c r="AU173" s="333"/>
      <c r="AV173" s="333"/>
      <c r="AW173" s="333"/>
      <c r="AZ173" s="333"/>
      <c r="BD173" s="399">
        <v>170</v>
      </c>
      <c r="BE173" s="399" t="s">
        <v>990</v>
      </c>
      <c r="BF173" s="251" t="s">
        <v>991</v>
      </c>
      <c r="BG173" s="399" t="s">
        <v>602</v>
      </c>
      <c r="BH173" s="252">
        <v>47</v>
      </c>
      <c r="BI173" s="251" t="s">
        <v>365</v>
      </c>
      <c r="BJ173" s="251" t="s">
        <v>366</v>
      </c>
      <c r="BK173" s="251" t="s">
        <v>992</v>
      </c>
      <c r="BL173" s="251" t="s">
        <v>604</v>
      </c>
      <c r="BQ173" s="27" t="s">
        <v>7806</v>
      </c>
      <c r="BR173" s="27" t="s">
        <v>7807</v>
      </c>
    </row>
    <row r="174" spans="2:70" ht="15">
      <c r="B174" s="84"/>
      <c r="C174" s="333"/>
      <c r="D174" s="251" t="s">
        <v>9301</v>
      </c>
      <c r="E174" s="251" t="s">
        <v>9313</v>
      </c>
      <c r="F174" s="251" t="s">
        <v>9321</v>
      </c>
      <c r="G174" s="402" t="s">
        <v>9464</v>
      </c>
      <c r="H174" s="333"/>
      <c r="I174" s="333"/>
      <c r="J174" s="333"/>
      <c r="K174" s="333"/>
      <c r="L174" s="333"/>
      <c r="R174" s="251"/>
      <c r="S174" s="251"/>
      <c r="AJ174" s="333"/>
      <c r="AK174" s="333"/>
      <c r="AL174" s="333"/>
      <c r="AM174" s="333"/>
      <c r="AN174" s="333"/>
      <c r="AO174" s="333"/>
      <c r="AP174" s="333"/>
      <c r="AQ174" s="333"/>
      <c r="AR174" s="333"/>
      <c r="AS174" s="333"/>
      <c r="AT174" s="333"/>
      <c r="AU174" s="333"/>
      <c r="AV174" s="333"/>
      <c r="AW174" s="333"/>
      <c r="AZ174" s="333"/>
      <c r="BD174" s="399">
        <v>171</v>
      </c>
      <c r="BE174" s="399" t="s">
        <v>993</v>
      </c>
      <c r="BF174" s="251" t="s">
        <v>994</v>
      </c>
      <c r="BG174" s="399">
        <v>51</v>
      </c>
      <c r="BH174" s="252">
        <v>51</v>
      </c>
      <c r="BI174" s="251" t="s">
        <v>450</v>
      </c>
      <c r="BJ174" s="251" t="s">
        <v>380</v>
      </c>
      <c r="BK174" s="251" t="s">
        <v>995</v>
      </c>
      <c r="BL174" s="251" t="s">
        <v>730</v>
      </c>
      <c r="BQ174" s="27" t="s">
        <v>7808</v>
      </c>
      <c r="BR174" s="27" t="s">
        <v>7809</v>
      </c>
    </row>
    <row r="175" spans="2:70" ht="15">
      <c r="B175" s="84"/>
      <c r="C175" s="333"/>
      <c r="D175" s="251" t="s">
        <v>9301</v>
      </c>
      <c r="E175" s="251" t="s">
        <v>9338</v>
      </c>
      <c r="F175" s="251"/>
      <c r="G175" s="402" t="s">
        <v>9338</v>
      </c>
      <c r="H175" s="333"/>
      <c r="I175" s="333"/>
      <c r="J175" s="333"/>
      <c r="K175" s="333"/>
      <c r="L175" s="333"/>
      <c r="R175" s="251"/>
      <c r="S175" s="251"/>
      <c r="AJ175" s="333"/>
      <c r="AK175" s="333"/>
      <c r="AL175" s="333"/>
      <c r="AM175" s="333"/>
      <c r="AN175" s="333"/>
      <c r="AO175" s="333"/>
      <c r="AP175" s="333"/>
      <c r="AQ175" s="333"/>
      <c r="AR175" s="333"/>
      <c r="AS175" s="333"/>
      <c r="AT175" s="333"/>
      <c r="AU175" s="333"/>
      <c r="AV175" s="333"/>
      <c r="AW175" s="333"/>
      <c r="AZ175" s="333"/>
      <c r="BD175" s="399">
        <v>172</v>
      </c>
      <c r="BE175" s="399" t="s">
        <v>996</v>
      </c>
      <c r="BF175" s="251" t="s">
        <v>997</v>
      </c>
      <c r="BG175" s="399" t="s">
        <v>449</v>
      </c>
      <c r="BH175" s="252">
        <v>43</v>
      </c>
      <c r="BI175" s="251" t="s">
        <v>331</v>
      </c>
      <c r="BJ175" s="251" t="s">
        <v>380</v>
      </c>
      <c r="BK175" s="251" t="s">
        <v>998</v>
      </c>
      <c r="BL175" s="251" t="s">
        <v>452</v>
      </c>
      <c r="BQ175" s="27" t="s">
        <v>7810</v>
      </c>
      <c r="BR175" s="27" t="s">
        <v>7811</v>
      </c>
    </row>
    <row r="176" spans="2:70" ht="15">
      <c r="B176" s="84"/>
      <c r="C176" s="333"/>
      <c r="D176" s="251" t="s">
        <v>9301</v>
      </c>
      <c r="E176" s="251" t="s">
        <v>16</v>
      </c>
      <c r="F176" s="251" t="s">
        <v>9332</v>
      </c>
      <c r="G176" s="402" t="s">
        <v>9475</v>
      </c>
      <c r="H176" s="333"/>
      <c r="I176" s="333"/>
      <c r="J176" s="333"/>
      <c r="K176" s="333"/>
      <c r="L176" s="333"/>
      <c r="R176" s="251"/>
      <c r="S176" s="251"/>
      <c r="AJ176" s="333"/>
      <c r="AK176" s="333"/>
      <c r="AL176" s="333"/>
      <c r="AM176" s="333"/>
      <c r="AN176" s="333"/>
      <c r="AO176" s="333"/>
      <c r="AP176" s="333"/>
      <c r="AQ176" s="333"/>
      <c r="AR176" s="333"/>
      <c r="AS176" s="333"/>
      <c r="AT176" s="333"/>
      <c r="AU176" s="333"/>
      <c r="AV176" s="333"/>
      <c r="AW176" s="333"/>
      <c r="AZ176" s="333"/>
      <c r="BD176" s="399">
        <v>173</v>
      </c>
      <c r="BE176" s="399" t="s">
        <v>999</v>
      </c>
      <c r="BF176" s="251" t="s">
        <v>1000</v>
      </c>
      <c r="BG176" s="399" t="s">
        <v>349</v>
      </c>
      <c r="BH176" s="252">
        <v>17</v>
      </c>
      <c r="BI176" s="251" t="s">
        <v>334</v>
      </c>
      <c r="BJ176" s="251" t="s">
        <v>380</v>
      </c>
      <c r="BK176" s="251" t="s">
        <v>1001</v>
      </c>
      <c r="BL176" s="251" t="s">
        <v>353</v>
      </c>
      <c r="BQ176" s="27" t="s">
        <v>7812</v>
      </c>
      <c r="BR176" s="27" t="s">
        <v>7813</v>
      </c>
    </row>
    <row r="177" spans="2:70" ht="15">
      <c r="B177" s="84"/>
      <c r="C177" s="333"/>
      <c r="D177" s="251" t="s">
        <v>9301</v>
      </c>
      <c r="E177" s="251" t="s">
        <v>16</v>
      </c>
      <c r="F177" s="251" t="s">
        <v>9331</v>
      </c>
      <c r="G177" s="402" t="s">
        <v>9474</v>
      </c>
      <c r="H177" s="333"/>
      <c r="I177" s="333"/>
      <c r="J177" s="333"/>
      <c r="K177" s="333"/>
      <c r="L177" s="333"/>
      <c r="R177" s="251"/>
      <c r="S177" s="251"/>
      <c r="AJ177" s="333"/>
      <c r="AK177" s="333"/>
      <c r="AL177" s="333"/>
      <c r="AM177" s="333"/>
      <c r="AN177" s="333"/>
      <c r="AO177" s="333"/>
      <c r="AP177" s="333"/>
      <c r="AQ177" s="333"/>
      <c r="AR177" s="333"/>
      <c r="AS177" s="333"/>
      <c r="AT177" s="333"/>
      <c r="AU177" s="333"/>
      <c r="AV177" s="333"/>
      <c r="AW177" s="333"/>
      <c r="AZ177" s="333"/>
      <c r="BD177" s="399">
        <v>174</v>
      </c>
      <c r="BE177" s="399" t="s">
        <v>1002</v>
      </c>
      <c r="BF177" s="251" t="s">
        <v>1003</v>
      </c>
      <c r="BG177" s="399" t="s">
        <v>566</v>
      </c>
      <c r="BH177" s="252" t="s">
        <v>1004</v>
      </c>
      <c r="BI177" s="251" t="s">
        <v>1005</v>
      </c>
      <c r="BJ177" s="251" t="s">
        <v>413</v>
      </c>
      <c r="BK177" s="251" t="s">
        <v>1006</v>
      </c>
      <c r="BL177" s="251" t="s">
        <v>569</v>
      </c>
      <c r="BQ177" s="27" t="s">
        <v>7814</v>
      </c>
      <c r="BR177" s="27" t="s">
        <v>7815</v>
      </c>
    </row>
    <row r="178" spans="2:70" ht="15">
      <c r="B178" s="84"/>
      <c r="C178" s="333"/>
      <c r="D178" s="251" t="s">
        <v>9301</v>
      </c>
      <c r="E178" s="251" t="s">
        <v>9302</v>
      </c>
      <c r="F178" s="251" t="s">
        <v>9303</v>
      </c>
      <c r="G178" s="402" t="s">
        <v>9476</v>
      </c>
      <c r="H178" s="333"/>
      <c r="I178" s="333"/>
      <c r="J178" s="333"/>
      <c r="K178" s="333"/>
      <c r="L178" s="333"/>
      <c r="R178" s="251"/>
      <c r="S178" s="251"/>
      <c r="AJ178" s="333"/>
      <c r="AK178" s="333"/>
      <c r="AL178" s="333"/>
      <c r="AM178" s="333"/>
      <c r="AN178" s="333"/>
      <c r="AO178" s="333"/>
      <c r="AP178" s="333"/>
      <c r="AQ178" s="333"/>
      <c r="AR178" s="333"/>
      <c r="AS178" s="333"/>
      <c r="AT178" s="333"/>
      <c r="AU178" s="333"/>
      <c r="AV178" s="333"/>
      <c r="AW178" s="333"/>
      <c r="AZ178" s="333"/>
      <c r="BD178" s="399">
        <v>175</v>
      </c>
      <c r="BE178" s="399" t="s">
        <v>1007</v>
      </c>
      <c r="BF178" s="251" t="s">
        <v>1008</v>
      </c>
      <c r="BG178" s="399" t="s">
        <v>435</v>
      </c>
      <c r="BH178" s="252" t="s">
        <v>436</v>
      </c>
      <c r="BI178" s="251" t="s">
        <v>365</v>
      </c>
      <c r="BJ178" s="251" t="s">
        <v>407</v>
      </c>
      <c r="BK178" s="251" t="s">
        <v>1009</v>
      </c>
      <c r="BL178" s="251" t="s">
        <v>439</v>
      </c>
      <c r="BQ178" s="27" t="s">
        <v>7816</v>
      </c>
      <c r="BR178" s="27" t="s">
        <v>7817</v>
      </c>
    </row>
    <row r="179" spans="2:70" ht="15">
      <c r="B179" s="84"/>
      <c r="C179" s="333"/>
      <c r="D179" s="251" t="s">
        <v>9301</v>
      </c>
      <c r="E179" s="251" t="s">
        <v>9302</v>
      </c>
      <c r="F179" s="251" t="s">
        <v>9305</v>
      </c>
      <c r="G179" s="402" t="s">
        <v>9478</v>
      </c>
      <c r="H179" s="333"/>
      <c r="I179" s="333"/>
      <c r="J179" s="333"/>
      <c r="K179" s="333"/>
      <c r="L179" s="333"/>
      <c r="R179" s="251"/>
      <c r="S179" s="251"/>
      <c r="AJ179" s="333"/>
      <c r="AK179" s="333"/>
      <c r="AL179" s="333"/>
      <c r="AM179" s="333"/>
      <c r="AN179" s="333"/>
      <c r="AO179" s="333"/>
      <c r="AP179" s="333"/>
      <c r="AQ179" s="333"/>
      <c r="AR179" s="333"/>
      <c r="AS179" s="333"/>
      <c r="AT179" s="333"/>
      <c r="AU179" s="333"/>
      <c r="AV179" s="333"/>
      <c r="AW179" s="333"/>
      <c r="AZ179" s="333"/>
      <c r="BD179" s="399">
        <v>176</v>
      </c>
      <c r="BE179" s="399" t="s">
        <v>1010</v>
      </c>
      <c r="BF179" s="251" t="s">
        <v>1011</v>
      </c>
      <c r="BG179" s="399" t="s">
        <v>423</v>
      </c>
      <c r="BH179" s="252" t="s">
        <v>424</v>
      </c>
      <c r="BI179" s="251" t="s">
        <v>379</v>
      </c>
      <c r="BJ179" s="251" t="s">
        <v>539</v>
      </c>
      <c r="BK179" s="251" t="s">
        <v>1012</v>
      </c>
      <c r="BL179" s="251" t="s">
        <v>426</v>
      </c>
      <c r="BQ179" s="27" t="s">
        <v>7818</v>
      </c>
      <c r="BR179" s="27" t="s">
        <v>7819</v>
      </c>
    </row>
    <row r="180" spans="2:70" ht="15">
      <c r="B180" s="84"/>
      <c r="C180" s="333"/>
      <c r="D180" s="251" t="s">
        <v>9301</v>
      </c>
      <c r="E180" s="251" t="s">
        <v>9302</v>
      </c>
      <c r="F180" s="251" t="s">
        <v>9304</v>
      </c>
      <c r="G180" s="402" t="s">
        <v>9477</v>
      </c>
      <c r="H180" s="333"/>
      <c r="I180" s="333"/>
      <c r="J180" s="333"/>
      <c r="K180" s="333"/>
      <c r="L180" s="333"/>
      <c r="R180" s="251"/>
      <c r="S180" s="251"/>
      <c r="AJ180" s="333"/>
      <c r="AK180" s="333"/>
      <c r="AL180" s="333"/>
      <c r="AM180" s="333"/>
      <c r="AN180" s="333"/>
      <c r="AO180" s="333"/>
      <c r="AP180" s="333"/>
      <c r="AQ180" s="333"/>
      <c r="AR180" s="333"/>
      <c r="AS180" s="333"/>
      <c r="AT180" s="333"/>
      <c r="AU180" s="333"/>
      <c r="AV180" s="333"/>
      <c r="AW180" s="333"/>
      <c r="AZ180" s="333"/>
      <c r="BD180" s="399">
        <v>177</v>
      </c>
      <c r="BE180" s="399" t="s">
        <v>1013</v>
      </c>
      <c r="BF180" s="251" t="s">
        <v>1014</v>
      </c>
      <c r="BG180" s="399" t="s">
        <v>435</v>
      </c>
      <c r="BH180" s="252" t="s">
        <v>436</v>
      </c>
      <c r="BI180" s="251" t="s">
        <v>450</v>
      </c>
      <c r="BJ180" s="251" t="s">
        <v>397</v>
      </c>
      <c r="BK180" s="251" t="s">
        <v>1015</v>
      </c>
      <c r="BL180" s="251" t="s">
        <v>439</v>
      </c>
      <c r="BQ180" s="27" t="s">
        <v>7820</v>
      </c>
      <c r="BR180" s="27" t="s">
        <v>7821</v>
      </c>
    </row>
    <row r="181" spans="2:70" ht="15">
      <c r="B181" s="84"/>
      <c r="C181" s="333"/>
      <c r="D181" s="251" t="s">
        <v>9301</v>
      </c>
      <c r="E181" s="251" t="s">
        <v>9302</v>
      </c>
      <c r="F181" s="251" t="s">
        <v>9306</v>
      </c>
      <c r="G181" s="402" t="s">
        <v>9479</v>
      </c>
      <c r="H181" s="333"/>
      <c r="I181" s="333"/>
      <c r="J181" s="333"/>
      <c r="K181" s="333"/>
      <c r="L181" s="333"/>
      <c r="R181" s="251"/>
      <c r="S181" s="251"/>
      <c r="AJ181" s="333"/>
      <c r="AK181" s="333"/>
      <c r="AL181" s="333"/>
      <c r="AM181" s="333"/>
      <c r="AN181" s="333"/>
      <c r="AO181" s="333"/>
      <c r="AP181" s="333"/>
      <c r="AQ181" s="333"/>
      <c r="AR181" s="333"/>
      <c r="AS181" s="333"/>
      <c r="AT181" s="333"/>
      <c r="AU181" s="333"/>
      <c r="AV181" s="333"/>
      <c r="AW181" s="333"/>
      <c r="AZ181" s="333"/>
      <c r="BD181" s="399">
        <v>178</v>
      </c>
      <c r="BE181" s="399" t="s">
        <v>1016</v>
      </c>
      <c r="BF181" s="251" t="s">
        <v>1017</v>
      </c>
      <c r="BG181" s="399" t="s">
        <v>423</v>
      </c>
      <c r="BH181" s="252" t="s">
        <v>424</v>
      </c>
      <c r="BI181" s="251" t="s">
        <v>333</v>
      </c>
      <c r="BJ181" s="251" t="s">
        <v>351</v>
      </c>
      <c r="BK181" s="251" t="s">
        <v>1018</v>
      </c>
      <c r="BL181" s="251" t="s">
        <v>426</v>
      </c>
      <c r="BQ181" s="27" t="s">
        <v>7822</v>
      </c>
      <c r="BR181" s="27" t="s">
        <v>7823</v>
      </c>
    </row>
    <row r="182" spans="2:70" ht="15">
      <c r="B182" s="84"/>
      <c r="C182" s="333"/>
      <c r="D182" s="251" t="s">
        <v>9301</v>
      </c>
      <c r="E182" s="251" t="s">
        <v>9307</v>
      </c>
      <c r="F182" s="251" t="s">
        <v>9310</v>
      </c>
      <c r="G182" s="402" t="s">
        <v>9482</v>
      </c>
      <c r="H182" s="333"/>
      <c r="I182" s="333"/>
      <c r="J182" s="333"/>
      <c r="K182" s="333"/>
      <c r="L182" s="333"/>
      <c r="R182" s="251"/>
      <c r="S182" s="251"/>
      <c r="AJ182" s="333"/>
      <c r="AK182" s="333"/>
      <c r="AL182" s="333"/>
      <c r="AM182" s="333"/>
      <c r="AN182" s="333"/>
      <c r="AO182" s="333"/>
      <c r="AP182" s="333"/>
      <c r="AQ182" s="333"/>
      <c r="AR182" s="333"/>
      <c r="AS182" s="333"/>
      <c r="AT182" s="333"/>
      <c r="AU182" s="333"/>
      <c r="AV182" s="333"/>
      <c r="AW182" s="333"/>
      <c r="AZ182" s="333"/>
      <c r="BD182" s="399">
        <v>179</v>
      </c>
      <c r="BE182" s="399" t="s">
        <v>1019</v>
      </c>
      <c r="BF182" s="251" t="s">
        <v>1020</v>
      </c>
      <c r="BG182" s="399" t="s">
        <v>519</v>
      </c>
      <c r="BH182" s="252">
        <v>30</v>
      </c>
      <c r="BI182" s="251" t="s">
        <v>563</v>
      </c>
      <c r="BJ182" s="251" t="s">
        <v>380</v>
      </c>
      <c r="BK182" s="251" t="s">
        <v>1021</v>
      </c>
      <c r="BL182" s="251" t="s">
        <v>521</v>
      </c>
      <c r="BQ182" s="27" t="s">
        <v>7824</v>
      </c>
      <c r="BR182" s="27" t="s">
        <v>7825</v>
      </c>
    </row>
    <row r="183" spans="2:70" ht="15">
      <c r="B183" s="84"/>
      <c r="C183" s="333"/>
      <c r="D183" s="251" t="s">
        <v>9301</v>
      </c>
      <c r="E183" s="251" t="s">
        <v>9307</v>
      </c>
      <c r="F183" s="251" t="s">
        <v>9312</v>
      </c>
      <c r="G183" s="402" t="s">
        <v>9484</v>
      </c>
      <c r="H183" s="333"/>
      <c r="I183" s="333"/>
      <c r="J183" s="333"/>
      <c r="K183" s="333"/>
      <c r="L183" s="333"/>
      <c r="R183" s="251"/>
      <c r="S183" s="251"/>
      <c r="AJ183" s="333"/>
      <c r="AK183" s="333"/>
      <c r="AL183" s="333"/>
      <c r="AM183" s="333"/>
      <c r="AN183" s="333"/>
      <c r="AO183" s="333"/>
      <c r="AP183" s="333"/>
      <c r="AQ183" s="333"/>
      <c r="AR183" s="333"/>
      <c r="AS183" s="333"/>
      <c r="AT183" s="333"/>
      <c r="AU183" s="333"/>
      <c r="AV183" s="333"/>
      <c r="AW183" s="333"/>
      <c r="AZ183" s="333"/>
      <c r="BD183" s="399">
        <v>180</v>
      </c>
      <c r="BE183" s="399" t="s">
        <v>1022</v>
      </c>
      <c r="BF183" s="251" t="s">
        <v>1023</v>
      </c>
      <c r="BG183" s="399" t="s">
        <v>349</v>
      </c>
      <c r="BH183" s="252">
        <v>17</v>
      </c>
      <c r="BI183" s="251" t="s">
        <v>332</v>
      </c>
      <c r="BJ183" s="251" t="s">
        <v>366</v>
      </c>
      <c r="BK183" s="251" t="s">
        <v>1024</v>
      </c>
      <c r="BL183" s="251" t="s">
        <v>353</v>
      </c>
      <c r="BQ183" s="27" t="s">
        <v>7826</v>
      </c>
      <c r="BR183" s="27" t="s">
        <v>7827</v>
      </c>
    </row>
    <row r="184" spans="2:70" ht="15">
      <c r="B184" s="84"/>
      <c r="C184" s="333"/>
      <c r="D184" s="251" t="s">
        <v>9301</v>
      </c>
      <c r="E184" s="251" t="s">
        <v>9307</v>
      </c>
      <c r="F184" s="251" t="s">
        <v>9308</v>
      </c>
      <c r="G184" s="402" t="s">
        <v>9480</v>
      </c>
      <c r="H184" s="333"/>
      <c r="I184" s="333"/>
      <c r="J184" s="333"/>
      <c r="K184" s="333"/>
      <c r="L184" s="333"/>
      <c r="R184" s="251"/>
      <c r="S184" s="251"/>
      <c r="AJ184" s="333"/>
      <c r="AK184" s="333"/>
      <c r="AL184" s="333"/>
      <c r="AM184" s="333"/>
      <c r="AN184" s="333"/>
      <c r="AO184" s="333"/>
      <c r="AP184" s="333"/>
      <c r="AQ184" s="333"/>
      <c r="AR184" s="333"/>
      <c r="AS184" s="333"/>
      <c r="AT184" s="333"/>
      <c r="AU184" s="333"/>
      <c r="AV184" s="333"/>
      <c r="AW184" s="333"/>
      <c r="AZ184" s="333"/>
      <c r="BD184" s="399">
        <v>181</v>
      </c>
      <c r="BE184" s="399" t="s">
        <v>1025</v>
      </c>
      <c r="BF184" s="251" t="s">
        <v>1026</v>
      </c>
      <c r="BG184" s="399" t="s">
        <v>623</v>
      </c>
      <c r="BH184" s="252" t="s">
        <v>624</v>
      </c>
      <c r="BI184" s="251" t="s">
        <v>372</v>
      </c>
      <c r="BJ184" s="251" t="s">
        <v>413</v>
      </c>
      <c r="BK184" s="251" t="s">
        <v>1027</v>
      </c>
      <c r="BL184" s="251" t="s">
        <v>626</v>
      </c>
      <c r="BQ184" s="27" t="s">
        <v>7828</v>
      </c>
      <c r="BR184" s="27" t="s">
        <v>7829</v>
      </c>
    </row>
    <row r="185" spans="2:70" ht="15">
      <c r="B185" s="84"/>
      <c r="C185" s="333"/>
      <c r="D185" s="251" t="s">
        <v>9301</v>
      </c>
      <c r="E185" s="251" t="s">
        <v>9307</v>
      </c>
      <c r="F185" s="251" t="s">
        <v>9309</v>
      </c>
      <c r="G185" s="402" t="s">
        <v>9481</v>
      </c>
      <c r="H185" s="333"/>
      <c r="I185" s="333"/>
      <c r="J185" s="333"/>
      <c r="K185" s="333"/>
      <c r="L185" s="333"/>
      <c r="R185" s="251"/>
      <c r="S185" s="251"/>
      <c r="AJ185" s="333"/>
      <c r="AK185" s="333"/>
      <c r="AL185" s="333"/>
      <c r="AM185" s="333"/>
      <c r="AN185" s="333"/>
      <c r="AO185" s="333"/>
      <c r="AP185" s="333"/>
      <c r="AQ185" s="333"/>
      <c r="AR185" s="333"/>
      <c r="AS185" s="333"/>
      <c r="AT185" s="333"/>
      <c r="AU185" s="333"/>
      <c r="AV185" s="333"/>
      <c r="AW185" s="333"/>
      <c r="AZ185" s="333"/>
      <c r="BD185" s="399">
        <v>182</v>
      </c>
      <c r="BE185" s="399" t="s">
        <v>1028</v>
      </c>
      <c r="BF185" s="251" t="s">
        <v>1029</v>
      </c>
      <c r="BG185" s="399" t="s">
        <v>423</v>
      </c>
      <c r="BH185" s="252" t="s">
        <v>1030</v>
      </c>
      <c r="BI185" s="251" t="s">
        <v>500</v>
      </c>
      <c r="BJ185" s="251" t="s">
        <v>1031</v>
      </c>
      <c r="BK185" s="251" t="s">
        <v>1032</v>
      </c>
      <c r="BL185" s="251" t="s">
        <v>426</v>
      </c>
      <c r="BQ185" s="27" t="s">
        <v>7830</v>
      </c>
      <c r="BR185" s="27" t="s">
        <v>7831</v>
      </c>
    </row>
    <row r="186" spans="2:70" ht="15">
      <c r="B186" s="84"/>
      <c r="C186" s="333"/>
      <c r="D186" s="251" t="s">
        <v>9301</v>
      </c>
      <c r="E186" s="251" t="s">
        <v>9307</v>
      </c>
      <c r="F186" s="251" t="s">
        <v>9311</v>
      </c>
      <c r="G186" s="402" t="s">
        <v>9483</v>
      </c>
      <c r="H186" s="333"/>
      <c r="I186" s="333"/>
      <c r="J186" s="333"/>
      <c r="K186" s="333"/>
      <c r="L186" s="333"/>
      <c r="R186" s="251"/>
      <c r="S186" s="251"/>
      <c r="AJ186" s="333"/>
      <c r="AK186" s="333"/>
      <c r="AL186" s="333"/>
      <c r="AM186" s="333"/>
      <c r="AN186" s="333"/>
      <c r="AO186" s="333"/>
      <c r="AP186" s="333"/>
      <c r="AQ186" s="333"/>
      <c r="AR186" s="333"/>
      <c r="AS186" s="333"/>
      <c r="AT186" s="333"/>
      <c r="AU186" s="333"/>
      <c r="AV186" s="333"/>
      <c r="AW186" s="333"/>
      <c r="AZ186" s="333"/>
      <c r="BD186" s="399">
        <v>183</v>
      </c>
      <c r="BE186" s="399" t="s">
        <v>1033</v>
      </c>
      <c r="BF186" s="251" t="s">
        <v>1034</v>
      </c>
      <c r="BG186" s="399" t="s">
        <v>602</v>
      </c>
      <c r="BH186" s="252">
        <v>47</v>
      </c>
      <c r="BI186" s="251" t="s">
        <v>357</v>
      </c>
      <c r="BJ186" s="251" t="s">
        <v>390</v>
      </c>
      <c r="BK186" s="251" t="s">
        <v>1035</v>
      </c>
      <c r="BL186" s="251" t="s">
        <v>604</v>
      </c>
      <c r="BQ186" s="27" t="s">
        <v>7832</v>
      </c>
      <c r="BR186" s="27" t="s">
        <v>7833</v>
      </c>
    </row>
    <row r="187" spans="2:70" ht="15">
      <c r="B187" s="84"/>
      <c r="C187" s="333"/>
      <c r="D187" s="251" t="s">
        <v>9126</v>
      </c>
      <c r="E187" s="251" t="s">
        <v>9136</v>
      </c>
      <c r="F187" s="251" t="s">
        <v>9139</v>
      </c>
      <c r="G187" s="402" t="s">
        <v>9488</v>
      </c>
      <c r="H187" s="333"/>
      <c r="I187" s="333"/>
      <c r="J187" s="333"/>
      <c r="K187" s="333"/>
      <c r="L187" s="333"/>
      <c r="R187" s="251"/>
      <c r="S187" s="251"/>
      <c r="AJ187" s="333"/>
      <c r="AK187" s="333"/>
      <c r="AL187" s="333"/>
      <c r="AM187" s="333"/>
      <c r="AN187" s="333"/>
      <c r="AO187" s="333"/>
      <c r="AP187" s="333"/>
      <c r="AQ187" s="333"/>
      <c r="AR187" s="333"/>
      <c r="AS187" s="333"/>
      <c r="AT187" s="333"/>
      <c r="AU187" s="333"/>
      <c r="AV187" s="333"/>
      <c r="AW187" s="333"/>
      <c r="AZ187" s="333"/>
      <c r="BD187" s="399">
        <v>184</v>
      </c>
      <c r="BE187" s="399" t="s">
        <v>1036</v>
      </c>
      <c r="BF187" s="251" t="s">
        <v>1037</v>
      </c>
      <c r="BG187" s="399" t="s">
        <v>602</v>
      </c>
      <c r="BH187" s="252">
        <v>47</v>
      </c>
      <c r="BI187" s="251" t="s">
        <v>350</v>
      </c>
      <c r="BJ187" s="251" t="s">
        <v>366</v>
      </c>
      <c r="BK187" s="251" t="s">
        <v>1038</v>
      </c>
      <c r="BL187" s="251" t="s">
        <v>604</v>
      </c>
      <c r="BQ187" s="27" t="s">
        <v>7834</v>
      </c>
      <c r="BR187" s="27" t="s">
        <v>7366</v>
      </c>
    </row>
    <row r="188" spans="2:70" ht="15">
      <c r="B188" s="84"/>
      <c r="C188" s="333"/>
      <c r="D188" s="251" t="s">
        <v>9126</v>
      </c>
      <c r="E188" s="251" t="s">
        <v>9136</v>
      </c>
      <c r="F188" s="251" t="s">
        <v>9128</v>
      </c>
      <c r="G188" s="402" t="s">
        <v>9485</v>
      </c>
      <c r="H188" s="333"/>
      <c r="I188" s="333"/>
      <c r="J188" s="333"/>
      <c r="K188" s="333"/>
      <c r="L188" s="333"/>
      <c r="R188" s="251"/>
      <c r="S188" s="251"/>
      <c r="AJ188" s="333"/>
      <c r="AK188" s="333"/>
      <c r="AL188" s="333"/>
      <c r="AM188" s="333"/>
      <c r="AN188" s="333"/>
      <c r="AO188" s="333"/>
      <c r="AP188" s="333"/>
      <c r="AQ188" s="333"/>
      <c r="AR188" s="333"/>
      <c r="AS188" s="333"/>
      <c r="AT188" s="333"/>
      <c r="AU188" s="333"/>
      <c r="AV188" s="333"/>
      <c r="AW188" s="333"/>
      <c r="AZ188" s="333"/>
      <c r="BD188" s="399">
        <v>185</v>
      </c>
      <c r="BE188" s="399" t="s">
        <v>1039</v>
      </c>
      <c r="BF188" s="251" t="s">
        <v>1040</v>
      </c>
      <c r="BG188" s="399" t="s">
        <v>739</v>
      </c>
      <c r="BH188" s="252">
        <v>45</v>
      </c>
      <c r="BI188" s="251" t="s">
        <v>635</v>
      </c>
      <c r="BJ188" s="251" t="s">
        <v>413</v>
      </c>
      <c r="BK188" s="251" t="s">
        <v>1041</v>
      </c>
      <c r="BL188" s="251" t="s">
        <v>742</v>
      </c>
      <c r="BQ188" s="27" t="s">
        <v>7835</v>
      </c>
      <c r="BR188" s="27" t="s">
        <v>7836</v>
      </c>
    </row>
    <row r="189" spans="2:70" ht="15">
      <c r="B189" s="84"/>
      <c r="C189" s="333"/>
      <c r="D189" s="251" t="s">
        <v>9126</v>
      </c>
      <c r="E189" s="251" t="s">
        <v>9136</v>
      </c>
      <c r="F189" s="251" t="s">
        <v>9137</v>
      </c>
      <c r="G189" s="402" t="s">
        <v>9486</v>
      </c>
      <c r="H189" s="333"/>
      <c r="I189" s="333"/>
      <c r="J189" s="333"/>
      <c r="K189" s="333"/>
      <c r="L189" s="333"/>
      <c r="R189" s="251"/>
      <c r="S189" s="251"/>
      <c r="AJ189" s="333"/>
      <c r="AK189" s="333"/>
      <c r="AL189" s="333"/>
      <c r="AM189" s="333"/>
      <c r="AN189" s="333"/>
      <c r="AO189" s="333"/>
      <c r="AP189" s="333"/>
      <c r="AQ189" s="333"/>
      <c r="AR189" s="333"/>
      <c r="AS189" s="333"/>
      <c r="AT189" s="333"/>
      <c r="AU189" s="333"/>
      <c r="AV189" s="333"/>
      <c r="AW189" s="333"/>
      <c r="AZ189" s="333"/>
      <c r="BD189" s="399">
        <v>186</v>
      </c>
      <c r="BE189" s="399" t="s">
        <v>1042</v>
      </c>
      <c r="BF189" s="251" t="s">
        <v>1043</v>
      </c>
      <c r="BG189" s="399" t="s">
        <v>469</v>
      </c>
      <c r="BH189" s="252" t="s">
        <v>470</v>
      </c>
      <c r="BI189" s="251" t="s">
        <v>333</v>
      </c>
      <c r="BJ189" s="251" t="s">
        <v>351</v>
      </c>
      <c r="BK189" s="251" t="s">
        <v>1044</v>
      </c>
      <c r="BL189" s="251" t="s">
        <v>472</v>
      </c>
      <c r="BQ189" s="27" t="s">
        <v>7837</v>
      </c>
      <c r="BR189" s="27" t="s">
        <v>7293</v>
      </c>
    </row>
    <row r="190" spans="2:70" ht="15">
      <c r="B190" s="84"/>
      <c r="C190" s="333"/>
      <c r="D190" s="401" t="s">
        <v>9126</v>
      </c>
      <c r="E190" s="401" t="s">
        <v>9136</v>
      </c>
      <c r="F190" s="401" t="s">
        <v>9864</v>
      </c>
      <c r="G190" s="423" t="s">
        <v>9867</v>
      </c>
      <c r="H190" s="333"/>
      <c r="I190" s="333"/>
      <c r="J190" s="333"/>
      <c r="K190" s="333"/>
      <c r="L190" s="333"/>
      <c r="R190" s="251"/>
      <c r="S190" s="251"/>
      <c r="AJ190" s="333"/>
      <c r="AK190" s="333"/>
      <c r="AL190" s="333"/>
      <c r="AM190" s="333"/>
      <c r="AN190" s="333"/>
      <c r="AO190" s="333"/>
      <c r="AP190" s="333"/>
      <c r="AQ190" s="333"/>
      <c r="AR190" s="333"/>
      <c r="AS190" s="333"/>
      <c r="AT190" s="333"/>
      <c r="AU190" s="333"/>
      <c r="AV190" s="333"/>
      <c r="AW190" s="333"/>
      <c r="AZ190" s="333"/>
      <c r="BD190" s="399">
        <v>187</v>
      </c>
      <c r="BE190" s="399" t="s">
        <v>1045</v>
      </c>
      <c r="BF190" s="251" t="s">
        <v>1046</v>
      </c>
      <c r="BG190" s="399" t="s">
        <v>435</v>
      </c>
      <c r="BH190" s="252" t="s">
        <v>651</v>
      </c>
      <c r="BI190" s="251" t="s">
        <v>334</v>
      </c>
      <c r="BJ190" s="251" t="s">
        <v>390</v>
      </c>
      <c r="BK190" s="251" t="s">
        <v>1047</v>
      </c>
      <c r="BL190" s="251" t="s">
        <v>439</v>
      </c>
      <c r="BQ190" s="27" t="s">
        <v>7838</v>
      </c>
      <c r="BR190" s="27" t="s">
        <v>7839</v>
      </c>
    </row>
    <row r="191" spans="2:70" ht="15">
      <c r="B191" s="84"/>
      <c r="C191" s="333"/>
      <c r="D191" s="401" t="s">
        <v>9126</v>
      </c>
      <c r="E191" s="401" t="s">
        <v>9136</v>
      </c>
      <c r="F191" s="401" t="s">
        <v>9863</v>
      </c>
      <c r="G191" s="423" t="s">
        <v>9866</v>
      </c>
      <c r="H191" s="333"/>
      <c r="I191" s="333"/>
      <c r="J191" s="333"/>
      <c r="K191" s="333"/>
      <c r="L191" s="333"/>
      <c r="R191" s="251"/>
      <c r="S191" s="251"/>
      <c r="AJ191" s="333"/>
      <c r="AK191" s="333"/>
      <c r="AL191" s="333"/>
      <c r="AM191" s="333"/>
      <c r="AN191" s="333"/>
      <c r="AO191" s="333"/>
      <c r="AP191" s="333"/>
      <c r="AQ191" s="333"/>
      <c r="AR191" s="333"/>
      <c r="AS191" s="333"/>
      <c r="AT191" s="333"/>
      <c r="AU191" s="333"/>
      <c r="AV191" s="333"/>
      <c r="AW191" s="333"/>
      <c r="AZ191" s="333"/>
      <c r="BD191" s="399">
        <v>188</v>
      </c>
      <c r="BE191" s="399" t="s">
        <v>1048</v>
      </c>
      <c r="BF191" s="251" t="s">
        <v>1049</v>
      </c>
      <c r="BG191" s="399" t="s">
        <v>405</v>
      </c>
      <c r="BH191" s="252" t="s">
        <v>528</v>
      </c>
      <c r="BI191" s="251" t="s">
        <v>331</v>
      </c>
      <c r="BJ191" s="251" t="s">
        <v>407</v>
      </c>
      <c r="BK191" s="251" t="s">
        <v>1050</v>
      </c>
      <c r="BL191" s="251" t="s">
        <v>409</v>
      </c>
      <c r="BQ191" s="27" t="s">
        <v>7840</v>
      </c>
      <c r="BR191" s="27" t="s">
        <v>7841</v>
      </c>
    </row>
    <row r="192" spans="2:70" ht="15">
      <c r="B192" s="84"/>
      <c r="C192" s="333"/>
      <c r="D192" s="251" t="s">
        <v>9126</v>
      </c>
      <c r="E192" s="251" t="s">
        <v>9136</v>
      </c>
      <c r="F192" s="251" t="s">
        <v>9138</v>
      </c>
      <c r="G192" s="402" t="s">
        <v>9487</v>
      </c>
      <c r="H192" s="333"/>
      <c r="I192" s="333"/>
      <c r="J192" s="333"/>
      <c r="K192" s="333"/>
      <c r="L192" s="333"/>
      <c r="R192" s="251"/>
      <c r="S192" s="251"/>
      <c r="AJ192" s="333"/>
      <c r="AO192" s="333"/>
      <c r="AP192" s="333"/>
      <c r="AQ192" s="333"/>
      <c r="AR192" s="333"/>
      <c r="AS192" s="333"/>
      <c r="AT192" s="333"/>
      <c r="AU192" s="333"/>
      <c r="AV192" s="333"/>
      <c r="AW192" s="333"/>
      <c r="AZ192" s="333"/>
      <c r="BD192" s="399">
        <v>189</v>
      </c>
      <c r="BE192" s="399" t="s">
        <v>1051</v>
      </c>
      <c r="BF192" s="251" t="s">
        <v>1052</v>
      </c>
      <c r="BG192" s="399" t="s">
        <v>405</v>
      </c>
      <c r="BH192" s="252" t="s">
        <v>412</v>
      </c>
      <c r="BI192" s="251" t="s">
        <v>333</v>
      </c>
      <c r="BJ192" s="251" t="s">
        <v>407</v>
      </c>
      <c r="BK192" s="251" t="s">
        <v>1053</v>
      </c>
      <c r="BL192" s="251" t="s">
        <v>409</v>
      </c>
      <c r="BQ192" s="27" t="s">
        <v>7842</v>
      </c>
      <c r="BR192" s="27" t="s">
        <v>7346</v>
      </c>
    </row>
    <row r="193" spans="2:70" ht="15">
      <c r="B193" s="84"/>
      <c r="D193" s="401" t="s">
        <v>9126</v>
      </c>
      <c r="E193" s="401" t="s">
        <v>9136</v>
      </c>
      <c r="F193" s="401" t="s">
        <v>9865</v>
      </c>
      <c r="G193" s="423" t="s">
        <v>9868</v>
      </c>
      <c r="J193" s="333"/>
      <c r="K193" s="333"/>
      <c r="R193" s="251"/>
      <c r="S193" s="251"/>
      <c r="AJ193" s="333"/>
      <c r="AO193" s="333"/>
      <c r="AP193" s="333"/>
      <c r="AQ193" s="333"/>
      <c r="AR193" s="333"/>
      <c r="BD193" s="399">
        <v>190</v>
      </c>
      <c r="BE193" s="399" t="s">
        <v>1054</v>
      </c>
      <c r="BF193" s="251" t="s">
        <v>1055</v>
      </c>
      <c r="BG193" s="399" t="s">
        <v>405</v>
      </c>
      <c r="BH193" s="252" t="s">
        <v>412</v>
      </c>
      <c r="BI193" s="251" t="s">
        <v>390</v>
      </c>
      <c r="BJ193" s="251" t="s">
        <v>366</v>
      </c>
      <c r="BK193" s="251" t="s">
        <v>1056</v>
      </c>
      <c r="BL193" s="251" t="s">
        <v>409</v>
      </c>
      <c r="BQ193" s="27" t="s">
        <v>7843</v>
      </c>
      <c r="BR193" s="27" t="s">
        <v>7844</v>
      </c>
    </row>
    <row r="194" spans="2:70" ht="15">
      <c r="B194" s="84"/>
      <c r="D194" s="251" t="s">
        <v>9126</v>
      </c>
      <c r="E194" s="251" t="s">
        <v>9131</v>
      </c>
      <c r="F194" s="251" t="s">
        <v>9855</v>
      </c>
      <c r="G194" s="402" t="s">
        <v>9869</v>
      </c>
      <c r="J194" s="333"/>
      <c r="K194" s="333"/>
      <c r="R194" s="251"/>
      <c r="S194" s="251"/>
      <c r="AJ194" s="333"/>
      <c r="AO194" s="333"/>
      <c r="AP194" s="333"/>
      <c r="AQ194" s="333"/>
      <c r="AR194" s="333"/>
      <c r="BD194" s="399">
        <v>191</v>
      </c>
      <c r="BE194" s="399" t="s">
        <v>1057</v>
      </c>
      <c r="BF194" s="251" t="s">
        <v>1058</v>
      </c>
      <c r="BG194" s="399" t="s">
        <v>566</v>
      </c>
      <c r="BH194" s="252" t="s">
        <v>567</v>
      </c>
      <c r="BI194" s="251" t="s">
        <v>1059</v>
      </c>
      <c r="BJ194" s="251" t="s">
        <v>413</v>
      </c>
      <c r="BK194" s="251" t="s">
        <v>1060</v>
      </c>
      <c r="BL194" s="251" t="s">
        <v>569</v>
      </c>
      <c r="BQ194" s="27" t="s">
        <v>7845</v>
      </c>
      <c r="BR194" s="27" t="s">
        <v>7380</v>
      </c>
    </row>
    <row r="195" spans="2:70" ht="15">
      <c r="B195" s="84"/>
      <c r="D195" s="251" t="s">
        <v>9126</v>
      </c>
      <c r="E195" s="251" t="s">
        <v>9131</v>
      </c>
      <c r="F195" s="251" t="s">
        <v>9856</v>
      </c>
      <c r="G195" s="402" t="s">
        <v>9870</v>
      </c>
      <c r="J195" s="333"/>
      <c r="K195" s="333"/>
      <c r="R195" s="251"/>
      <c r="S195" s="251"/>
      <c r="AJ195" s="333"/>
      <c r="AO195" s="333"/>
      <c r="AP195" s="333"/>
      <c r="AQ195" s="333"/>
      <c r="AR195" s="333"/>
      <c r="BD195" s="399">
        <v>192</v>
      </c>
      <c r="BE195" s="399" t="s">
        <v>1061</v>
      </c>
      <c r="BF195" s="251" t="s">
        <v>1062</v>
      </c>
      <c r="BG195" s="399" t="s">
        <v>489</v>
      </c>
      <c r="BH195" s="252" t="s">
        <v>490</v>
      </c>
      <c r="BI195" s="251" t="s">
        <v>333</v>
      </c>
      <c r="BJ195" s="251" t="s">
        <v>380</v>
      </c>
      <c r="BK195" s="251" t="s">
        <v>1063</v>
      </c>
      <c r="BL195" s="251" t="s">
        <v>493</v>
      </c>
      <c r="BQ195" s="27" t="s">
        <v>7846</v>
      </c>
      <c r="BR195" s="27" t="s">
        <v>7847</v>
      </c>
    </row>
    <row r="196" spans="2:70" ht="15">
      <c r="B196" s="84"/>
      <c r="D196" s="251" t="s">
        <v>9126</v>
      </c>
      <c r="E196" s="251" t="s">
        <v>9131</v>
      </c>
      <c r="F196" s="251" t="s">
        <v>9857</v>
      </c>
      <c r="G196" s="402" t="s">
        <v>9871</v>
      </c>
      <c r="J196" s="333"/>
      <c r="K196" s="333"/>
      <c r="R196" s="251"/>
      <c r="S196" s="251"/>
      <c r="AJ196" s="333"/>
      <c r="AO196" s="333"/>
      <c r="AP196" s="333"/>
      <c r="AQ196" s="333"/>
      <c r="AR196" s="333"/>
      <c r="BD196" s="399">
        <v>193</v>
      </c>
      <c r="BE196" s="399" t="s">
        <v>1064</v>
      </c>
      <c r="BF196" s="251" t="s">
        <v>1065</v>
      </c>
      <c r="BG196" s="399" t="s">
        <v>602</v>
      </c>
      <c r="BH196" s="252">
        <v>47</v>
      </c>
      <c r="BI196" s="251" t="s">
        <v>563</v>
      </c>
      <c r="BJ196" s="251" t="s">
        <v>407</v>
      </c>
      <c r="BK196" s="251" t="s">
        <v>1066</v>
      </c>
      <c r="BL196" s="251" t="s">
        <v>604</v>
      </c>
      <c r="BQ196" s="27" t="s">
        <v>7848</v>
      </c>
      <c r="BR196" s="27" t="s">
        <v>7849</v>
      </c>
    </row>
    <row r="197" spans="2:70" ht="15">
      <c r="B197" s="84"/>
      <c r="D197" s="251" t="s">
        <v>9126</v>
      </c>
      <c r="E197" s="251" t="s">
        <v>9131</v>
      </c>
      <c r="F197" s="251" t="s">
        <v>9858</v>
      </c>
      <c r="G197" s="402" t="s">
        <v>9872</v>
      </c>
      <c r="J197" s="333"/>
      <c r="K197" s="333"/>
      <c r="R197" s="251"/>
      <c r="S197" s="251"/>
      <c r="AJ197" s="333"/>
      <c r="AO197" s="333"/>
      <c r="AP197" s="333"/>
      <c r="AQ197" s="333"/>
      <c r="AR197" s="333"/>
      <c r="BD197" s="399">
        <v>194</v>
      </c>
      <c r="BE197" s="399" t="s">
        <v>1067</v>
      </c>
      <c r="BF197" s="251" t="s">
        <v>1068</v>
      </c>
      <c r="BG197" s="399" t="s">
        <v>363</v>
      </c>
      <c r="BH197" s="252" t="s">
        <v>364</v>
      </c>
      <c r="BI197" s="251" t="s">
        <v>379</v>
      </c>
      <c r="BJ197" s="251" t="s">
        <v>380</v>
      </c>
      <c r="BK197" s="251" t="s">
        <v>1069</v>
      </c>
      <c r="BL197" s="251" t="s">
        <v>368</v>
      </c>
      <c r="BQ197" s="27" t="s">
        <v>7850</v>
      </c>
      <c r="BR197" s="27" t="s">
        <v>7491</v>
      </c>
    </row>
    <row r="198" spans="2:70" ht="15">
      <c r="B198" s="84"/>
      <c r="D198" s="251" t="s">
        <v>9126</v>
      </c>
      <c r="E198" s="251" t="s">
        <v>9131</v>
      </c>
      <c r="F198" s="251" t="s">
        <v>9859</v>
      </c>
      <c r="G198" s="402" t="s">
        <v>9873</v>
      </c>
      <c r="J198" s="333"/>
      <c r="K198" s="333"/>
      <c r="R198" s="251"/>
      <c r="S198" s="251"/>
      <c r="AJ198" s="333"/>
      <c r="AP198" s="333"/>
      <c r="AQ198" s="333"/>
      <c r="AR198" s="333"/>
      <c r="BD198" s="399">
        <v>195</v>
      </c>
      <c r="BE198" s="399" t="s">
        <v>1070</v>
      </c>
      <c r="BF198" s="251" t="s">
        <v>1071</v>
      </c>
      <c r="BG198" s="399" t="s">
        <v>435</v>
      </c>
      <c r="BH198" s="252" t="s">
        <v>436</v>
      </c>
      <c r="BI198" s="251" t="s">
        <v>524</v>
      </c>
      <c r="BJ198" s="251" t="s">
        <v>380</v>
      </c>
      <c r="BK198" s="251" t="s">
        <v>1072</v>
      </c>
      <c r="BL198" s="251" t="s">
        <v>439</v>
      </c>
      <c r="BQ198" s="27" t="s">
        <v>7851</v>
      </c>
      <c r="BR198" s="27" t="s">
        <v>7852</v>
      </c>
    </row>
    <row r="199" spans="2:70" ht="15">
      <c r="B199" s="84"/>
      <c r="D199" s="251" t="s">
        <v>9126</v>
      </c>
      <c r="E199" s="251" t="s">
        <v>9131</v>
      </c>
      <c r="F199" s="251" t="s">
        <v>9135</v>
      </c>
      <c r="G199" s="402" t="s">
        <v>9492</v>
      </c>
      <c r="J199" s="333"/>
      <c r="K199" s="333"/>
      <c r="R199" s="251"/>
      <c r="S199" s="251"/>
      <c r="AJ199" s="333"/>
      <c r="BD199" s="399">
        <v>196</v>
      </c>
      <c r="BE199" s="399" t="s">
        <v>1073</v>
      </c>
      <c r="BF199" s="251" t="s">
        <v>1074</v>
      </c>
      <c r="BG199" s="399" t="s">
        <v>356</v>
      </c>
      <c r="BH199" s="252" t="s">
        <v>1075</v>
      </c>
      <c r="BI199" s="251" t="s">
        <v>583</v>
      </c>
      <c r="BJ199" s="251" t="s">
        <v>413</v>
      </c>
      <c r="BK199" s="251" t="s">
        <v>1076</v>
      </c>
      <c r="BL199" s="251" t="s">
        <v>360</v>
      </c>
      <c r="BQ199" s="27" t="s">
        <v>7853</v>
      </c>
      <c r="BR199" s="27" t="s">
        <v>7854</v>
      </c>
    </row>
    <row r="200" spans="2:70" ht="15">
      <c r="B200" s="84"/>
      <c r="D200" s="251" t="s">
        <v>9126</v>
      </c>
      <c r="E200" s="251" t="s">
        <v>9131</v>
      </c>
      <c r="F200" s="251" t="s">
        <v>9134</v>
      </c>
      <c r="G200" s="402" t="s">
        <v>9491</v>
      </c>
      <c r="R200" s="251"/>
      <c r="S200" s="251"/>
      <c r="AJ200" s="333"/>
      <c r="BD200" s="399">
        <v>197</v>
      </c>
      <c r="BE200" s="399" t="s">
        <v>1077</v>
      </c>
      <c r="BF200" s="251" t="s">
        <v>1078</v>
      </c>
      <c r="BG200" s="399" t="s">
        <v>590</v>
      </c>
      <c r="BH200" s="252">
        <v>44</v>
      </c>
      <c r="BI200" s="251" t="s">
        <v>334</v>
      </c>
      <c r="BJ200" s="251" t="s">
        <v>380</v>
      </c>
      <c r="BK200" s="251" t="s">
        <v>1079</v>
      </c>
      <c r="BL200" s="251" t="s">
        <v>592</v>
      </c>
      <c r="BQ200" s="27" t="s">
        <v>7855</v>
      </c>
      <c r="BR200" s="27" t="s">
        <v>7856</v>
      </c>
    </row>
    <row r="201" spans="2:70" ht="15">
      <c r="B201" s="84"/>
      <c r="D201" s="251" t="s">
        <v>9126</v>
      </c>
      <c r="E201" s="251" t="s">
        <v>9131</v>
      </c>
      <c r="F201" s="251" t="s">
        <v>9133</v>
      </c>
      <c r="G201" s="402" t="s">
        <v>9490</v>
      </c>
      <c r="R201" s="251"/>
      <c r="S201" s="251"/>
      <c r="AJ201" s="333"/>
      <c r="BD201" s="399">
        <v>198</v>
      </c>
      <c r="BE201" s="399" t="s">
        <v>1080</v>
      </c>
      <c r="BF201" s="251" t="s">
        <v>1081</v>
      </c>
      <c r="BG201" s="399" t="s">
        <v>405</v>
      </c>
      <c r="BH201" s="252" t="s">
        <v>528</v>
      </c>
      <c r="BI201" s="251" t="s">
        <v>477</v>
      </c>
      <c r="BJ201" s="251" t="s">
        <v>390</v>
      </c>
      <c r="BK201" s="251" t="s">
        <v>1082</v>
      </c>
      <c r="BL201" s="251" t="s">
        <v>409</v>
      </c>
      <c r="BQ201" s="27" t="s">
        <v>7857</v>
      </c>
      <c r="BR201" s="27" t="s">
        <v>7858</v>
      </c>
    </row>
    <row r="202" spans="2:70" ht="15">
      <c r="B202" s="84"/>
      <c r="D202" s="251" t="s">
        <v>9126</v>
      </c>
      <c r="E202" s="251" t="s">
        <v>9131</v>
      </c>
      <c r="F202" s="251" t="s">
        <v>9132</v>
      </c>
      <c r="G202" s="402" t="s">
        <v>9489</v>
      </c>
      <c r="R202" s="251"/>
      <c r="S202" s="251"/>
      <c r="AJ202" s="333"/>
      <c r="BD202" s="399">
        <v>199</v>
      </c>
      <c r="BE202" s="399" t="s">
        <v>1083</v>
      </c>
      <c r="BF202" s="251" t="s">
        <v>1084</v>
      </c>
      <c r="BG202" s="399" t="s">
        <v>519</v>
      </c>
      <c r="BH202" s="252">
        <v>30</v>
      </c>
      <c r="BI202" s="251" t="s">
        <v>583</v>
      </c>
      <c r="BJ202" s="251" t="s">
        <v>413</v>
      </c>
      <c r="BK202" s="251" t="s">
        <v>1085</v>
      </c>
      <c r="BL202" s="251" t="s">
        <v>521</v>
      </c>
      <c r="BQ202" s="27" t="s">
        <v>7859</v>
      </c>
      <c r="BR202" s="27" t="s">
        <v>7860</v>
      </c>
    </row>
    <row r="203" spans="2:70" ht="15">
      <c r="B203" s="84"/>
      <c r="D203" s="251" t="s">
        <v>9126</v>
      </c>
      <c r="E203" s="251" t="s">
        <v>9127</v>
      </c>
      <c r="F203" s="251" t="s">
        <v>9353</v>
      </c>
      <c r="G203" s="402" t="s">
        <v>9493</v>
      </c>
      <c r="R203" s="251"/>
      <c r="S203" s="251"/>
      <c r="BD203" s="399">
        <v>200</v>
      </c>
      <c r="BE203" s="399" t="s">
        <v>656</v>
      </c>
      <c r="BF203" s="251" t="s">
        <v>1086</v>
      </c>
      <c r="BG203" s="399" t="s">
        <v>489</v>
      </c>
      <c r="BH203" s="252" t="s">
        <v>958</v>
      </c>
      <c r="BI203" s="251" t="s">
        <v>615</v>
      </c>
      <c r="BJ203" s="251" t="s">
        <v>539</v>
      </c>
      <c r="BK203" s="251" t="s">
        <v>1087</v>
      </c>
      <c r="BL203" s="251" t="s">
        <v>493</v>
      </c>
      <c r="BQ203" s="27" t="s">
        <v>7861</v>
      </c>
      <c r="BR203" s="27" t="s">
        <v>7862</v>
      </c>
    </row>
    <row r="204" spans="2:70" ht="15">
      <c r="B204" s="84"/>
      <c r="D204" s="251" t="s">
        <v>9126</v>
      </c>
      <c r="E204" s="251" t="s">
        <v>9127</v>
      </c>
      <c r="F204" s="251" t="s">
        <v>9354</v>
      </c>
      <c r="G204" s="402" t="s">
        <v>9494</v>
      </c>
      <c r="R204" s="251"/>
      <c r="S204" s="251"/>
      <c r="BD204" s="399">
        <v>201</v>
      </c>
      <c r="BE204" s="399" t="s">
        <v>1088</v>
      </c>
      <c r="BF204" s="251" t="s">
        <v>1089</v>
      </c>
      <c r="BG204" s="399" t="s">
        <v>549</v>
      </c>
      <c r="BH204" s="252">
        <v>41</v>
      </c>
      <c r="BI204" s="251" t="s">
        <v>357</v>
      </c>
      <c r="BJ204" s="251" t="s">
        <v>539</v>
      </c>
      <c r="BK204" s="251" t="s">
        <v>1090</v>
      </c>
      <c r="BL204" s="251" t="s">
        <v>551</v>
      </c>
      <c r="BQ204" s="27" t="s">
        <v>7863</v>
      </c>
      <c r="BR204" s="27" t="s">
        <v>7864</v>
      </c>
    </row>
    <row r="205" spans="2:70" ht="15">
      <c r="B205" s="84"/>
      <c r="D205" s="436" t="s">
        <v>9126</v>
      </c>
      <c r="E205" s="436" t="s">
        <v>9127</v>
      </c>
      <c r="F205" s="436" t="s">
        <v>9355</v>
      </c>
      <c r="G205" s="402" t="s">
        <v>9495</v>
      </c>
      <c r="R205" s="251"/>
      <c r="S205" s="251"/>
      <c r="BD205" s="399">
        <v>202</v>
      </c>
      <c r="BE205" s="399" t="s">
        <v>1091</v>
      </c>
      <c r="BF205" s="251" t="s">
        <v>1092</v>
      </c>
      <c r="BG205" s="399" t="s">
        <v>371</v>
      </c>
      <c r="BH205" s="252">
        <v>28</v>
      </c>
      <c r="BI205" s="251" t="s">
        <v>332</v>
      </c>
      <c r="BJ205" s="251" t="s">
        <v>539</v>
      </c>
      <c r="BK205" s="251" t="s">
        <v>1093</v>
      </c>
      <c r="BL205" s="251" t="s">
        <v>375</v>
      </c>
      <c r="BQ205" s="27" t="s">
        <v>7865</v>
      </c>
      <c r="BR205" s="27" t="s">
        <v>7866</v>
      </c>
    </row>
    <row r="206" spans="2:70" ht="15">
      <c r="B206" s="84"/>
      <c r="D206" s="251" t="s">
        <v>9126</v>
      </c>
      <c r="E206" s="251" t="s">
        <v>9127</v>
      </c>
      <c r="F206" s="251" t="s">
        <v>9130</v>
      </c>
      <c r="G206" s="402" t="s">
        <v>9498</v>
      </c>
      <c r="R206" s="251"/>
      <c r="S206" s="251"/>
      <c r="BD206" s="399">
        <v>203</v>
      </c>
      <c r="BE206" s="399" t="s">
        <v>1094</v>
      </c>
      <c r="BF206" s="251" t="s">
        <v>1095</v>
      </c>
      <c r="BG206" s="399" t="s">
        <v>590</v>
      </c>
      <c r="BH206" s="252">
        <v>44</v>
      </c>
      <c r="BI206" s="251" t="s">
        <v>728</v>
      </c>
      <c r="BJ206" s="251" t="s">
        <v>407</v>
      </c>
      <c r="BK206" s="251" t="s">
        <v>1096</v>
      </c>
      <c r="BL206" s="251" t="s">
        <v>592</v>
      </c>
      <c r="BQ206" s="27" t="s">
        <v>7867</v>
      </c>
      <c r="BR206" s="27" t="s">
        <v>7868</v>
      </c>
    </row>
    <row r="207" spans="2:70" ht="15">
      <c r="B207" s="84"/>
      <c r="D207" s="251" t="s">
        <v>9126</v>
      </c>
      <c r="E207" s="251" t="s">
        <v>9127</v>
      </c>
      <c r="F207" s="251" t="s">
        <v>9129</v>
      </c>
      <c r="G207" s="402" t="s">
        <v>9497</v>
      </c>
      <c r="R207" s="251"/>
      <c r="S207" s="251"/>
      <c r="BD207" s="399">
        <v>204</v>
      </c>
      <c r="BE207" s="399" t="s">
        <v>1097</v>
      </c>
      <c r="BF207" s="251" t="s">
        <v>1098</v>
      </c>
      <c r="BG207" s="399" t="s">
        <v>435</v>
      </c>
      <c r="BH207" s="252" t="s">
        <v>436</v>
      </c>
      <c r="BI207" s="251" t="s">
        <v>465</v>
      </c>
      <c r="BJ207" s="251" t="s">
        <v>954</v>
      </c>
      <c r="BK207" s="251" t="s">
        <v>1099</v>
      </c>
      <c r="BL207" s="251" t="s">
        <v>439</v>
      </c>
      <c r="BQ207" s="27" t="s">
        <v>7869</v>
      </c>
      <c r="BR207" s="27" t="s">
        <v>7870</v>
      </c>
    </row>
    <row r="208" spans="2:70" ht="15">
      <c r="B208" s="84"/>
      <c r="D208" s="437" t="s">
        <v>9126</v>
      </c>
      <c r="E208" s="437" t="s">
        <v>9127</v>
      </c>
      <c r="F208" s="437" t="s">
        <v>9128</v>
      </c>
      <c r="G208" s="435" t="s">
        <v>9496</v>
      </c>
      <c r="R208" s="251"/>
      <c r="S208" s="251"/>
      <c r="BD208" s="399">
        <v>205</v>
      </c>
      <c r="BE208" s="399" t="s">
        <v>1100</v>
      </c>
      <c r="BF208" s="251" t="s">
        <v>1101</v>
      </c>
      <c r="BG208" s="399" t="s">
        <v>435</v>
      </c>
      <c r="BH208" s="252" t="s">
        <v>436</v>
      </c>
      <c r="BI208" s="251" t="s">
        <v>563</v>
      </c>
      <c r="BJ208" s="251" t="s">
        <v>366</v>
      </c>
      <c r="BK208" s="251" t="s">
        <v>1102</v>
      </c>
      <c r="BL208" s="251" t="s">
        <v>439</v>
      </c>
      <c r="BQ208" s="27" t="s">
        <v>7871</v>
      </c>
      <c r="BR208" s="27" t="s">
        <v>7872</v>
      </c>
    </row>
    <row r="209" spans="2:70" ht="15">
      <c r="B209" s="84"/>
      <c r="D209" s="438" t="s">
        <v>9126</v>
      </c>
      <c r="E209" s="438" t="s">
        <v>9127</v>
      </c>
      <c r="F209" s="438" t="s">
        <v>9128</v>
      </c>
      <c r="G209" s="423" t="s">
        <v>9860</v>
      </c>
      <c r="R209" s="251"/>
      <c r="S209" s="251"/>
      <c r="BD209" s="399">
        <v>206</v>
      </c>
      <c r="BE209" s="399" t="s">
        <v>1103</v>
      </c>
      <c r="BF209" s="251" t="s">
        <v>1104</v>
      </c>
      <c r="BG209" s="399" t="s">
        <v>349</v>
      </c>
      <c r="BH209" s="252">
        <v>17</v>
      </c>
      <c r="BI209" s="251" t="s">
        <v>331</v>
      </c>
      <c r="BJ209" s="251" t="s">
        <v>385</v>
      </c>
      <c r="BK209" s="251" t="s">
        <v>1105</v>
      </c>
      <c r="BL209" s="251" t="s">
        <v>353</v>
      </c>
      <c r="BQ209" s="27" t="s">
        <v>7873</v>
      </c>
      <c r="BR209" s="27" t="s">
        <v>7874</v>
      </c>
    </row>
    <row r="210" spans="2:70" ht="15">
      <c r="B210" s="84"/>
      <c r="D210" s="438" t="s">
        <v>9126</v>
      </c>
      <c r="E210" s="438" t="s">
        <v>9127</v>
      </c>
      <c r="F210" s="438" t="s">
        <v>9128</v>
      </c>
      <c r="G210" s="423" t="s">
        <v>9861</v>
      </c>
      <c r="R210" s="251"/>
      <c r="S210" s="251"/>
      <c r="BD210" s="399">
        <v>207</v>
      </c>
      <c r="BE210" s="399" t="s">
        <v>1106</v>
      </c>
      <c r="BF210" s="251" t="s">
        <v>1107</v>
      </c>
      <c r="BG210" s="399" t="s">
        <v>363</v>
      </c>
      <c r="BH210" s="252" t="s">
        <v>364</v>
      </c>
      <c r="BI210" s="251" t="s">
        <v>365</v>
      </c>
      <c r="BJ210" s="251" t="s">
        <v>407</v>
      </c>
      <c r="BK210" s="251" t="s">
        <v>1108</v>
      </c>
      <c r="BL210" s="251" t="s">
        <v>368</v>
      </c>
      <c r="BQ210" s="27" t="s">
        <v>7875</v>
      </c>
      <c r="BR210" s="27" t="s">
        <v>7876</v>
      </c>
    </row>
    <row r="211" spans="2:70" ht="15">
      <c r="B211" s="84"/>
      <c r="D211" s="438" t="s">
        <v>9126</v>
      </c>
      <c r="E211" s="438" t="s">
        <v>9127</v>
      </c>
      <c r="F211" s="438" t="s">
        <v>9128</v>
      </c>
      <c r="G211" s="423" t="s">
        <v>9862</v>
      </c>
      <c r="R211" s="251"/>
      <c r="S211" s="251"/>
      <c r="BD211" s="399">
        <v>208</v>
      </c>
      <c r="BE211" s="399" t="s">
        <v>1109</v>
      </c>
      <c r="BF211" s="251" t="s">
        <v>1110</v>
      </c>
      <c r="BG211" s="399" t="s">
        <v>469</v>
      </c>
      <c r="BH211" s="252" t="s">
        <v>470</v>
      </c>
      <c r="BI211" s="251" t="s">
        <v>615</v>
      </c>
      <c r="BJ211" s="251" t="s">
        <v>407</v>
      </c>
      <c r="BK211" s="251" t="s">
        <v>1111</v>
      </c>
      <c r="BL211" s="251" t="s">
        <v>472</v>
      </c>
      <c r="BQ211" s="27" t="s">
        <v>7877</v>
      </c>
      <c r="BR211" s="27" t="s">
        <v>7878</v>
      </c>
    </row>
    <row r="212" spans="2:70" ht="15">
      <c r="B212" s="84"/>
      <c r="D212" s="401" t="s">
        <v>9126</v>
      </c>
      <c r="E212" s="401" t="s">
        <v>9127</v>
      </c>
      <c r="F212" s="401" t="s">
        <v>9774</v>
      </c>
      <c r="G212" s="423" t="s">
        <v>9772</v>
      </c>
      <c r="R212" s="251"/>
      <c r="S212" s="251"/>
      <c r="BD212" s="399">
        <v>209</v>
      </c>
      <c r="BE212" s="399" t="s">
        <v>1112</v>
      </c>
      <c r="BF212" s="251" t="s">
        <v>1113</v>
      </c>
      <c r="BG212" s="399" t="s">
        <v>602</v>
      </c>
      <c r="BH212" s="252">
        <v>47</v>
      </c>
      <c r="BI212" s="251" t="s">
        <v>379</v>
      </c>
      <c r="BJ212" s="251" t="s">
        <v>380</v>
      </c>
      <c r="BK212" s="251" t="s">
        <v>1114</v>
      </c>
      <c r="BL212" s="251" t="s">
        <v>604</v>
      </c>
      <c r="BQ212" s="27" t="s">
        <v>7879</v>
      </c>
      <c r="BR212" s="27" t="s">
        <v>7880</v>
      </c>
    </row>
    <row r="213" spans="2:70" ht="15">
      <c r="B213" s="84"/>
      <c r="D213" s="251" t="s">
        <v>9140</v>
      </c>
      <c r="E213" s="251" t="s">
        <v>9156</v>
      </c>
      <c r="F213" s="251" t="s">
        <v>15</v>
      </c>
      <c r="G213" s="402" t="s">
        <v>9499</v>
      </c>
      <c r="R213" s="251"/>
      <c r="S213" s="251"/>
      <c r="BD213" s="399">
        <v>210</v>
      </c>
      <c r="BE213" s="399" t="s">
        <v>1115</v>
      </c>
      <c r="BF213" s="251" t="s">
        <v>1116</v>
      </c>
      <c r="BG213" s="399" t="s">
        <v>475</v>
      </c>
      <c r="BH213" s="252" t="s">
        <v>534</v>
      </c>
      <c r="BI213" s="251" t="s">
        <v>615</v>
      </c>
      <c r="BJ213" s="251" t="s">
        <v>351</v>
      </c>
      <c r="BK213" s="251" t="s">
        <v>1117</v>
      </c>
      <c r="BL213" s="251" t="s">
        <v>479</v>
      </c>
      <c r="BQ213" s="27" t="s">
        <v>7881</v>
      </c>
      <c r="BR213" s="27" t="s">
        <v>7367</v>
      </c>
    </row>
    <row r="214" spans="2:70" ht="15">
      <c r="B214" s="84"/>
      <c r="D214" s="251" t="s">
        <v>9140</v>
      </c>
      <c r="E214" s="251" t="s">
        <v>9156</v>
      </c>
      <c r="F214" s="251" t="s">
        <v>9160</v>
      </c>
      <c r="G214" s="402" t="s">
        <v>9504</v>
      </c>
      <c r="R214" s="251"/>
      <c r="S214" s="251"/>
      <c r="BD214" s="399">
        <v>211</v>
      </c>
      <c r="BE214" s="399" t="s">
        <v>1118</v>
      </c>
      <c r="BF214" s="251" t="s">
        <v>1119</v>
      </c>
      <c r="BG214" s="399">
        <v>52</v>
      </c>
      <c r="BH214" s="252">
        <v>52</v>
      </c>
      <c r="BI214" s="251" t="s">
        <v>379</v>
      </c>
      <c r="BJ214" s="251" t="s">
        <v>380</v>
      </c>
      <c r="BK214" s="251" t="s">
        <v>1120</v>
      </c>
      <c r="BL214" s="251" t="s">
        <v>1121</v>
      </c>
      <c r="BQ214" s="27" t="s">
        <v>7882</v>
      </c>
      <c r="BR214" s="27" t="s">
        <v>7365</v>
      </c>
    </row>
    <row r="215" spans="2:70" ht="15">
      <c r="B215" s="84"/>
      <c r="D215" s="251" t="s">
        <v>9140</v>
      </c>
      <c r="E215" s="251" t="s">
        <v>9156</v>
      </c>
      <c r="F215" s="251" t="s">
        <v>9159</v>
      </c>
      <c r="G215" s="402" t="s">
        <v>9503</v>
      </c>
      <c r="R215" s="251"/>
      <c r="S215" s="251"/>
      <c r="BD215" s="399">
        <v>212</v>
      </c>
      <c r="BE215" s="399" t="s">
        <v>1122</v>
      </c>
      <c r="BF215" s="251" t="s">
        <v>1123</v>
      </c>
      <c r="BG215" s="399">
        <v>54</v>
      </c>
      <c r="BH215" s="252">
        <v>54</v>
      </c>
      <c r="BI215" s="251" t="s">
        <v>529</v>
      </c>
      <c r="BJ215" s="251" t="s">
        <v>413</v>
      </c>
      <c r="BK215" s="251" t="s">
        <v>1124</v>
      </c>
      <c r="BL215" s="251" t="s">
        <v>930</v>
      </c>
      <c r="BQ215" s="27" t="s">
        <v>7883</v>
      </c>
      <c r="BR215" s="27" t="s">
        <v>7884</v>
      </c>
    </row>
    <row r="216" spans="2:70" ht="15">
      <c r="B216" s="84"/>
      <c r="D216" s="251" t="s">
        <v>9140</v>
      </c>
      <c r="E216" s="251" t="s">
        <v>9156</v>
      </c>
      <c r="F216" s="251" t="s">
        <v>9157</v>
      </c>
      <c r="G216" s="402" t="s">
        <v>9501</v>
      </c>
      <c r="R216" s="251"/>
      <c r="S216" s="251"/>
      <c r="BD216" s="399">
        <v>213</v>
      </c>
      <c r="BE216" s="399" t="s">
        <v>1125</v>
      </c>
      <c r="BF216" s="251" t="s">
        <v>1126</v>
      </c>
      <c r="BG216" s="399" t="s">
        <v>733</v>
      </c>
      <c r="BH216" s="252">
        <v>42</v>
      </c>
      <c r="BI216" s="251" t="s">
        <v>365</v>
      </c>
      <c r="BJ216" s="251" t="s">
        <v>351</v>
      </c>
      <c r="BK216" s="251" t="s">
        <v>1127</v>
      </c>
      <c r="BL216" s="251" t="s">
        <v>736</v>
      </c>
      <c r="BQ216" s="27" t="s">
        <v>7885</v>
      </c>
      <c r="BR216" s="27" t="s">
        <v>7886</v>
      </c>
    </row>
    <row r="217" spans="2:70" ht="15">
      <c r="B217" s="84"/>
      <c r="D217" s="251" t="s">
        <v>9140</v>
      </c>
      <c r="E217" s="251" t="s">
        <v>9156</v>
      </c>
      <c r="F217" s="251" t="s">
        <v>9158</v>
      </c>
      <c r="G217" s="402" t="s">
        <v>9502</v>
      </c>
      <c r="R217" s="251"/>
      <c r="S217" s="251"/>
      <c r="BD217" s="399">
        <v>214</v>
      </c>
      <c r="BE217" s="399" t="s">
        <v>1128</v>
      </c>
      <c r="BF217" s="251" t="s">
        <v>1129</v>
      </c>
      <c r="BG217" s="399" t="s">
        <v>395</v>
      </c>
      <c r="BH217" s="252">
        <v>16</v>
      </c>
      <c r="BI217" s="251" t="s">
        <v>728</v>
      </c>
      <c r="BJ217" s="251" t="s">
        <v>397</v>
      </c>
      <c r="BK217" s="251" t="s">
        <v>1130</v>
      </c>
      <c r="BL217" s="251" t="s">
        <v>399</v>
      </c>
      <c r="BQ217" s="27" t="s">
        <v>7887</v>
      </c>
      <c r="BR217" s="27" t="s">
        <v>7888</v>
      </c>
    </row>
    <row r="218" spans="2:70" ht="15">
      <c r="B218" s="84"/>
      <c r="D218" s="401" t="s">
        <v>9140</v>
      </c>
      <c r="E218" s="401" t="s">
        <v>9156</v>
      </c>
      <c r="F218" s="401" t="s">
        <v>9778</v>
      </c>
      <c r="G218" s="423" t="s">
        <v>9779</v>
      </c>
      <c r="R218" s="251"/>
      <c r="S218" s="251"/>
      <c r="BD218" s="399">
        <v>215</v>
      </c>
      <c r="BE218" s="399" t="s">
        <v>1131</v>
      </c>
      <c r="BF218" s="251" t="s">
        <v>1132</v>
      </c>
      <c r="BG218" s="399" t="s">
        <v>566</v>
      </c>
      <c r="BH218" s="252" t="s">
        <v>567</v>
      </c>
      <c r="BI218" s="251" t="s">
        <v>445</v>
      </c>
      <c r="BJ218" s="251" t="s">
        <v>385</v>
      </c>
      <c r="BK218" s="251" t="s">
        <v>1133</v>
      </c>
      <c r="BL218" s="251" t="s">
        <v>569</v>
      </c>
      <c r="BQ218" s="27" t="s">
        <v>7889</v>
      </c>
      <c r="BR218" s="27" t="s">
        <v>7890</v>
      </c>
    </row>
    <row r="219" spans="2:70" ht="15">
      <c r="B219" s="84"/>
      <c r="D219" s="251" t="s">
        <v>9140</v>
      </c>
      <c r="E219" s="251" t="s">
        <v>9156</v>
      </c>
      <c r="F219" s="251" t="s">
        <v>17</v>
      </c>
      <c r="G219" s="402" t="s">
        <v>9500</v>
      </c>
      <c r="R219" s="251"/>
      <c r="S219" s="251"/>
      <c r="BD219" s="399">
        <v>216</v>
      </c>
      <c r="BE219" s="399" t="s">
        <v>1134</v>
      </c>
      <c r="BF219" s="251" t="s">
        <v>1135</v>
      </c>
      <c r="BG219" s="399" t="s">
        <v>489</v>
      </c>
      <c r="BH219" s="252" t="s">
        <v>490</v>
      </c>
      <c r="BI219" s="251" t="s">
        <v>357</v>
      </c>
      <c r="BJ219" s="251" t="s">
        <v>373</v>
      </c>
      <c r="BK219" s="251" t="s">
        <v>1136</v>
      </c>
      <c r="BL219" s="251" t="s">
        <v>493</v>
      </c>
      <c r="BQ219" s="27" t="s">
        <v>7640</v>
      </c>
      <c r="BR219" s="27" t="s">
        <v>7641</v>
      </c>
    </row>
    <row r="220" spans="2:70" ht="15">
      <c r="B220" s="84"/>
      <c r="D220" s="251" t="s">
        <v>9140</v>
      </c>
      <c r="E220" s="251" t="s">
        <v>9151</v>
      </c>
      <c r="F220" s="251" t="s">
        <v>9152</v>
      </c>
      <c r="G220" s="402" t="s">
        <v>9505</v>
      </c>
      <c r="R220" s="251"/>
      <c r="S220" s="251"/>
      <c r="BD220" s="399">
        <v>217</v>
      </c>
      <c r="BE220" s="399" t="s">
        <v>1137</v>
      </c>
      <c r="BF220" s="251" t="s">
        <v>1138</v>
      </c>
      <c r="BG220" s="399" t="s">
        <v>363</v>
      </c>
      <c r="BH220" s="252" t="s">
        <v>1139</v>
      </c>
      <c r="BI220" s="251" t="s">
        <v>647</v>
      </c>
      <c r="BJ220" s="251" t="s">
        <v>380</v>
      </c>
      <c r="BK220" s="251" t="s">
        <v>1140</v>
      </c>
      <c r="BL220" s="251" t="s">
        <v>368</v>
      </c>
      <c r="BQ220" s="27" t="s">
        <v>7891</v>
      </c>
      <c r="BR220" s="27" t="s">
        <v>7269</v>
      </c>
    </row>
    <row r="221" spans="2:70" ht="15">
      <c r="B221" s="84"/>
      <c r="D221" s="251" t="s">
        <v>9140</v>
      </c>
      <c r="E221" s="251" t="s">
        <v>9151</v>
      </c>
      <c r="F221" s="251" t="s">
        <v>9153</v>
      </c>
      <c r="G221" s="402" t="s">
        <v>9506</v>
      </c>
      <c r="R221" s="251"/>
      <c r="S221" s="251"/>
      <c r="BD221" s="399">
        <v>218</v>
      </c>
      <c r="BE221" s="399" t="s">
        <v>1141</v>
      </c>
      <c r="BF221" s="251" t="s">
        <v>1142</v>
      </c>
      <c r="BG221" s="399" t="s">
        <v>590</v>
      </c>
      <c r="BH221" s="252">
        <v>44</v>
      </c>
      <c r="BI221" s="251" t="s">
        <v>728</v>
      </c>
      <c r="BJ221" s="251" t="s">
        <v>380</v>
      </c>
      <c r="BK221" s="251" t="s">
        <v>1143</v>
      </c>
      <c r="BL221" s="251" t="s">
        <v>592</v>
      </c>
      <c r="BQ221" s="27" t="s">
        <v>7892</v>
      </c>
      <c r="BR221" s="27" t="s">
        <v>7643</v>
      </c>
    </row>
    <row r="222" spans="2:70" ht="15">
      <c r="B222" s="84"/>
      <c r="D222" s="251" t="s">
        <v>9140</v>
      </c>
      <c r="E222" s="251" t="s">
        <v>9151</v>
      </c>
      <c r="F222" s="251" t="s">
        <v>9155</v>
      </c>
      <c r="G222" s="402" t="s">
        <v>9508</v>
      </c>
      <c r="R222" s="251"/>
      <c r="S222" s="251"/>
      <c r="BD222" s="399">
        <v>219</v>
      </c>
      <c r="BE222" s="399" t="s">
        <v>1144</v>
      </c>
      <c r="BF222" s="251" t="s">
        <v>1145</v>
      </c>
      <c r="BG222" s="399" t="s">
        <v>475</v>
      </c>
      <c r="BH222" s="252" t="s">
        <v>476</v>
      </c>
      <c r="BI222" s="251" t="s">
        <v>332</v>
      </c>
      <c r="BJ222" s="251" t="s">
        <v>351</v>
      </c>
      <c r="BK222" s="251" t="s">
        <v>1146</v>
      </c>
      <c r="BL222" s="251" t="s">
        <v>479</v>
      </c>
      <c r="BQ222" s="27" t="s">
        <v>7893</v>
      </c>
      <c r="BR222" s="27" t="s">
        <v>7479</v>
      </c>
    </row>
    <row r="223" spans="2:70" ht="15">
      <c r="B223" s="84"/>
      <c r="D223" s="251" t="s">
        <v>9140</v>
      </c>
      <c r="E223" s="251" t="s">
        <v>9151</v>
      </c>
      <c r="F223" s="251" t="s">
        <v>9154</v>
      </c>
      <c r="G223" s="402" t="s">
        <v>9507</v>
      </c>
      <c r="R223" s="251"/>
      <c r="S223" s="251"/>
      <c r="BD223" s="399">
        <v>220</v>
      </c>
      <c r="BE223" s="399" t="s">
        <v>1147</v>
      </c>
      <c r="BF223" s="251" t="s">
        <v>1148</v>
      </c>
      <c r="BG223" s="399" t="s">
        <v>405</v>
      </c>
      <c r="BH223" s="252" t="s">
        <v>643</v>
      </c>
      <c r="BI223" s="251" t="s">
        <v>477</v>
      </c>
      <c r="BJ223" s="251" t="s">
        <v>380</v>
      </c>
      <c r="BK223" s="251" t="s">
        <v>1149</v>
      </c>
      <c r="BL223" s="251" t="s">
        <v>409</v>
      </c>
      <c r="BQ223" s="27" t="s">
        <v>7645</v>
      </c>
      <c r="BR223" s="27" t="s">
        <v>7646</v>
      </c>
    </row>
    <row r="224" spans="2:70" ht="15">
      <c r="B224" s="84"/>
      <c r="D224" s="251" t="s">
        <v>9140</v>
      </c>
      <c r="E224" s="251" t="s">
        <v>9141</v>
      </c>
      <c r="F224" s="251" t="s">
        <v>9146</v>
      </c>
      <c r="G224" s="402" t="s">
        <v>9513</v>
      </c>
      <c r="R224" s="251"/>
      <c r="S224" s="251"/>
      <c r="BD224" s="399">
        <v>221</v>
      </c>
      <c r="BE224" s="399" t="s">
        <v>1150</v>
      </c>
      <c r="BF224" s="251" t="s">
        <v>1151</v>
      </c>
      <c r="BG224" s="399" t="s">
        <v>469</v>
      </c>
      <c r="BH224" s="252" t="s">
        <v>662</v>
      </c>
      <c r="BI224" s="251" t="s">
        <v>445</v>
      </c>
      <c r="BJ224" s="251" t="s">
        <v>366</v>
      </c>
      <c r="BK224" s="251" t="s">
        <v>1152</v>
      </c>
      <c r="BL224" s="251" t="s">
        <v>472</v>
      </c>
      <c r="BQ224" s="27" t="s">
        <v>7894</v>
      </c>
      <c r="BR224" s="27" t="s">
        <v>7648</v>
      </c>
    </row>
    <row r="225" spans="2:70" ht="15">
      <c r="B225" s="84"/>
      <c r="D225" s="401" t="s">
        <v>9140</v>
      </c>
      <c r="E225" s="401" t="s">
        <v>9141</v>
      </c>
      <c r="F225" s="401" t="s">
        <v>9874</v>
      </c>
      <c r="G225" s="423" t="s">
        <v>9875</v>
      </c>
      <c r="R225" s="251"/>
      <c r="S225" s="251"/>
      <c r="BD225" s="399">
        <v>222</v>
      </c>
      <c r="BE225" s="399" t="s">
        <v>1153</v>
      </c>
      <c r="BF225" s="251" t="s">
        <v>1154</v>
      </c>
      <c r="BG225" s="399" t="s">
        <v>405</v>
      </c>
      <c r="BH225" s="252" t="s">
        <v>830</v>
      </c>
      <c r="BI225" s="251" t="s">
        <v>535</v>
      </c>
      <c r="BJ225" s="251" t="s">
        <v>413</v>
      </c>
      <c r="BK225" s="251" t="s">
        <v>1155</v>
      </c>
      <c r="BL225" s="251" t="s">
        <v>409</v>
      </c>
      <c r="BQ225" s="27" t="s">
        <v>7895</v>
      </c>
      <c r="BR225" s="27" t="s">
        <v>7650</v>
      </c>
    </row>
    <row r="226" spans="2:70" ht="15">
      <c r="B226" s="84"/>
      <c r="D226" s="251" t="s">
        <v>9140</v>
      </c>
      <c r="E226" s="251" t="s">
        <v>9141</v>
      </c>
      <c r="F226" s="251" t="s">
        <v>9147</v>
      </c>
      <c r="G226" s="402" t="s">
        <v>9514</v>
      </c>
      <c r="R226" s="251"/>
      <c r="S226" s="251"/>
      <c r="BD226" s="399">
        <v>223</v>
      </c>
      <c r="BE226" s="399" t="s">
        <v>1156</v>
      </c>
      <c r="BF226" s="251" t="s">
        <v>1157</v>
      </c>
      <c r="BG226" s="399" t="s">
        <v>405</v>
      </c>
      <c r="BH226" s="252" t="s">
        <v>760</v>
      </c>
      <c r="BI226" s="251" t="s">
        <v>615</v>
      </c>
      <c r="BJ226" s="251" t="s">
        <v>366</v>
      </c>
      <c r="BK226" s="251" t="s">
        <v>1158</v>
      </c>
      <c r="BL226" s="251" t="s">
        <v>409</v>
      </c>
      <c r="BQ226" s="27" t="s">
        <v>7896</v>
      </c>
      <c r="BR226" s="27" t="s">
        <v>7652</v>
      </c>
    </row>
    <row r="227" spans="2:70" ht="15">
      <c r="B227" s="84"/>
      <c r="D227" s="251" t="s">
        <v>9140</v>
      </c>
      <c r="E227" s="251" t="s">
        <v>9141</v>
      </c>
      <c r="F227" s="251" t="s">
        <v>9149</v>
      </c>
      <c r="G227" s="402" t="s">
        <v>9516</v>
      </c>
      <c r="R227" s="251"/>
      <c r="S227" s="251"/>
      <c r="BD227" s="399">
        <v>224</v>
      </c>
      <c r="BE227" s="399" t="s">
        <v>1159</v>
      </c>
      <c r="BF227" s="251" t="s">
        <v>1160</v>
      </c>
      <c r="BG227" s="399" t="s">
        <v>395</v>
      </c>
      <c r="BH227" s="252">
        <v>16</v>
      </c>
      <c r="BI227" s="251" t="s">
        <v>331</v>
      </c>
      <c r="BJ227" s="251" t="s">
        <v>380</v>
      </c>
      <c r="BK227" s="251" t="s">
        <v>1161</v>
      </c>
      <c r="BL227" s="251" t="s">
        <v>399</v>
      </c>
      <c r="BQ227" s="27" t="s">
        <v>7897</v>
      </c>
      <c r="BR227" s="27" t="s">
        <v>7654</v>
      </c>
    </row>
    <row r="228" spans="2:70" ht="15">
      <c r="B228" s="84"/>
      <c r="D228" s="251" t="s">
        <v>9140</v>
      </c>
      <c r="E228" s="251" t="s">
        <v>9141</v>
      </c>
      <c r="F228" s="251" t="s">
        <v>9148</v>
      </c>
      <c r="G228" s="402" t="s">
        <v>9515</v>
      </c>
      <c r="R228" s="251"/>
      <c r="S228" s="251"/>
      <c r="BD228" s="399">
        <v>225</v>
      </c>
      <c r="BE228" s="399" t="s">
        <v>1162</v>
      </c>
      <c r="BF228" s="251" t="s">
        <v>1163</v>
      </c>
      <c r="BG228" s="399" t="s">
        <v>356</v>
      </c>
      <c r="BH228" s="252" t="s">
        <v>1075</v>
      </c>
      <c r="BI228" s="251" t="s">
        <v>331</v>
      </c>
      <c r="BJ228" s="251" t="s">
        <v>366</v>
      </c>
      <c r="BK228" s="251" t="s">
        <v>1164</v>
      </c>
      <c r="BL228" s="251" t="s">
        <v>360</v>
      </c>
      <c r="BQ228" s="27" t="s">
        <v>7655</v>
      </c>
      <c r="BR228" s="27" t="s">
        <v>7656</v>
      </c>
    </row>
    <row r="229" spans="2:70" ht="15">
      <c r="B229" s="84"/>
      <c r="D229" s="251" t="s">
        <v>9140</v>
      </c>
      <c r="E229" s="251" t="s">
        <v>9141</v>
      </c>
      <c r="F229" s="251" t="s">
        <v>9150</v>
      </c>
      <c r="G229" s="402" t="s">
        <v>9517</v>
      </c>
      <c r="R229" s="251"/>
      <c r="S229" s="251"/>
      <c r="BD229" s="399">
        <v>226</v>
      </c>
      <c r="BE229" s="399" t="s">
        <v>1165</v>
      </c>
      <c r="BF229" s="251" t="s">
        <v>1166</v>
      </c>
      <c r="BG229" s="399" t="s">
        <v>469</v>
      </c>
      <c r="BH229" s="252" t="s">
        <v>470</v>
      </c>
      <c r="BI229" s="251" t="s">
        <v>332</v>
      </c>
      <c r="BJ229" s="251" t="s">
        <v>385</v>
      </c>
      <c r="BK229" s="251" t="s">
        <v>1167</v>
      </c>
      <c r="BL229" s="251" t="s">
        <v>472</v>
      </c>
      <c r="BQ229" s="27" t="s">
        <v>7898</v>
      </c>
      <c r="BR229" s="27" t="s">
        <v>7657</v>
      </c>
    </row>
    <row r="230" spans="2:70" ht="15">
      <c r="B230" s="84"/>
      <c r="D230" s="251" t="s">
        <v>9140</v>
      </c>
      <c r="E230" s="251" t="s">
        <v>9141</v>
      </c>
      <c r="F230" s="251" t="s">
        <v>9142</v>
      </c>
      <c r="G230" s="402" t="s">
        <v>9509</v>
      </c>
      <c r="R230" s="251"/>
      <c r="S230" s="251"/>
      <c r="BD230" s="399">
        <v>227</v>
      </c>
      <c r="BE230" s="399" t="s">
        <v>1168</v>
      </c>
      <c r="BF230" s="251" t="s">
        <v>1169</v>
      </c>
      <c r="BG230" s="399" t="s">
        <v>363</v>
      </c>
      <c r="BH230" s="252" t="s">
        <v>364</v>
      </c>
      <c r="BI230" s="251" t="s">
        <v>357</v>
      </c>
      <c r="BJ230" s="251" t="s">
        <v>407</v>
      </c>
      <c r="BK230" s="251" t="s">
        <v>1170</v>
      </c>
      <c r="BL230" s="251" t="s">
        <v>368</v>
      </c>
      <c r="BQ230" s="27" t="s">
        <v>7899</v>
      </c>
      <c r="BR230" s="27" t="s">
        <v>7659</v>
      </c>
    </row>
    <row r="231" spans="2:70" ht="15">
      <c r="B231" s="84"/>
      <c r="D231" s="251" t="s">
        <v>9140</v>
      </c>
      <c r="E231" s="251" t="s">
        <v>9141</v>
      </c>
      <c r="F231" s="251" t="s">
        <v>9144</v>
      </c>
      <c r="G231" s="402" t="s">
        <v>9511</v>
      </c>
      <c r="R231" s="251"/>
      <c r="S231" s="251"/>
      <c r="BD231" s="399">
        <v>228</v>
      </c>
      <c r="BE231" s="399" t="s">
        <v>1171</v>
      </c>
      <c r="BF231" s="251" t="s">
        <v>1172</v>
      </c>
      <c r="BG231" s="399" t="s">
        <v>405</v>
      </c>
      <c r="BH231" s="252" t="s">
        <v>830</v>
      </c>
      <c r="BI231" s="251" t="s">
        <v>615</v>
      </c>
      <c r="BJ231" s="251" t="s">
        <v>539</v>
      </c>
      <c r="BK231" s="251" t="s">
        <v>1173</v>
      </c>
      <c r="BL231" s="251" t="s">
        <v>409</v>
      </c>
      <c r="BQ231" s="27" t="s">
        <v>7900</v>
      </c>
      <c r="BR231" s="27" t="s">
        <v>7661</v>
      </c>
    </row>
    <row r="232" spans="2:70" ht="15">
      <c r="B232" s="84"/>
      <c r="D232" s="251" t="s">
        <v>9140</v>
      </c>
      <c r="E232" s="251" t="s">
        <v>9141</v>
      </c>
      <c r="F232" s="251" t="s">
        <v>9145</v>
      </c>
      <c r="G232" s="402" t="s">
        <v>9512</v>
      </c>
      <c r="R232" s="251"/>
      <c r="S232" s="251"/>
      <c r="BD232" s="399">
        <v>229</v>
      </c>
      <c r="BE232" s="399" t="s">
        <v>1174</v>
      </c>
      <c r="BF232" s="251" t="s">
        <v>1175</v>
      </c>
      <c r="BG232" s="399" t="s">
        <v>590</v>
      </c>
      <c r="BH232" s="252">
        <v>44</v>
      </c>
      <c r="BI232" s="251" t="s">
        <v>477</v>
      </c>
      <c r="BJ232" s="251" t="s">
        <v>366</v>
      </c>
      <c r="BK232" s="251" t="s">
        <v>1176</v>
      </c>
      <c r="BL232" s="251" t="s">
        <v>592</v>
      </c>
      <c r="BQ232" s="27" t="s">
        <v>7901</v>
      </c>
      <c r="BR232" s="27" t="s">
        <v>7663</v>
      </c>
    </row>
    <row r="233" spans="2:70" ht="15">
      <c r="B233" s="84"/>
      <c r="D233" s="251" t="s">
        <v>9140</v>
      </c>
      <c r="E233" s="251" t="s">
        <v>9141</v>
      </c>
      <c r="F233" s="251" t="s">
        <v>9143</v>
      </c>
      <c r="G233" s="402" t="s">
        <v>9510</v>
      </c>
      <c r="R233" s="251"/>
      <c r="S233" s="251"/>
      <c r="BD233" s="399">
        <v>230</v>
      </c>
      <c r="BE233" s="399" t="s">
        <v>1177</v>
      </c>
      <c r="BF233" s="251" t="s">
        <v>1178</v>
      </c>
      <c r="BG233" s="399" t="s">
        <v>363</v>
      </c>
      <c r="BH233" s="252" t="s">
        <v>364</v>
      </c>
      <c r="BI233" s="251" t="s">
        <v>1179</v>
      </c>
      <c r="BJ233" s="251" t="s">
        <v>366</v>
      </c>
      <c r="BK233" s="251" t="s">
        <v>1180</v>
      </c>
      <c r="BL233" s="251" t="s">
        <v>368</v>
      </c>
      <c r="BQ233" s="27" t="s">
        <v>7664</v>
      </c>
      <c r="BR233" s="27" t="s">
        <v>7665</v>
      </c>
    </row>
    <row r="234" spans="2:70" ht="15">
      <c r="B234" s="84"/>
      <c r="D234" s="251" t="s">
        <v>9161</v>
      </c>
      <c r="E234" s="251" t="s">
        <v>9167</v>
      </c>
      <c r="F234" s="251" t="s">
        <v>9666</v>
      </c>
      <c r="G234" s="402" t="s">
        <v>9675</v>
      </c>
      <c r="R234" s="251"/>
      <c r="S234" s="251"/>
      <c r="BD234" s="399">
        <v>231</v>
      </c>
      <c r="BE234" s="399" t="s">
        <v>1181</v>
      </c>
      <c r="BF234" s="251" t="s">
        <v>1182</v>
      </c>
      <c r="BG234" s="399" t="s">
        <v>395</v>
      </c>
      <c r="BH234" s="252">
        <v>16</v>
      </c>
      <c r="BI234" s="251" t="s">
        <v>728</v>
      </c>
      <c r="BJ234" s="251" t="s">
        <v>1183</v>
      </c>
      <c r="BK234" s="251" t="s">
        <v>1184</v>
      </c>
      <c r="BL234" s="251" t="s">
        <v>399</v>
      </c>
      <c r="BQ234" s="27" t="s">
        <v>7902</v>
      </c>
      <c r="BR234" s="27" t="s">
        <v>7667</v>
      </c>
    </row>
    <row r="235" spans="2:70" ht="15">
      <c r="B235" s="84"/>
      <c r="D235" s="401" t="s">
        <v>9161</v>
      </c>
      <c r="E235" s="401" t="s">
        <v>9167</v>
      </c>
      <c r="F235" s="401" t="s">
        <v>9853</v>
      </c>
      <c r="G235" s="423" t="s">
        <v>9854</v>
      </c>
      <c r="R235" s="251"/>
      <c r="S235" s="251"/>
      <c r="BD235" s="399">
        <v>232</v>
      </c>
      <c r="BE235" s="399" t="s">
        <v>1185</v>
      </c>
      <c r="BF235" s="251" t="s">
        <v>1186</v>
      </c>
      <c r="BG235" s="399" t="s">
        <v>405</v>
      </c>
      <c r="BH235" s="252" t="s">
        <v>830</v>
      </c>
      <c r="BI235" s="251" t="s">
        <v>334</v>
      </c>
      <c r="BJ235" s="251" t="s">
        <v>351</v>
      </c>
      <c r="BK235" s="251" t="s">
        <v>1187</v>
      </c>
      <c r="BL235" s="251" t="s">
        <v>409</v>
      </c>
      <c r="BQ235" s="27" t="s">
        <v>7903</v>
      </c>
      <c r="BR235" s="27" t="s">
        <v>7669</v>
      </c>
    </row>
    <row r="236" spans="2:70" ht="15">
      <c r="B236" s="84"/>
      <c r="D236" s="251" t="s">
        <v>9161</v>
      </c>
      <c r="E236" s="251" t="s">
        <v>9167</v>
      </c>
      <c r="F236" s="251" t="s">
        <v>9171</v>
      </c>
      <c r="G236" s="402" t="s">
        <v>9521</v>
      </c>
      <c r="R236" s="251"/>
      <c r="S236" s="251"/>
      <c r="BD236" s="399">
        <v>233</v>
      </c>
      <c r="BE236" s="399" t="s">
        <v>1188</v>
      </c>
      <c r="BF236" s="251" t="s">
        <v>1189</v>
      </c>
      <c r="BG236" s="399" t="s">
        <v>378</v>
      </c>
      <c r="BH236" s="252">
        <v>11</v>
      </c>
      <c r="BI236" s="251" t="s">
        <v>365</v>
      </c>
      <c r="BJ236" s="251" t="s">
        <v>380</v>
      </c>
      <c r="BK236" s="251" t="s">
        <v>1190</v>
      </c>
      <c r="BL236" s="251" t="s">
        <v>382</v>
      </c>
      <c r="BQ236" s="27" t="s">
        <v>7904</v>
      </c>
      <c r="BR236" s="27" t="s">
        <v>7671</v>
      </c>
    </row>
    <row r="237" spans="2:70" ht="15">
      <c r="B237" s="84"/>
      <c r="D237" s="251" t="s">
        <v>9161</v>
      </c>
      <c r="E237" s="251" t="s">
        <v>9167</v>
      </c>
      <c r="F237" s="251" t="s">
        <v>9169</v>
      </c>
      <c r="G237" s="402" t="s">
        <v>9519</v>
      </c>
      <c r="R237" s="251"/>
      <c r="S237" s="251"/>
      <c r="BD237" s="399">
        <v>234</v>
      </c>
      <c r="BE237" s="399" t="s">
        <v>1191</v>
      </c>
      <c r="BF237" s="251" t="s">
        <v>1192</v>
      </c>
      <c r="BG237" s="399" t="s">
        <v>363</v>
      </c>
      <c r="BH237" s="252" t="s">
        <v>575</v>
      </c>
      <c r="BI237" s="251" t="s">
        <v>647</v>
      </c>
      <c r="BJ237" s="251" t="s">
        <v>390</v>
      </c>
      <c r="BK237" s="251" t="s">
        <v>1193</v>
      </c>
      <c r="BL237" s="251" t="s">
        <v>368</v>
      </c>
      <c r="BQ237" s="27" t="s">
        <v>7905</v>
      </c>
      <c r="BR237" s="27" t="s">
        <v>7325</v>
      </c>
    </row>
    <row r="238" spans="2:70" ht="15">
      <c r="B238" s="84"/>
      <c r="D238" s="251" t="s">
        <v>9161</v>
      </c>
      <c r="E238" s="251" t="s">
        <v>9167</v>
      </c>
      <c r="F238" s="251" t="s">
        <v>9168</v>
      </c>
      <c r="G238" s="402" t="s">
        <v>9518</v>
      </c>
      <c r="R238" s="251"/>
      <c r="S238" s="251"/>
      <c r="BD238" s="399">
        <v>235</v>
      </c>
      <c r="BE238" s="399" t="s">
        <v>1194</v>
      </c>
      <c r="BF238" s="251" t="s">
        <v>1195</v>
      </c>
      <c r="BG238" s="399" t="s">
        <v>378</v>
      </c>
      <c r="BH238" s="252">
        <v>11</v>
      </c>
      <c r="BI238" s="251" t="s">
        <v>333</v>
      </c>
      <c r="BJ238" s="251" t="s">
        <v>351</v>
      </c>
      <c r="BK238" s="251" t="s">
        <v>1196</v>
      </c>
      <c r="BL238" s="251" t="s">
        <v>382</v>
      </c>
      <c r="BQ238" s="27" t="s">
        <v>7906</v>
      </c>
      <c r="BR238" s="27" t="s">
        <v>7327</v>
      </c>
    </row>
    <row r="239" spans="2:70" ht="15">
      <c r="B239" s="84"/>
      <c r="D239" s="401" t="s">
        <v>9161</v>
      </c>
      <c r="E239" s="401" t="s">
        <v>9167</v>
      </c>
      <c r="F239" s="401" t="s">
        <v>9818</v>
      </c>
      <c r="G239" s="423" t="s">
        <v>9819</v>
      </c>
      <c r="R239" s="251"/>
      <c r="S239" s="251"/>
      <c r="BD239" s="399">
        <v>236</v>
      </c>
      <c r="BE239" s="399" t="s">
        <v>1197</v>
      </c>
      <c r="BF239" s="251" t="s">
        <v>1198</v>
      </c>
      <c r="BG239" s="399" t="s">
        <v>371</v>
      </c>
      <c r="BH239" s="252">
        <v>28</v>
      </c>
      <c r="BI239" s="251" t="s">
        <v>728</v>
      </c>
      <c r="BJ239" s="251" t="s">
        <v>366</v>
      </c>
      <c r="BK239" s="251" t="s">
        <v>1199</v>
      </c>
      <c r="BL239" s="251" t="s">
        <v>375</v>
      </c>
      <c r="BQ239" s="27" t="s">
        <v>7907</v>
      </c>
      <c r="BR239" s="27" t="s">
        <v>7333</v>
      </c>
    </row>
    <row r="240" spans="2:70" ht="15">
      <c r="B240" s="84"/>
      <c r="D240" s="251" t="s">
        <v>9161</v>
      </c>
      <c r="E240" s="251" t="s">
        <v>9167</v>
      </c>
      <c r="F240" s="251" t="s">
        <v>9173</v>
      </c>
      <c r="G240" s="402" t="s">
        <v>9523</v>
      </c>
      <c r="R240" s="251"/>
      <c r="S240" s="251"/>
      <c r="BD240" s="399">
        <v>237</v>
      </c>
      <c r="BE240" s="399" t="s">
        <v>1200</v>
      </c>
      <c r="BF240" s="251" t="s">
        <v>1201</v>
      </c>
      <c r="BG240" s="399" t="s">
        <v>475</v>
      </c>
      <c r="BH240" s="252" t="s">
        <v>534</v>
      </c>
      <c r="BI240" s="251" t="s">
        <v>728</v>
      </c>
      <c r="BJ240" s="251" t="s">
        <v>539</v>
      </c>
      <c r="BK240" s="251" t="s">
        <v>1202</v>
      </c>
      <c r="BL240" s="251" t="s">
        <v>479</v>
      </c>
      <c r="BQ240" s="27" t="s">
        <v>7908</v>
      </c>
      <c r="BR240" s="27" t="s">
        <v>7676</v>
      </c>
    </row>
    <row r="241" spans="2:70" ht="15">
      <c r="B241" s="84"/>
      <c r="D241" s="251" t="s">
        <v>9161</v>
      </c>
      <c r="E241" s="251" t="s">
        <v>9167</v>
      </c>
      <c r="F241" s="251" t="s">
        <v>9174</v>
      </c>
      <c r="G241" s="402" t="s">
        <v>9524</v>
      </c>
      <c r="R241" s="251"/>
      <c r="S241" s="251"/>
      <c r="BD241" s="399">
        <v>238</v>
      </c>
      <c r="BE241" s="399" t="s">
        <v>1203</v>
      </c>
      <c r="BF241" s="251" t="s">
        <v>1204</v>
      </c>
      <c r="BG241" s="399" t="s">
        <v>733</v>
      </c>
      <c r="BH241" s="252" t="s">
        <v>734</v>
      </c>
      <c r="BI241" s="251" t="s">
        <v>477</v>
      </c>
      <c r="BJ241" s="251" t="s">
        <v>390</v>
      </c>
      <c r="BK241" s="251" t="s">
        <v>1205</v>
      </c>
      <c r="BL241" s="251" t="s">
        <v>736</v>
      </c>
      <c r="BQ241" s="27" t="s">
        <v>7909</v>
      </c>
      <c r="BR241" s="27" t="s">
        <v>7678</v>
      </c>
    </row>
    <row r="242" spans="2:70" ht="15">
      <c r="B242" s="84"/>
      <c r="D242" s="251" t="s">
        <v>9161</v>
      </c>
      <c r="E242" s="251" t="s">
        <v>9167</v>
      </c>
      <c r="F242" s="251" t="s">
        <v>9170</v>
      </c>
      <c r="G242" s="402" t="s">
        <v>9520</v>
      </c>
      <c r="R242" s="251"/>
      <c r="S242" s="251"/>
      <c r="BD242" s="399">
        <v>239</v>
      </c>
      <c r="BE242" s="399" t="s">
        <v>1206</v>
      </c>
      <c r="BF242" s="251" t="s">
        <v>1207</v>
      </c>
      <c r="BG242" s="399" t="s">
        <v>733</v>
      </c>
      <c r="BH242" s="252">
        <v>42</v>
      </c>
      <c r="BI242" s="251" t="s">
        <v>357</v>
      </c>
      <c r="BJ242" s="251" t="s">
        <v>366</v>
      </c>
      <c r="BK242" s="251" t="s">
        <v>1208</v>
      </c>
      <c r="BL242" s="251" t="s">
        <v>736</v>
      </c>
      <c r="BQ242" s="27" t="s">
        <v>7910</v>
      </c>
      <c r="BR242" s="27" t="s">
        <v>7680</v>
      </c>
    </row>
    <row r="243" spans="2:70" ht="15">
      <c r="B243" s="84"/>
      <c r="D243" s="251" t="s">
        <v>9161</v>
      </c>
      <c r="E243" s="251" t="s">
        <v>9167</v>
      </c>
      <c r="F243" s="251" t="s">
        <v>9172</v>
      </c>
      <c r="G243" s="402" t="s">
        <v>9522</v>
      </c>
      <c r="R243" s="251"/>
      <c r="S243" s="251"/>
      <c r="BD243" s="399">
        <v>240</v>
      </c>
      <c r="BE243" s="399" t="s">
        <v>1209</v>
      </c>
      <c r="BF243" s="251" t="s">
        <v>1210</v>
      </c>
      <c r="BG243" s="399" t="s">
        <v>475</v>
      </c>
      <c r="BH243" s="252" t="s">
        <v>534</v>
      </c>
      <c r="BI243" s="251" t="s">
        <v>372</v>
      </c>
      <c r="BJ243" s="251" t="s">
        <v>373</v>
      </c>
      <c r="BK243" s="251" t="s">
        <v>1211</v>
      </c>
      <c r="BL243" s="251" t="s">
        <v>479</v>
      </c>
      <c r="BQ243" s="27" t="s">
        <v>7911</v>
      </c>
      <c r="BR243" s="27" t="s">
        <v>7438</v>
      </c>
    </row>
    <row r="244" spans="2:70" ht="15">
      <c r="B244" s="84"/>
      <c r="D244" s="401" t="s">
        <v>9161</v>
      </c>
      <c r="E244" s="401" t="s">
        <v>9167</v>
      </c>
      <c r="F244" s="401" t="s">
        <v>9851</v>
      </c>
      <c r="G244" s="423" t="s">
        <v>9852</v>
      </c>
      <c r="R244" s="251"/>
      <c r="S244" s="251"/>
      <c r="BD244" s="399">
        <v>241</v>
      </c>
      <c r="BE244" s="399" t="s">
        <v>1212</v>
      </c>
      <c r="BF244" s="251" t="s">
        <v>1213</v>
      </c>
      <c r="BG244" s="399" t="s">
        <v>363</v>
      </c>
      <c r="BH244" s="252" t="s">
        <v>364</v>
      </c>
      <c r="BI244" s="251" t="s">
        <v>333</v>
      </c>
      <c r="BJ244" s="251" t="s">
        <v>351</v>
      </c>
      <c r="BK244" s="251" t="s">
        <v>1214</v>
      </c>
      <c r="BL244" s="251" t="s">
        <v>368</v>
      </c>
      <c r="BQ244" s="27" t="s">
        <v>7912</v>
      </c>
      <c r="BR244" s="27" t="s">
        <v>7452</v>
      </c>
    </row>
    <row r="245" spans="2:70" ht="15">
      <c r="B245" s="84"/>
      <c r="D245" s="401" t="s">
        <v>9161</v>
      </c>
      <c r="E245" s="401" t="s">
        <v>9685</v>
      </c>
      <c r="F245" s="401" t="s">
        <v>9166</v>
      </c>
      <c r="G245" s="423" t="s">
        <v>9820</v>
      </c>
      <c r="R245" s="251"/>
      <c r="S245" s="251"/>
      <c r="BD245" s="399">
        <v>242</v>
      </c>
      <c r="BE245" s="399" t="s">
        <v>1215</v>
      </c>
      <c r="BF245" s="251" t="s">
        <v>1216</v>
      </c>
      <c r="BG245" s="399" t="s">
        <v>395</v>
      </c>
      <c r="BH245" s="252">
        <v>16</v>
      </c>
      <c r="BI245" s="251" t="s">
        <v>390</v>
      </c>
      <c r="BJ245" s="251" t="s">
        <v>407</v>
      </c>
      <c r="BK245" s="251" t="s">
        <v>1217</v>
      </c>
      <c r="BL245" s="251" t="s">
        <v>399</v>
      </c>
      <c r="BQ245" s="27" t="s">
        <v>7913</v>
      </c>
      <c r="BR245" s="27" t="s">
        <v>7462</v>
      </c>
    </row>
    <row r="246" spans="2:70" ht="15">
      <c r="B246" s="84"/>
      <c r="D246" s="401" t="s">
        <v>9161</v>
      </c>
      <c r="E246" s="401" t="s">
        <v>9685</v>
      </c>
      <c r="F246" s="401" t="s">
        <v>9821</v>
      </c>
      <c r="G246" s="423" t="s">
        <v>9822</v>
      </c>
      <c r="R246" s="251"/>
      <c r="S246" s="251"/>
      <c r="BD246" s="399">
        <v>243</v>
      </c>
      <c r="BE246" s="399" t="s">
        <v>1218</v>
      </c>
      <c r="BF246" s="251" t="s">
        <v>1219</v>
      </c>
      <c r="BG246" s="399" t="s">
        <v>423</v>
      </c>
      <c r="BH246" s="252" t="s">
        <v>424</v>
      </c>
      <c r="BI246" s="251" t="s">
        <v>332</v>
      </c>
      <c r="BJ246" s="251" t="s">
        <v>390</v>
      </c>
      <c r="BK246" s="251" t="s">
        <v>1220</v>
      </c>
      <c r="BL246" s="251" t="s">
        <v>426</v>
      </c>
      <c r="BQ246" s="27" t="s">
        <v>7914</v>
      </c>
      <c r="BR246" s="27" t="s">
        <v>7915</v>
      </c>
    </row>
    <row r="247" spans="2:70" ht="15">
      <c r="B247" s="84"/>
      <c r="D247" s="438" t="s">
        <v>9161</v>
      </c>
      <c r="E247" s="438" t="s">
        <v>9175</v>
      </c>
      <c r="F247" s="438" t="s">
        <v>9667</v>
      </c>
      <c r="G247" s="423" t="s">
        <v>9780</v>
      </c>
      <c r="R247" s="251"/>
      <c r="S247" s="251"/>
      <c r="BD247" s="399">
        <v>244</v>
      </c>
      <c r="BE247" s="399" t="s">
        <v>1221</v>
      </c>
      <c r="BF247" s="251" t="s">
        <v>1222</v>
      </c>
      <c r="BG247" s="399" t="s">
        <v>469</v>
      </c>
      <c r="BH247" s="252" t="s">
        <v>470</v>
      </c>
      <c r="BI247" s="251" t="s">
        <v>728</v>
      </c>
      <c r="BJ247" s="251" t="s">
        <v>390</v>
      </c>
      <c r="BK247" s="251" t="s">
        <v>1223</v>
      </c>
      <c r="BL247" s="251" t="s">
        <v>472</v>
      </c>
      <c r="BQ247" s="27" t="s">
        <v>7916</v>
      </c>
      <c r="BR247" s="27" t="s">
        <v>7917</v>
      </c>
    </row>
    <row r="248" spans="2:70" ht="15">
      <c r="B248" s="84"/>
      <c r="D248" s="251" t="s">
        <v>9161</v>
      </c>
      <c r="E248" s="251" t="s">
        <v>9175</v>
      </c>
      <c r="F248" s="251" t="s">
        <v>9177</v>
      </c>
      <c r="G248" s="402" t="s">
        <v>9526</v>
      </c>
      <c r="R248" s="251"/>
      <c r="S248" s="251"/>
      <c r="BD248" s="399">
        <v>245</v>
      </c>
      <c r="BE248" s="399" t="s">
        <v>1224</v>
      </c>
      <c r="BF248" s="251" t="s">
        <v>1225</v>
      </c>
      <c r="BG248" s="399" t="s">
        <v>389</v>
      </c>
      <c r="BH248" s="252">
        <v>39</v>
      </c>
      <c r="BI248" s="251" t="s">
        <v>445</v>
      </c>
      <c r="BJ248" s="251" t="s">
        <v>385</v>
      </c>
      <c r="BK248" s="251" t="s">
        <v>1226</v>
      </c>
      <c r="BL248" s="251" t="s">
        <v>392</v>
      </c>
      <c r="BQ248" s="27" t="s">
        <v>7918</v>
      </c>
      <c r="BR248" s="27" t="s">
        <v>7919</v>
      </c>
    </row>
    <row r="249" spans="2:70" ht="15">
      <c r="B249" s="84"/>
      <c r="D249" s="401" t="s">
        <v>9161</v>
      </c>
      <c r="E249" s="401" t="s">
        <v>9175</v>
      </c>
      <c r="F249" s="401" t="s">
        <v>9809</v>
      </c>
      <c r="G249" s="423" t="s">
        <v>9811</v>
      </c>
      <c r="R249" s="251"/>
      <c r="S249" s="251"/>
      <c r="BD249" s="399">
        <v>246</v>
      </c>
      <c r="BE249" s="399" t="s">
        <v>1227</v>
      </c>
      <c r="BF249" s="251" t="s">
        <v>1228</v>
      </c>
      <c r="BG249" s="399" t="s">
        <v>363</v>
      </c>
      <c r="BH249" s="252" t="s">
        <v>575</v>
      </c>
      <c r="BI249" s="251" t="s">
        <v>563</v>
      </c>
      <c r="BJ249" s="251" t="s">
        <v>380</v>
      </c>
      <c r="BK249" s="251" t="s">
        <v>1229</v>
      </c>
      <c r="BL249" s="251" t="s">
        <v>368</v>
      </c>
      <c r="BQ249" s="27" t="s">
        <v>7920</v>
      </c>
      <c r="BR249" s="27" t="s">
        <v>7921</v>
      </c>
    </row>
    <row r="250" spans="2:70" ht="15">
      <c r="B250" s="84"/>
      <c r="D250" s="436" t="s">
        <v>9161</v>
      </c>
      <c r="E250" s="436" t="s">
        <v>9175</v>
      </c>
      <c r="F250" s="436" t="s">
        <v>9179</v>
      </c>
      <c r="G250" s="402" t="s">
        <v>9528</v>
      </c>
      <c r="R250" s="251"/>
      <c r="S250" s="251"/>
      <c r="BD250" s="399">
        <v>247</v>
      </c>
      <c r="BE250" s="399" t="s">
        <v>1230</v>
      </c>
      <c r="BF250" s="251" t="s">
        <v>1231</v>
      </c>
      <c r="BG250" s="399" t="s">
        <v>395</v>
      </c>
      <c r="BH250" s="252">
        <v>16</v>
      </c>
      <c r="BI250" s="251" t="s">
        <v>477</v>
      </c>
      <c r="BJ250" s="251" t="s">
        <v>539</v>
      </c>
      <c r="BK250" s="251" t="s">
        <v>1232</v>
      </c>
      <c r="BL250" s="251" t="s">
        <v>399</v>
      </c>
      <c r="BQ250" s="27" t="s">
        <v>7922</v>
      </c>
      <c r="BR250" s="27" t="s">
        <v>7426</v>
      </c>
    </row>
    <row r="251" spans="2:70" ht="15">
      <c r="B251" s="84"/>
      <c r="D251" s="401" t="s">
        <v>9161</v>
      </c>
      <c r="E251" s="401" t="s">
        <v>9175</v>
      </c>
      <c r="F251" s="401" t="s">
        <v>9785</v>
      </c>
      <c r="G251" s="423" t="s">
        <v>9786</v>
      </c>
      <c r="R251" s="251"/>
      <c r="S251" s="251"/>
      <c r="BD251" s="399">
        <v>248</v>
      </c>
      <c r="BE251" s="399" t="s">
        <v>1233</v>
      </c>
      <c r="BF251" s="251" t="s">
        <v>1234</v>
      </c>
      <c r="BG251" s="399" t="s">
        <v>363</v>
      </c>
      <c r="BH251" s="252" t="s">
        <v>364</v>
      </c>
      <c r="BI251" s="251" t="s">
        <v>477</v>
      </c>
      <c r="BJ251" s="251" t="s">
        <v>385</v>
      </c>
      <c r="BK251" s="251" t="s">
        <v>1235</v>
      </c>
      <c r="BL251" s="251" t="s">
        <v>368</v>
      </c>
      <c r="BQ251" s="27" t="s">
        <v>7923</v>
      </c>
      <c r="BR251" s="27" t="s">
        <v>7924</v>
      </c>
    </row>
    <row r="252" spans="2:70" ht="15">
      <c r="B252" s="84"/>
      <c r="D252" s="251" t="s">
        <v>9161</v>
      </c>
      <c r="E252" s="251" t="s">
        <v>9175</v>
      </c>
      <c r="F252" s="251" t="s">
        <v>9181</v>
      </c>
      <c r="G252" s="402" t="s">
        <v>9530</v>
      </c>
      <c r="R252" s="251"/>
      <c r="S252" s="251"/>
      <c r="BD252" s="399">
        <v>249</v>
      </c>
      <c r="BE252" s="399" t="s">
        <v>1236</v>
      </c>
      <c r="BF252" s="251" t="s">
        <v>1237</v>
      </c>
      <c r="BG252" s="399" t="s">
        <v>0</v>
      </c>
      <c r="BH252" s="252">
        <v>48</v>
      </c>
      <c r="BI252" s="251" t="s">
        <v>334</v>
      </c>
      <c r="BJ252" s="251" t="s">
        <v>413</v>
      </c>
      <c r="BK252" s="251" t="s">
        <v>1238</v>
      </c>
      <c r="BL252" s="251" t="s">
        <v>818</v>
      </c>
      <c r="BQ252" s="27" t="s">
        <v>7925</v>
      </c>
      <c r="BR252" s="27" t="s">
        <v>7926</v>
      </c>
    </row>
    <row r="253" spans="2:70" ht="15">
      <c r="B253" s="84"/>
      <c r="D253" s="251" t="s">
        <v>9161</v>
      </c>
      <c r="E253" s="251" t="s">
        <v>9175</v>
      </c>
      <c r="F253" s="251" t="s">
        <v>9176</v>
      </c>
      <c r="G253" s="402" t="s">
        <v>9525</v>
      </c>
      <c r="R253" s="251"/>
      <c r="S253" s="251"/>
      <c r="BD253" s="399">
        <v>250</v>
      </c>
      <c r="BE253" s="399" t="s">
        <v>1239</v>
      </c>
      <c r="BF253" s="251" t="s">
        <v>1240</v>
      </c>
      <c r="BG253" s="399" t="s">
        <v>405</v>
      </c>
      <c r="BH253" s="252" t="s">
        <v>1241</v>
      </c>
      <c r="BI253" s="251" t="s">
        <v>524</v>
      </c>
      <c r="BJ253" s="251" t="s">
        <v>413</v>
      </c>
      <c r="BK253" s="251" t="s">
        <v>1242</v>
      </c>
      <c r="BL253" s="251" t="s">
        <v>409</v>
      </c>
      <c r="BQ253" s="27" t="s">
        <v>7927</v>
      </c>
      <c r="BR253" s="27" t="s">
        <v>7928</v>
      </c>
    </row>
    <row r="254" spans="2:70" ht="15">
      <c r="B254" s="84"/>
      <c r="D254" s="401" t="s">
        <v>9161</v>
      </c>
      <c r="E254" s="401" t="s">
        <v>9175</v>
      </c>
      <c r="F254" s="401" t="s">
        <v>9808</v>
      </c>
      <c r="G254" s="423" t="s">
        <v>9810</v>
      </c>
      <c r="R254" s="251"/>
      <c r="S254" s="251"/>
      <c r="BD254" s="399">
        <v>251</v>
      </c>
      <c r="BE254" s="399" t="s">
        <v>1243</v>
      </c>
      <c r="BF254" s="251" t="s">
        <v>1244</v>
      </c>
      <c r="BG254" s="399" t="s">
        <v>623</v>
      </c>
      <c r="BH254" s="252" t="s">
        <v>624</v>
      </c>
      <c r="BI254" s="251" t="s">
        <v>491</v>
      </c>
      <c r="BJ254" s="251" t="s">
        <v>380</v>
      </c>
      <c r="BK254" s="251" t="s">
        <v>1245</v>
      </c>
      <c r="BL254" s="251" t="s">
        <v>626</v>
      </c>
      <c r="BQ254" s="27" t="s">
        <v>7929</v>
      </c>
      <c r="BR254" s="27" t="s">
        <v>7930</v>
      </c>
    </row>
    <row r="255" spans="2:70" ht="15">
      <c r="B255" s="84"/>
      <c r="D255" s="438" t="s">
        <v>9161</v>
      </c>
      <c r="E255" s="438" t="s">
        <v>9175</v>
      </c>
      <c r="F255" s="438" t="s">
        <v>9735</v>
      </c>
      <c r="G255" s="423" t="s">
        <v>9736</v>
      </c>
      <c r="R255" s="251"/>
      <c r="S255" s="251"/>
      <c r="BD255" s="399">
        <v>252</v>
      </c>
      <c r="BE255" s="399" t="s">
        <v>1246</v>
      </c>
      <c r="BF255" s="251" t="s">
        <v>1247</v>
      </c>
      <c r="BG255" s="399" t="s">
        <v>363</v>
      </c>
      <c r="BH255" s="252" t="s">
        <v>364</v>
      </c>
      <c r="BI255" s="251" t="s">
        <v>332</v>
      </c>
      <c r="BJ255" s="251" t="s">
        <v>390</v>
      </c>
      <c r="BK255" s="251" t="s">
        <v>1248</v>
      </c>
      <c r="BL255" s="251" t="s">
        <v>368</v>
      </c>
      <c r="BQ255" s="27" t="s">
        <v>7931</v>
      </c>
      <c r="BR255" s="27" t="s">
        <v>7932</v>
      </c>
    </row>
    <row r="256" spans="2:70" ht="15">
      <c r="B256" s="84"/>
      <c r="D256" s="401" t="s">
        <v>9161</v>
      </c>
      <c r="E256" s="401" t="s">
        <v>9175</v>
      </c>
      <c r="F256" s="401" t="s">
        <v>9735</v>
      </c>
      <c r="G256" s="423" t="s">
        <v>9737</v>
      </c>
      <c r="R256" s="251"/>
      <c r="S256" s="251"/>
      <c r="BD256" s="399">
        <v>253</v>
      </c>
      <c r="BE256" s="399" t="s">
        <v>1249</v>
      </c>
      <c r="BF256" s="251" t="s">
        <v>1250</v>
      </c>
      <c r="BG256" s="399" t="s">
        <v>363</v>
      </c>
      <c r="BH256" s="252" t="s">
        <v>364</v>
      </c>
      <c r="BI256" s="251" t="s">
        <v>563</v>
      </c>
      <c r="BJ256" s="251" t="s">
        <v>351</v>
      </c>
      <c r="BK256" s="251" t="s">
        <v>1251</v>
      </c>
      <c r="BL256" s="251" t="s">
        <v>368</v>
      </c>
      <c r="BQ256" s="27" t="s">
        <v>7933</v>
      </c>
      <c r="BR256" s="27" t="s">
        <v>7934</v>
      </c>
    </row>
    <row r="257" spans="2:70" ht="15">
      <c r="B257" s="84"/>
      <c r="D257" s="251" t="s">
        <v>9161</v>
      </c>
      <c r="E257" s="251" t="s">
        <v>9175</v>
      </c>
      <c r="F257" s="251" t="s">
        <v>9807</v>
      </c>
      <c r="G257" s="402" t="s">
        <v>9806</v>
      </c>
      <c r="R257" s="251"/>
      <c r="S257" s="251"/>
      <c r="BD257" s="399">
        <v>254</v>
      </c>
      <c r="BE257" s="399" t="s">
        <v>1252</v>
      </c>
      <c r="BF257" s="251" t="s">
        <v>1253</v>
      </c>
      <c r="BG257" s="399" t="s">
        <v>378</v>
      </c>
      <c r="BH257" s="252">
        <v>11</v>
      </c>
      <c r="BI257" s="251" t="s">
        <v>615</v>
      </c>
      <c r="BJ257" s="251" t="s">
        <v>366</v>
      </c>
      <c r="BK257" s="251" t="s">
        <v>1254</v>
      </c>
      <c r="BL257" s="251" t="s">
        <v>382</v>
      </c>
      <c r="BQ257" s="27" t="s">
        <v>7935</v>
      </c>
      <c r="BR257" s="27" t="s">
        <v>7936</v>
      </c>
    </row>
    <row r="258" spans="2:70" ht="15">
      <c r="B258" s="84"/>
      <c r="D258" s="251" t="s">
        <v>9161</v>
      </c>
      <c r="E258" s="251" t="s">
        <v>9175</v>
      </c>
      <c r="F258" s="251" t="s">
        <v>9180</v>
      </c>
      <c r="G258" s="402" t="s">
        <v>9529</v>
      </c>
      <c r="R258" s="251"/>
      <c r="S258" s="251"/>
      <c r="BD258" s="399">
        <v>255</v>
      </c>
      <c r="BE258" s="399" t="s">
        <v>1255</v>
      </c>
      <c r="BF258" s="251" t="s">
        <v>1256</v>
      </c>
      <c r="BG258" s="399" t="s">
        <v>469</v>
      </c>
      <c r="BH258" s="252" t="s">
        <v>470</v>
      </c>
      <c r="BI258" s="251" t="s">
        <v>1257</v>
      </c>
      <c r="BJ258" s="251" t="s">
        <v>413</v>
      </c>
      <c r="BK258" s="251" t="s">
        <v>1258</v>
      </c>
      <c r="BL258" s="251" t="s">
        <v>472</v>
      </c>
      <c r="BQ258" s="27" t="s">
        <v>7937</v>
      </c>
      <c r="BR258" s="27" t="s">
        <v>7938</v>
      </c>
    </row>
    <row r="259" spans="2:70" ht="15">
      <c r="B259" s="84"/>
      <c r="D259" s="251" t="s">
        <v>9161</v>
      </c>
      <c r="E259" s="251" t="s">
        <v>9175</v>
      </c>
      <c r="F259" s="251" t="s">
        <v>9184</v>
      </c>
      <c r="G259" s="402" t="s">
        <v>9533</v>
      </c>
      <c r="R259" s="251"/>
      <c r="S259" s="251"/>
      <c r="BD259" s="399">
        <v>256</v>
      </c>
      <c r="BE259" s="399" t="s">
        <v>1259</v>
      </c>
      <c r="BF259" s="251" t="s">
        <v>1260</v>
      </c>
      <c r="BG259" s="399" t="s">
        <v>395</v>
      </c>
      <c r="BH259" s="252">
        <v>16</v>
      </c>
      <c r="BI259" s="251" t="s">
        <v>615</v>
      </c>
      <c r="BJ259" s="251" t="s">
        <v>366</v>
      </c>
      <c r="BK259" s="251" t="s">
        <v>1261</v>
      </c>
      <c r="BL259" s="251" t="s">
        <v>399</v>
      </c>
      <c r="BQ259" s="27" t="s">
        <v>7939</v>
      </c>
      <c r="BR259" s="27" t="s">
        <v>7940</v>
      </c>
    </row>
    <row r="260" spans="2:70" ht="15">
      <c r="B260" s="84"/>
      <c r="D260" s="251" t="s">
        <v>9161</v>
      </c>
      <c r="E260" s="251" t="s">
        <v>9175</v>
      </c>
      <c r="F260" s="251" t="s">
        <v>9186</v>
      </c>
      <c r="G260" s="402" t="s">
        <v>9535</v>
      </c>
      <c r="R260" s="251"/>
      <c r="S260" s="251"/>
      <c r="BD260" s="399">
        <v>257</v>
      </c>
      <c r="BE260" s="399" t="s">
        <v>1262</v>
      </c>
      <c r="BF260" s="251" t="s">
        <v>1263</v>
      </c>
      <c r="BG260" s="399" t="s">
        <v>549</v>
      </c>
      <c r="BH260" s="252">
        <v>41</v>
      </c>
      <c r="BI260" s="251" t="s">
        <v>331</v>
      </c>
      <c r="BJ260" s="251" t="s">
        <v>413</v>
      </c>
      <c r="BK260" s="251" t="s">
        <v>1264</v>
      </c>
      <c r="BL260" s="251" t="s">
        <v>551</v>
      </c>
      <c r="BQ260" s="27" t="s">
        <v>7941</v>
      </c>
      <c r="BR260" s="27" t="s">
        <v>7942</v>
      </c>
    </row>
    <row r="261" spans="2:70" ht="15">
      <c r="B261" s="84"/>
      <c r="D261" s="251" t="s">
        <v>9161</v>
      </c>
      <c r="E261" s="251" t="s">
        <v>9175</v>
      </c>
      <c r="F261" s="251" t="s">
        <v>9183</v>
      </c>
      <c r="G261" s="402" t="s">
        <v>9532</v>
      </c>
      <c r="R261" s="251"/>
      <c r="S261" s="251"/>
      <c r="BD261" s="399">
        <v>258</v>
      </c>
      <c r="BE261" s="399" t="s">
        <v>1265</v>
      </c>
      <c r="BF261" s="251" t="s">
        <v>1266</v>
      </c>
      <c r="BG261" s="399" t="s">
        <v>405</v>
      </c>
      <c r="BH261" s="252" t="s">
        <v>1267</v>
      </c>
      <c r="BI261" s="251" t="s">
        <v>333</v>
      </c>
      <c r="BJ261" s="251" t="s">
        <v>397</v>
      </c>
      <c r="BK261" s="251" t="s">
        <v>1268</v>
      </c>
      <c r="BL261" s="251" t="s">
        <v>409</v>
      </c>
      <c r="BQ261" s="27" t="s">
        <v>7943</v>
      </c>
      <c r="BR261" s="27" t="s">
        <v>7944</v>
      </c>
    </row>
    <row r="262" spans="2:70" ht="15">
      <c r="B262" s="84"/>
      <c r="D262" s="251" t="s">
        <v>9161</v>
      </c>
      <c r="E262" s="251" t="s">
        <v>9175</v>
      </c>
      <c r="F262" s="251" t="s">
        <v>9187</v>
      </c>
      <c r="G262" s="402" t="s">
        <v>9536</v>
      </c>
      <c r="R262" s="251"/>
      <c r="S262" s="251"/>
      <c r="BD262" s="399">
        <v>259</v>
      </c>
      <c r="BE262" s="399" t="s">
        <v>1269</v>
      </c>
      <c r="BF262" s="251" t="s">
        <v>1270</v>
      </c>
      <c r="BG262" s="399" t="s">
        <v>469</v>
      </c>
      <c r="BH262" s="252" t="s">
        <v>470</v>
      </c>
      <c r="BI262" s="251" t="s">
        <v>728</v>
      </c>
      <c r="BJ262" s="251" t="s">
        <v>366</v>
      </c>
      <c r="BK262" s="251" t="s">
        <v>1271</v>
      </c>
      <c r="BL262" s="251" t="s">
        <v>472</v>
      </c>
      <c r="BQ262" s="27" t="s">
        <v>7945</v>
      </c>
      <c r="BR262" s="27" t="s">
        <v>7946</v>
      </c>
    </row>
    <row r="263" spans="2:70" ht="15">
      <c r="B263" s="84"/>
      <c r="D263" s="251" t="s">
        <v>9161</v>
      </c>
      <c r="E263" s="251" t="s">
        <v>9175</v>
      </c>
      <c r="F263" s="251" t="s">
        <v>9185</v>
      </c>
      <c r="G263" s="402" t="s">
        <v>9534</v>
      </c>
      <c r="R263" s="251"/>
      <c r="S263" s="251"/>
      <c r="BD263" s="399">
        <v>260</v>
      </c>
      <c r="BE263" s="399" t="s">
        <v>1272</v>
      </c>
      <c r="BF263" s="251" t="s">
        <v>1273</v>
      </c>
      <c r="BG263" s="399" t="s">
        <v>435</v>
      </c>
      <c r="BH263" s="252" t="s">
        <v>1274</v>
      </c>
      <c r="BI263" s="251" t="s">
        <v>332</v>
      </c>
      <c r="BJ263" s="251" t="s">
        <v>380</v>
      </c>
      <c r="BK263" s="251" t="s">
        <v>1275</v>
      </c>
      <c r="BL263" s="251" t="s">
        <v>439</v>
      </c>
      <c r="BQ263" s="27" t="s">
        <v>7947</v>
      </c>
      <c r="BR263" s="27" t="s">
        <v>7948</v>
      </c>
    </row>
    <row r="264" spans="2:70" ht="15">
      <c r="B264" s="84"/>
      <c r="D264" s="438" t="s">
        <v>9161</v>
      </c>
      <c r="E264" s="438" t="s">
        <v>9175</v>
      </c>
      <c r="F264" s="438" t="s">
        <v>9805</v>
      </c>
      <c r="G264" s="423" t="s">
        <v>9804</v>
      </c>
      <c r="R264" s="251"/>
      <c r="S264" s="251"/>
      <c r="BD264" s="399">
        <v>261</v>
      </c>
      <c r="BE264" s="399" t="s">
        <v>1276</v>
      </c>
      <c r="BF264" s="251" t="s">
        <v>1277</v>
      </c>
      <c r="BG264" s="399">
        <v>52</v>
      </c>
      <c r="BH264" s="252">
        <v>52</v>
      </c>
      <c r="BI264" s="251" t="s">
        <v>445</v>
      </c>
      <c r="BJ264" s="251" t="s">
        <v>351</v>
      </c>
      <c r="BK264" s="251" t="s">
        <v>1278</v>
      </c>
      <c r="BL264" s="251" t="s">
        <v>1121</v>
      </c>
      <c r="BQ264" s="27" t="s">
        <v>7949</v>
      </c>
      <c r="BR264" s="27" t="s">
        <v>7950</v>
      </c>
    </row>
    <row r="265" spans="2:70" ht="15">
      <c r="B265" s="84"/>
      <c r="D265" s="439" t="s">
        <v>9161</v>
      </c>
      <c r="E265" s="440" t="s">
        <v>9175</v>
      </c>
      <c r="F265" s="440" t="s">
        <v>9182</v>
      </c>
      <c r="G265" s="402" t="s">
        <v>9531</v>
      </c>
      <c r="R265" s="251"/>
      <c r="S265" s="251"/>
      <c r="BD265" s="399">
        <v>262</v>
      </c>
      <c r="BE265" s="399" t="s">
        <v>1279</v>
      </c>
      <c r="BF265" s="251" t="s">
        <v>1280</v>
      </c>
      <c r="BG265" s="399" t="s">
        <v>489</v>
      </c>
      <c r="BH265" s="252" t="s">
        <v>958</v>
      </c>
      <c r="BI265" s="251" t="s">
        <v>365</v>
      </c>
      <c r="BJ265" s="251" t="s">
        <v>539</v>
      </c>
      <c r="BK265" s="251" t="s">
        <v>1281</v>
      </c>
      <c r="BL265" s="251" t="s">
        <v>493</v>
      </c>
      <c r="BQ265" s="27" t="s">
        <v>7951</v>
      </c>
      <c r="BR265" s="27" t="s">
        <v>7952</v>
      </c>
    </row>
    <row r="266" spans="2:70" ht="15">
      <c r="B266" s="84"/>
      <c r="D266" s="251" t="s">
        <v>9161</v>
      </c>
      <c r="E266" s="251" t="s">
        <v>9175</v>
      </c>
      <c r="F266" s="251" t="s">
        <v>9178</v>
      </c>
      <c r="G266" s="402" t="s">
        <v>9527</v>
      </c>
      <c r="R266" s="251"/>
      <c r="S266" s="251"/>
      <c r="BD266" s="399">
        <v>263</v>
      </c>
      <c r="BE266" s="399" t="s">
        <v>1282</v>
      </c>
      <c r="BF266" s="251" t="s">
        <v>1283</v>
      </c>
      <c r="BG266" s="399" t="s">
        <v>395</v>
      </c>
      <c r="BH266" s="252">
        <v>16</v>
      </c>
      <c r="BI266" s="251" t="s">
        <v>334</v>
      </c>
      <c r="BJ266" s="251" t="s">
        <v>390</v>
      </c>
      <c r="BK266" s="251" t="s">
        <v>1284</v>
      </c>
      <c r="BL266" s="251" t="s">
        <v>399</v>
      </c>
      <c r="BQ266" s="27" t="s">
        <v>7953</v>
      </c>
      <c r="BR266" s="27" t="s">
        <v>7954</v>
      </c>
    </row>
    <row r="267" spans="2:70" ht="15">
      <c r="B267" s="84"/>
      <c r="D267" s="401" t="s">
        <v>9161</v>
      </c>
      <c r="E267" s="401" t="s">
        <v>9175</v>
      </c>
      <c r="F267" s="401" t="s">
        <v>9165</v>
      </c>
      <c r="G267" s="423" t="s">
        <v>9815</v>
      </c>
      <c r="R267" s="251"/>
      <c r="S267" s="251"/>
      <c r="BD267" s="399">
        <v>264</v>
      </c>
      <c r="BE267" s="399" t="s">
        <v>1285</v>
      </c>
      <c r="BF267" s="251" t="s">
        <v>1286</v>
      </c>
      <c r="BG267" s="399" t="s">
        <v>435</v>
      </c>
      <c r="BH267" s="252" t="s">
        <v>436</v>
      </c>
      <c r="BI267" s="251" t="s">
        <v>350</v>
      </c>
      <c r="BJ267" s="251" t="s">
        <v>397</v>
      </c>
      <c r="BK267" s="251" t="s">
        <v>1287</v>
      </c>
      <c r="BL267" s="251" t="s">
        <v>439</v>
      </c>
      <c r="BQ267" s="27" t="s">
        <v>7955</v>
      </c>
      <c r="BR267" s="27" t="s">
        <v>7956</v>
      </c>
    </row>
    <row r="268" spans="2:70" ht="15">
      <c r="B268" s="84"/>
      <c r="D268" s="251" t="s">
        <v>9161</v>
      </c>
      <c r="E268" s="251" t="s">
        <v>16</v>
      </c>
      <c r="F268" s="251" t="s">
        <v>9188</v>
      </c>
      <c r="G268" s="402" t="s">
        <v>9812</v>
      </c>
      <c r="R268" s="251"/>
      <c r="S268" s="251"/>
      <c r="BD268" s="399">
        <v>265</v>
      </c>
      <c r="BE268" s="399" t="s">
        <v>1288</v>
      </c>
      <c r="BF268" s="251" t="s">
        <v>1289</v>
      </c>
      <c r="BG268" s="399" t="s">
        <v>739</v>
      </c>
      <c r="BH268" s="252">
        <v>45</v>
      </c>
      <c r="BI268" s="251" t="s">
        <v>379</v>
      </c>
      <c r="BJ268" s="251" t="s">
        <v>366</v>
      </c>
      <c r="BK268" s="251" t="s">
        <v>1290</v>
      </c>
      <c r="BL268" s="251" t="s">
        <v>742</v>
      </c>
      <c r="BQ268" s="27" t="s">
        <v>7957</v>
      </c>
      <c r="BR268" s="27" t="s">
        <v>7958</v>
      </c>
    </row>
    <row r="269" spans="2:70" ht="15">
      <c r="B269" s="84"/>
      <c r="D269" s="251" t="s">
        <v>9161</v>
      </c>
      <c r="E269" s="251" t="s">
        <v>16</v>
      </c>
      <c r="F269" s="251" t="s">
        <v>9190</v>
      </c>
      <c r="G269" s="402" t="s">
        <v>9538</v>
      </c>
      <c r="R269" s="251"/>
      <c r="S269" s="251"/>
      <c r="BD269" s="399">
        <v>266</v>
      </c>
      <c r="BE269" s="399" t="s">
        <v>1291</v>
      </c>
      <c r="BF269" s="251" t="s">
        <v>1292</v>
      </c>
      <c r="BG269" s="399" t="s">
        <v>423</v>
      </c>
      <c r="BH269" s="252" t="s">
        <v>424</v>
      </c>
      <c r="BI269" s="251" t="s">
        <v>445</v>
      </c>
      <c r="BJ269" s="251" t="s">
        <v>390</v>
      </c>
      <c r="BK269" s="251" t="s">
        <v>1293</v>
      </c>
      <c r="BL269" s="251" t="s">
        <v>426</v>
      </c>
      <c r="BQ269" s="27" t="s">
        <v>7959</v>
      </c>
      <c r="BR269" s="27" t="s">
        <v>7960</v>
      </c>
    </row>
    <row r="270" spans="2:70" ht="15">
      <c r="B270" s="84"/>
      <c r="D270" s="251" t="s">
        <v>9161</v>
      </c>
      <c r="E270" s="251" t="s">
        <v>16</v>
      </c>
      <c r="F270" s="251" t="s">
        <v>9189</v>
      </c>
      <c r="G270" s="402" t="s">
        <v>9537</v>
      </c>
      <c r="R270" s="251"/>
      <c r="S270" s="251"/>
      <c r="BD270" s="399">
        <v>267</v>
      </c>
      <c r="BE270" s="399" t="s">
        <v>1294</v>
      </c>
      <c r="BF270" s="251" t="s">
        <v>138</v>
      </c>
      <c r="BG270" s="399" t="s">
        <v>405</v>
      </c>
      <c r="BH270" s="252" t="s">
        <v>412</v>
      </c>
      <c r="BI270" s="251" t="s">
        <v>1295</v>
      </c>
      <c r="BJ270" s="251" t="s">
        <v>1296</v>
      </c>
      <c r="BK270" s="251" t="s">
        <v>1297</v>
      </c>
      <c r="BL270" s="251" t="s">
        <v>409</v>
      </c>
      <c r="BQ270" s="27" t="s">
        <v>7961</v>
      </c>
      <c r="BR270" s="27" t="s">
        <v>7962</v>
      </c>
    </row>
    <row r="271" spans="2:70" ht="15">
      <c r="B271" s="84"/>
      <c r="D271" s="401" t="s">
        <v>9161</v>
      </c>
      <c r="E271" s="401" t="s">
        <v>9793</v>
      </c>
      <c r="F271" s="401" t="s">
        <v>9166</v>
      </c>
      <c r="G271" s="423" t="s">
        <v>9794</v>
      </c>
      <c r="R271" s="251"/>
      <c r="S271" s="251"/>
      <c r="BD271" s="399">
        <v>268</v>
      </c>
      <c r="BE271" s="399" t="s">
        <v>1298</v>
      </c>
      <c r="BF271" s="251" t="s">
        <v>1299</v>
      </c>
      <c r="BG271" s="399" t="s">
        <v>455</v>
      </c>
      <c r="BH271" s="252">
        <v>35</v>
      </c>
      <c r="BI271" s="251" t="s">
        <v>450</v>
      </c>
      <c r="BJ271" s="251" t="s">
        <v>380</v>
      </c>
      <c r="BK271" s="251" t="s">
        <v>1300</v>
      </c>
      <c r="BL271" s="251" t="s">
        <v>458</v>
      </c>
      <c r="BQ271" s="27" t="s">
        <v>7963</v>
      </c>
      <c r="BR271" s="27" t="s">
        <v>7964</v>
      </c>
    </row>
    <row r="272" spans="2:70" ht="15">
      <c r="B272" s="84"/>
      <c r="D272" s="401" t="s">
        <v>9161</v>
      </c>
      <c r="E272" s="401" t="s">
        <v>9793</v>
      </c>
      <c r="F272" s="401" t="s">
        <v>9813</v>
      </c>
      <c r="G272" s="423" t="s">
        <v>9816</v>
      </c>
      <c r="R272" s="251"/>
      <c r="S272" s="251"/>
      <c r="BD272" s="399">
        <v>269</v>
      </c>
      <c r="BE272" s="399" t="s">
        <v>1301</v>
      </c>
      <c r="BF272" s="251" t="s">
        <v>1302</v>
      </c>
      <c r="BG272" s="399" t="s">
        <v>566</v>
      </c>
      <c r="BH272" s="252" t="s">
        <v>567</v>
      </c>
      <c r="BI272" s="251" t="s">
        <v>477</v>
      </c>
      <c r="BJ272" s="251" t="s">
        <v>539</v>
      </c>
      <c r="BK272" s="251" t="s">
        <v>1303</v>
      </c>
      <c r="BL272" s="251" t="s">
        <v>569</v>
      </c>
      <c r="BQ272" s="27" t="s">
        <v>7965</v>
      </c>
      <c r="BR272" s="27" t="s">
        <v>7966</v>
      </c>
    </row>
    <row r="273" spans="2:70" ht="15">
      <c r="B273" s="84"/>
      <c r="D273" s="401" t="s">
        <v>9161</v>
      </c>
      <c r="E273" s="401" t="s">
        <v>9793</v>
      </c>
      <c r="F273" s="401" t="s">
        <v>9802</v>
      </c>
      <c r="G273" s="423" t="s">
        <v>9796</v>
      </c>
      <c r="R273" s="251"/>
      <c r="S273" s="251"/>
      <c r="BD273" s="399">
        <v>270</v>
      </c>
      <c r="BE273" s="399" t="s">
        <v>1304</v>
      </c>
      <c r="BF273" s="251" t="s">
        <v>1305</v>
      </c>
      <c r="BG273" s="399" t="s">
        <v>566</v>
      </c>
      <c r="BH273" s="252" t="s">
        <v>567</v>
      </c>
      <c r="BI273" s="251" t="s">
        <v>477</v>
      </c>
      <c r="BJ273" s="251" t="s">
        <v>366</v>
      </c>
      <c r="BK273" s="251" t="s">
        <v>1306</v>
      </c>
      <c r="BL273" s="251" t="s">
        <v>569</v>
      </c>
      <c r="BQ273" s="27" t="s">
        <v>7967</v>
      </c>
      <c r="BR273" s="27" t="s">
        <v>7968</v>
      </c>
    </row>
    <row r="274" spans="2:70" ht="15">
      <c r="B274" s="84"/>
      <c r="D274" s="401" t="s">
        <v>9161</v>
      </c>
      <c r="E274" s="401" t="s">
        <v>9793</v>
      </c>
      <c r="F274" s="401" t="s">
        <v>9791</v>
      </c>
      <c r="G274" s="423" t="s">
        <v>9798</v>
      </c>
      <c r="R274" s="251"/>
      <c r="S274" s="251"/>
      <c r="BD274" s="399">
        <v>271</v>
      </c>
      <c r="BE274" s="399" t="s">
        <v>1307</v>
      </c>
      <c r="BF274" s="251" t="s">
        <v>40</v>
      </c>
      <c r="BG274" s="399" t="s">
        <v>405</v>
      </c>
      <c r="BH274" s="252" t="s">
        <v>643</v>
      </c>
      <c r="BI274" s="251" t="s">
        <v>332</v>
      </c>
      <c r="BJ274" s="251" t="s">
        <v>351</v>
      </c>
      <c r="BK274" s="251" t="s">
        <v>1308</v>
      </c>
      <c r="BL274" s="251" t="s">
        <v>409</v>
      </c>
      <c r="BQ274" s="27" t="s">
        <v>7969</v>
      </c>
      <c r="BR274" s="27" t="s">
        <v>7970</v>
      </c>
    </row>
    <row r="275" spans="2:70" ht="15">
      <c r="B275" s="84"/>
      <c r="D275" s="401" t="s">
        <v>9161</v>
      </c>
      <c r="E275" s="401" t="s">
        <v>9793</v>
      </c>
      <c r="F275" s="401" t="s">
        <v>9824</v>
      </c>
      <c r="G275" s="423" t="s">
        <v>9823</v>
      </c>
      <c r="R275" s="251"/>
      <c r="S275" s="251"/>
      <c r="BD275" s="399">
        <v>272</v>
      </c>
      <c r="BE275" s="399" t="s">
        <v>1309</v>
      </c>
      <c r="BF275" s="251" t="s">
        <v>1310</v>
      </c>
      <c r="BG275" s="399" t="s">
        <v>623</v>
      </c>
      <c r="BH275" s="252">
        <v>40</v>
      </c>
      <c r="BI275" s="251" t="s">
        <v>615</v>
      </c>
      <c r="BJ275" s="251" t="s">
        <v>351</v>
      </c>
      <c r="BK275" s="251" t="s">
        <v>1311</v>
      </c>
      <c r="BL275" s="251" t="s">
        <v>626</v>
      </c>
      <c r="BQ275" s="27" t="s">
        <v>7971</v>
      </c>
      <c r="BR275" s="27" t="s">
        <v>7972</v>
      </c>
    </row>
    <row r="276" spans="2:70" ht="15">
      <c r="B276" s="84"/>
      <c r="D276" s="438" t="s">
        <v>9161</v>
      </c>
      <c r="E276" s="438" t="s">
        <v>9793</v>
      </c>
      <c r="F276" s="438" t="s">
        <v>9803</v>
      </c>
      <c r="G276" s="423" t="s">
        <v>9799</v>
      </c>
      <c r="R276" s="251"/>
      <c r="S276" s="251"/>
      <c r="BD276" s="399">
        <v>273</v>
      </c>
      <c r="BE276" s="399" t="s">
        <v>1312</v>
      </c>
      <c r="BF276" s="251" t="s">
        <v>1313</v>
      </c>
      <c r="BG276" s="399" t="s">
        <v>371</v>
      </c>
      <c r="BH276" s="252">
        <v>28</v>
      </c>
      <c r="BI276" s="251" t="s">
        <v>357</v>
      </c>
      <c r="BJ276" s="251" t="s">
        <v>380</v>
      </c>
      <c r="BK276" s="251" t="s">
        <v>1314</v>
      </c>
      <c r="BL276" s="251" t="s">
        <v>375</v>
      </c>
      <c r="BQ276" s="27" t="s">
        <v>7973</v>
      </c>
      <c r="BR276" s="27" t="s">
        <v>7974</v>
      </c>
    </row>
    <row r="277" spans="2:70" ht="15">
      <c r="B277" s="84"/>
      <c r="D277" s="438" t="s">
        <v>9161</v>
      </c>
      <c r="E277" s="438" t="s">
        <v>9793</v>
      </c>
      <c r="F277" s="438" t="s">
        <v>9825</v>
      </c>
      <c r="G277" s="423" t="s">
        <v>9797</v>
      </c>
      <c r="R277" s="251"/>
      <c r="S277" s="251"/>
      <c r="BD277" s="399">
        <v>274</v>
      </c>
      <c r="BE277" s="399" t="s">
        <v>1315</v>
      </c>
      <c r="BF277" s="251" t="s">
        <v>1316</v>
      </c>
      <c r="BG277" s="399" t="s">
        <v>423</v>
      </c>
      <c r="BH277" s="252" t="s">
        <v>1317</v>
      </c>
      <c r="BI277" s="251" t="s">
        <v>1318</v>
      </c>
      <c r="BJ277" s="251" t="s">
        <v>407</v>
      </c>
      <c r="BK277" s="251" t="s">
        <v>1319</v>
      </c>
      <c r="BL277" s="251" t="s">
        <v>426</v>
      </c>
      <c r="BQ277" s="27" t="s">
        <v>7975</v>
      </c>
      <c r="BR277" s="27" t="s">
        <v>7976</v>
      </c>
    </row>
    <row r="278" spans="2:70" ht="15">
      <c r="B278" s="84"/>
      <c r="D278" s="401" t="s">
        <v>9161</v>
      </c>
      <c r="E278" s="401" t="s">
        <v>9793</v>
      </c>
      <c r="F278" s="401" t="s">
        <v>9164</v>
      </c>
      <c r="G278" s="423" t="s">
        <v>9795</v>
      </c>
      <c r="R278" s="251"/>
      <c r="S278" s="251"/>
      <c r="BD278" s="399">
        <v>275</v>
      </c>
      <c r="BE278" s="399" t="s">
        <v>1320</v>
      </c>
      <c r="BF278" s="251" t="s">
        <v>1321</v>
      </c>
      <c r="BG278" s="399" t="s">
        <v>423</v>
      </c>
      <c r="BH278" s="252" t="s">
        <v>424</v>
      </c>
      <c r="BI278" s="251" t="s">
        <v>740</v>
      </c>
      <c r="BJ278" s="251" t="s">
        <v>413</v>
      </c>
      <c r="BK278" s="251" t="s">
        <v>1322</v>
      </c>
      <c r="BL278" s="251" t="s">
        <v>426</v>
      </c>
      <c r="BQ278" s="27" t="s">
        <v>7977</v>
      </c>
      <c r="BR278" s="27" t="s">
        <v>7978</v>
      </c>
    </row>
    <row r="279" spans="2:70" ht="15">
      <c r="B279" s="84"/>
      <c r="D279" s="401" t="s">
        <v>9161</v>
      </c>
      <c r="E279" s="401" t="s">
        <v>9793</v>
      </c>
      <c r="F279" s="401" t="s">
        <v>9801</v>
      </c>
      <c r="G279" s="423" t="s">
        <v>9833</v>
      </c>
      <c r="R279" s="251"/>
      <c r="S279" s="251"/>
      <c r="BD279" s="399">
        <v>276</v>
      </c>
      <c r="BE279" s="399" t="s">
        <v>1323</v>
      </c>
      <c r="BF279" s="251" t="s">
        <v>1324</v>
      </c>
      <c r="BG279" s="399">
        <v>54</v>
      </c>
      <c r="BH279" s="252">
        <v>54</v>
      </c>
      <c r="BI279" s="251" t="s">
        <v>450</v>
      </c>
      <c r="BJ279" s="251" t="s">
        <v>407</v>
      </c>
      <c r="BK279" s="251" t="s">
        <v>1325</v>
      </c>
      <c r="BL279" s="251" t="s">
        <v>930</v>
      </c>
      <c r="BQ279" s="27" t="s">
        <v>7979</v>
      </c>
      <c r="BR279" s="27" t="s">
        <v>7980</v>
      </c>
    </row>
    <row r="280" spans="2:70" ht="15">
      <c r="B280" s="84"/>
      <c r="D280" s="401" t="s">
        <v>9161</v>
      </c>
      <c r="E280" s="401" t="s">
        <v>9793</v>
      </c>
      <c r="F280" s="401" t="s">
        <v>9814</v>
      </c>
      <c r="G280" s="423" t="s">
        <v>9817</v>
      </c>
      <c r="R280" s="251"/>
      <c r="S280" s="251"/>
      <c r="BD280" s="399">
        <v>277</v>
      </c>
      <c r="BE280" s="399" t="s">
        <v>1326</v>
      </c>
      <c r="BF280" s="251" t="s">
        <v>1327</v>
      </c>
      <c r="BG280" s="399" t="s">
        <v>489</v>
      </c>
      <c r="BH280" s="252" t="s">
        <v>958</v>
      </c>
      <c r="BI280" s="251" t="s">
        <v>798</v>
      </c>
      <c r="BJ280" s="251" t="s">
        <v>413</v>
      </c>
      <c r="BK280" s="251" t="s">
        <v>1328</v>
      </c>
      <c r="BL280" s="251" t="s">
        <v>493</v>
      </c>
      <c r="BQ280" s="27" t="s">
        <v>7981</v>
      </c>
      <c r="BR280" s="27" t="s">
        <v>7982</v>
      </c>
    </row>
    <row r="281" spans="2:70" ht="15">
      <c r="B281" s="84"/>
      <c r="D281" s="401" t="s">
        <v>9161</v>
      </c>
      <c r="E281" s="401" t="s">
        <v>9793</v>
      </c>
      <c r="F281" s="401" t="s">
        <v>9792</v>
      </c>
      <c r="G281" s="423" t="s">
        <v>9800</v>
      </c>
      <c r="R281" s="251"/>
      <c r="S281" s="251"/>
      <c r="BD281" s="399">
        <v>278</v>
      </c>
      <c r="BE281" s="399" t="s">
        <v>1329</v>
      </c>
      <c r="BF281" s="251" t="s">
        <v>1330</v>
      </c>
      <c r="BG281" s="399" t="s">
        <v>395</v>
      </c>
      <c r="BH281" s="252">
        <v>16</v>
      </c>
      <c r="BI281" s="251" t="s">
        <v>635</v>
      </c>
      <c r="BJ281" s="251" t="s">
        <v>413</v>
      </c>
      <c r="BK281" s="251" t="s">
        <v>1331</v>
      </c>
      <c r="BL281" s="251" t="s">
        <v>399</v>
      </c>
      <c r="BQ281" s="27" t="s">
        <v>7983</v>
      </c>
      <c r="BR281" s="27" t="s">
        <v>7984</v>
      </c>
    </row>
    <row r="282" spans="2:70" ht="15">
      <c r="B282" s="84"/>
      <c r="D282" s="401" t="s">
        <v>9161</v>
      </c>
      <c r="E282" s="401" t="s">
        <v>9162</v>
      </c>
      <c r="F282" s="423" t="s">
        <v>9787</v>
      </c>
      <c r="G282" s="423" t="s">
        <v>9787</v>
      </c>
      <c r="R282" s="251"/>
      <c r="S282" s="251"/>
      <c r="BD282" s="399">
        <v>279</v>
      </c>
      <c r="BE282" s="399" t="s">
        <v>1332</v>
      </c>
      <c r="BF282" s="251" t="s">
        <v>1333</v>
      </c>
      <c r="BG282" s="399" t="s">
        <v>349</v>
      </c>
      <c r="BH282" s="252">
        <v>17</v>
      </c>
      <c r="BI282" s="251" t="s">
        <v>615</v>
      </c>
      <c r="BJ282" s="251" t="s">
        <v>407</v>
      </c>
      <c r="BK282" s="251" t="s">
        <v>1334</v>
      </c>
      <c r="BL282" s="251" t="s">
        <v>353</v>
      </c>
      <c r="BQ282" s="27" t="s">
        <v>7985</v>
      </c>
      <c r="BR282" s="27" t="s">
        <v>7986</v>
      </c>
    </row>
    <row r="283" spans="2:70" ht="15">
      <c r="B283" s="84"/>
      <c r="D283" s="251" t="s">
        <v>9125</v>
      </c>
      <c r="E283" s="251" t="s">
        <v>9339</v>
      </c>
      <c r="F283" s="251" t="s">
        <v>9342</v>
      </c>
      <c r="G283" s="402" t="s">
        <v>9542</v>
      </c>
      <c r="R283" s="251"/>
      <c r="S283" s="251"/>
      <c r="BD283" s="399">
        <v>280</v>
      </c>
      <c r="BE283" s="399" t="s">
        <v>1335</v>
      </c>
      <c r="BF283" s="251" t="s">
        <v>1336</v>
      </c>
      <c r="BG283" s="399" t="s">
        <v>356</v>
      </c>
      <c r="BH283" s="252">
        <v>18</v>
      </c>
      <c r="BI283" s="251" t="s">
        <v>450</v>
      </c>
      <c r="BJ283" s="251" t="s">
        <v>397</v>
      </c>
      <c r="BK283" s="251" t="s">
        <v>1337</v>
      </c>
      <c r="BL283" s="251" t="s">
        <v>360</v>
      </c>
      <c r="BQ283" s="27" t="s">
        <v>7987</v>
      </c>
      <c r="BR283" s="27" t="s">
        <v>7988</v>
      </c>
    </row>
    <row r="284" spans="2:70" ht="15">
      <c r="B284" s="84"/>
      <c r="D284" s="251" t="s">
        <v>9125</v>
      </c>
      <c r="E284" s="251" t="s">
        <v>9339</v>
      </c>
      <c r="F284" s="251" t="s">
        <v>9343</v>
      </c>
      <c r="G284" s="402" t="s">
        <v>9539</v>
      </c>
      <c r="R284" s="251"/>
      <c r="S284" s="251"/>
      <c r="BD284" s="399">
        <v>281</v>
      </c>
      <c r="BE284" s="399" t="s">
        <v>1338</v>
      </c>
      <c r="BF284" s="251" t="s">
        <v>1339</v>
      </c>
      <c r="BG284" s="399" t="s">
        <v>423</v>
      </c>
      <c r="BH284" s="252" t="s">
        <v>424</v>
      </c>
      <c r="BI284" s="251" t="s">
        <v>728</v>
      </c>
      <c r="BJ284" s="251" t="s">
        <v>390</v>
      </c>
      <c r="BK284" s="251" t="s">
        <v>1340</v>
      </c>
      <c r="BL284" s="251" t="s">
        <v>426</v>
      </c>
      <c r="BQ284" s="27" t="s">
        <v>7989</v>
      </c>
      <c r="BR284" s="27" t="s">
        <v>7990</v>
      </c>
    </row>
    <row r="285" spans="2:70" ht="15">
      <c r="B285" s="84"/>
      <c r="D285" s="251" t="s">
        <v>9125</v>
      </c>
      <c r="E285" s="251" t="s">
        <v>9339</v>
      </c>
      <c r="F285" s="251" t="s">
        <v>9340</v>
      </c>
      <c r="G285" s="402" t="s">
        <v>9540</v>
      </c>
      <c r="R285" s="251"/>
      <c r="S285" s="251"/>
      <c r="BD285" s="399">
        <v>282</v>
      </c>
      <c r="BE285" s="399" t="s">
        <v>1341</v>
      </c>
      <c r="BF285" s="251" t="s">
        <v>1342</v>
      </c>
      <c r="BG285" s="399" t="s">
        <v>614</v>
      </c>
      <c r="BH285" s="252">
        <v>38</v>
      </c>
      <c r="BI285" s="251" t="s">
        <v>350</v>
      </c>
      <c r="BJ285" s="251" t="s">
        <v>366</v>
      </c>
      <c r="BK285" s="251" t="s">
        <v>1343</v>
      </c>
      <c r="BL285" s="251" t="s">
        <v>617</v>
      </c>
      <c r="BQ285" s="27" t="s">
        <v>7991</v>
      </c>
      <c r="BR285" s="27" t="s">
        <v>7992</v>
      </c>
    </row>
    <row r="286" spans="2:70" ht="15">
      <c r="B286" s="84"/>
      <c r="D286" s="251" t="s">
        <v>9125</v>
      </c>
      <c r="E286" s="251" t="s">
        <v>9339</v>
      </c>
      <c r="F286" s="251" t="s">
        <v>9341</v>
      </c>
      <c r="G286" s="402" t="s">
        <v>9541</v>
      </c>
      <c r="R286" s="251"/>
      <c r="S286" s="251"/>
      <c r="BD286" s="399">
        <v>283</v>
      </c>
      <c r="BE286" s="399" t="s">
        <v>1344</v>
      </c>
      <c r="BF286" s="251" t="s">
        <v>1345</v>
      </c>
      <c r="BG286" s="399" t="s">
        <v>489</v>
      </c>
      <c r="BH286" s="252" t="s">
        <v>860</v>
      </c>
      <c r="BI286" s="251" t="s">
        <v>563</v>
      </c>
      <c r="BJ286" s="251" t="s">
        <v>539</v>
      </c>
      <c r="BK286" s="251" t="s">
        <v>1346</v>
      </c>
      <c r="BL286" s="251" t="s">
        <v>493</v>
      </c>
      <c r="BQ286" s="27" t="s">
        <v>7993</v>
      </c>
      <c r="BR286" s="27" t="s">
        <v>7339</v>
      </c>
    </row>
    <row r="287" spans="2:70" ht="15">
      <c r="B287" s="84"/>
      <c r="D287" s="251"/>
      <c r="E287" s="251"/>
      <c r="F287" s="251"/>
      <c r="G287" s="402"/>
      <c r="R287" s="251"/>
      <c r="S287" s="251"/>
      <c r="BD287" s="399">
        <v>284</v>
      </c>
      <c r="BE287" s="399" t="s">
        <v>1347</v>
      </c>
      <c r="BF287" s="251" t="s">
        <v>1348</v>
      </c>
      <c r="BG287" s="399" t="s">
        <v>590</v>
      </c>
      <c r="BH287" s="252">
        <v>44</v>
      </c>
      <c r="BI287" s="251" t="s">
        <v>579</v>
      </c>
      <c r="BJ287" s="251" t="s">
        <v>413</v>
      </c>
      <c r="BK287" s="251" t="s">
        <v>1349</v>
      </c>
      <c r="BL287" s="251" t="s">
        <v>592</v>
      </c>
      <c r="BQ287" s="27" t="s">
        <v>7994</v>
      </c>
      <c r="BR287" s="27" t="s">
        <v>7995</v>
      </c>
    </row>
    <row r="288" spans="2:70" ht="15">
      <c r="B288" s="84"/>
      <c r="D288" s="251"/>
      <c r="E288" s="251"/>
      <c r="F288" s="251"/>
      <c r="G288" s="402"/>
      <c r="R288" s="251"/>
      <c r="S288" s="251"/>
      <c r="BD288" s="399">
        <v>285</v>
      </c>
      <c r="BE288" s="399" t="s">
        <v>1350</v>
      </c>
      <c r="BF288" s="251" t="s">
        <v>1351</v>
      </c>
      <c r="BG288" s="399" t="s">
        <v>739</v>
      </c>
      <c r="BH288" s="252">
        <v>45</v>
      </c>
      <c r="BI288" s="251" t="s">
        <v>379</v>
      </c>
      <c r="BJ288" s="251" t="s">
        <v>539</v>
      </c>
      <c r="BK288" s="251" t="s">
        <v>1352</v>
      </c>
      <c r="BL288" s="251" t="s">
        <v>742</v>
      </c>
      <c r="BQ288" s="27" t="s">
        <v>7996</v>
      </c>
      <c r="BR288" s="27" t="s">
        <v>7997</v>
      </c>
    </row>
    <row r="289" spans="2:70" ht="15">
      <c r="B289" s="84"/>
      <c r="R289" s="251"/>
      <c r="S289" s="251"/>
      <c r="BD289" s="399">
        <v>286</v>
      </c>
      <c r="BE289" s="399" t="s">
        <v>1353</v>
      </c>
      <c r="BF289" s="251" t="s">
        <v>1354</v>
      </c>
      <c r="BG289" s="399" t="s">
        <v>623</v>
      </c>
      <c r="BH289" s="252">
        <v>40</v>
      </c>
      <c r="BI289" s="251" t="s">
        <v>728</v>
      </c>
      <c r="BJ289" s="251" t="s">
        <v>407</v>
      </c>
      <c r="BK289" s="251" t="s">
        <v>1355</v>
      </c>
      <c r="BL289" s="251" t="s">
        <v>626</v>
      </c>
      <c r="BQ289" s="27" t="s">
        <v>7998</v>
      </c>
      <c r="BR289" s="27" t="s">
        <v>7999</v>
      </c>
    </row>
    <row r="290" spans="2:70" ht="15">
      <c r="B290" s="84"/>
      <c r="R290" s="251"/>
      <c r="S290" s="251"/>
      <c r="BD290" s="399">
        <v>287</v>
      </c>
      <c r="BE290" s="399" t="s">
        <v>1356</v>
      </c>
      <c r="BF290" s="251" t="s">
        <v>1357</v>
      </c>
      <c r="BG290" s="399" t="s">
        <v>371</v>
      </c>
      <c r="BH290" s="252">
        <v>28</v>
      </c>
      <c r="BI290" s="251" t="s">
        <v>396</v>
      </c>
      <c r="BJ290" s="251" t="s">
        <v>380</v>
      </c>
      <c r="BK290" s="251" t="s">
        <v>1358</v>
      </c>
      <c r="BL290" s="251" t="s">
        <v>375</v>
      </c>
      <c r="BQ290" s="27" t="s">
        <v>8000</v>
      </c>
      <c r="BR290" s="27" t="s">
        <v>8001</v>
      </c>
    </row>
    <row r="291" spans="2:70" ht="15">
      <c r="B291" s="84"/>
      <c r="R291" s="251"/>
      <c r="S291" s="251"/>
      <c r="BD291" s="399">
        <v>288</v>
      </c>
      <c r="BE291" s="399" t="s">
        <v>1359</v>
      </c>
      <c r="BF291" s="251" t="s">
        <v>1360</v>
      </c>
      <c r="BG291" s="399" t="s">
        <v>489</v>
      </c>
      <c r="BH291" s="252" t="s">
        <v>639</v>
      </c>
      <c r="BI291" s="251" t="s">
        <v>635</v>
      </c>
      <c r="BJ291" s="251" t="s">
        <v>413</v>
      </c>
      <c r="BK291" s="251" t="s">
        <v>1361</v>
      </c>
      <c r="BL291" s="251" t="s">
        <v>493</v>
      </c>
      <c r="BQ291" s="27" t="s">
        <v>8002</v>
      </c>
      <c r="BR291" s="27" t="s">
        <v>8003</v>
      </c>
    </row>
    <row r="292" spans="2:70" ht="15">
      <c r="B292" s="84"/>
      <c r="D292" s="37"/>
      <c r="E292" s="37"/>
      <c r="F292" s="101"/>
      <c r="G292" s="101"/>
      <c r="R292" s="251"/>
      <c r="S292" s="251"/>
      <c r="BD292" s="399">
        <v>289</v>
      </c>
      <c r="BE292" s="399" t="s">
        <v>1362</v>
      </c>
      <c r="BF292" s="251" t="s">
        <v>1363</v>
      </c>
      <c r="BG292" s="399" t="s">
        <v>423</v>
      </c>
      <c r="BH292" s="252" t="s">
        <v>424</v>
      </c>
      <c r="BI292" s="251" t="s">
        <v>350</v>
      </c>
      <c r="BJ292" s="251" t="s">
        <v>380</v>
      </c>
      <c r="BK292" s="251" t="s">
        <v>1364</v>
      </c>
      <c r="BL292" s="251" t="s">
        <v>426</v>
      </c>
      <c r="BQ292" s="27" t="s">
        <v>8004</v>
      </c>
      <c r="BR292" s="27" t="s">
        <v>8005</v>
      </c>
    </row>
    <row r="293" spans="2:70" ht="15">
      <c r="B293" s="84"/>
      <c r="D293" s="426"/>
      <c r="E293" s="84"/>
      <c r="F293" s="84"/>
      <c r="G293" s="84"/>
      <c r="R293" s="251"/>
      <c r="S293" s="251"/>
      <c r="BD293" s="399">
        <v>290</v>
      </c>
      <c r="BE293" s="399" t="s">
        <v>1365</v>
      </c>
      <c r="BF293" s="251" t="s">
        <v>1366</v>
      </c>
      <c r="BG293" s="399" t="s">
        <v>469</v>
      </c>
      <c r="BH293" s="252" t="s">
        <v>470</v>
      </c>
      <c r="BI293" s="251" t="s">
        <v>728</v>
      </c>
      <c r="BJ293" s="251" t="s">
        <v>407</v>
      </c>
      <c r="BK293" s="251" t="s">
        <v>1367</v>
      </c>
      <c r="BL293" s="251" t="s">
        <v>472</v>
      </c>
      <c r="BQ293" s="27" t="s">
        <v>8006</v>
      </c>
      <c r="BR293" s="27" t="s">
        <v>8007</v>
      </c>
    </row>
    <row r="294" spans="2:70" ht="15">
      <c r="B294" s="84"/>
      <c r="D294" s="84"/>
      <c r="E294" s="84"/>
      <c r="F294" s="84"/>
      <c r="G294" s="84"/>
      <c r="R294" s="251"/>
      <c r="S294" s="251"/>
      <c r="BD294" s="399">
        <v>291</v>
      </c>
      <c r="BE294" s="399" t="s">
        <v>1368</v>
      </c>
      <c r="BF294" s="251" t="s">
        <v>1369</v>
      </c>
      <c r="BG294" s="399" t="s">
        <v>356</v>
      </c>
      <c r="BH294" s="252" t="s">
        <v>1075</v>
      </c>
      <c r="BI294" s="251" t="s">
        <v>357</v>
      </c>
      <c r="BJ294" s="251" t="s">
        <v>778</v>
      </c>
      <c r="BK294" s="251" t="s">
        <v>1370</v>
      </c>
      <c r="BL294" s="251" t="s">
        <v>360</v>
      </c>
      <c r="BQ294" s="27" t="s">
        <v>8008</v>
      </c>
      <c r="BR294" s="27" t="s">
        <v>8009</v>
      </c>
    </row>
    <row r="295" spans="2:70" ht="15">
      <c r="B295" s="84"/>
      <c r="D295" s="84"/>
      <c r="E295" s="84"/>
      <c r="F295" s="84"/>
      <c r="G295" s="84"/>
      <c r="R295" s="251"/>
      <c r="S295" s="251"/>
      <c r="BD295" s="399">
        <v>292</v>
      </c>
      <c r="BE295" s="399" t="s">
        <v>1371</v>
      </c>
      <c r="BF295" s="251" t="s">
        <v>1372</v>
      </c>
      <c r="BG295" s="399" t="s">
        <v>429</v>
      </c>
      <c r="BH295" s="252" t="s">
        <v>430</v>
      </c>
      <c r="BI295" s="251" t="s">
        <v>379</v>
      </c>
      <c r="BJ295" s="251" t="s">
        <v>350</v>
      </c>
      <c r="BK295" s="251" t="s">
        <v>1373</v>
      </c>
      <c r="BL295" s="251" t="s">
        <v>432</v>
      </c>
      <c r="BQ295" s="27" t="s">
        <v>8010</v>
      </c>
      <c r="BR295" s="27" t="s">
        <v>8011</v>
      </c>
    </row>
    <row r="296" spans="2:70" ht="15">
      <c r="B296" s="84"/>
      <c r="D296" s="84"/>
      <c r="E296" s="84"/>
      <c r="F296" s="84"/>
      <c r="G296" s="84"/>
      <c r="R296" s="251"/>
      <c r="S296" s="251"/>
      <c r="BD296" s="399">
        <v>293</v>
      </c>
      <c r="BE296" s="399" t="s">
        <v>1374</v>
      </c>
      <c r="BF296" s="251" t="s">
        <v>1375</v>
      </c>
      <c r="BG296" s="399" t="s">
        <v>475</v>
      </c>
      <c r="BH296" s="252" t="s">
        <v>510</v>
      </c>
      <c r="BI296" s="251" t="s">
        <v>331</v>
      </c>
      <c r="BJ296" s="251" t="s">
        <v>380</v>
      </c>
      <c r="BK296" s="251" t="s">
        <v>1376</v>
      </c>
      <c r="BL296" s="251" t="s">
        <v>479</v>
      </c>
      <c r="BQ296" s="27" t="s">
        <v>8012</v>
      </c>
      <c r="BR296" s="27" t="s">
        <v>8013</v>
      </c>
    </row>
    <row r="297" spans="2:70" ht="15">
      <c r="B297" s="84"/>
      <c r="D297" s="84"/>
      <c r="E297" s="84"/>
      <c r="F297" s="84"/>
      <c r="G297" s="84"/>
      <c r="R297" s="251"/>
      <c r="S297" s="251"/>
      <c r="BD297" s="399">
        <v>294</v>
      </c>
      <c r="BE297" s="399" t="s">
        <v>1377</v>
      </c>
      <c r="BF297" s="251" t="s">
        <v>1378</v>
      </c>
      <c r="BG297" s="399" t="s">
        <v>363</v>
      </c>
      <c r="BH297" s="252" t="s">
        <v>364</v>
      </c>
      <c r="BI297" s="251" t="s">
        <v>357</v>
      </c>
      <c r="BJ297" s="251" t="s">
        <v>373</v>
      </c>
      <c r="BK297" s="251" t="s">
        <v>1379</v>
      </c>
      <c r="BL297" s="251" t="s">
        <v>368</v>
      </c>
      <c r="BQ297" s="27" t="s">
        <v>8014</v>
      </c>
      <c r="BR297" s="27" t="s">
        <v>8015</v>
      </c>
    </row>
    <row r="298" spans="2:70" ht="15">
      <c r="B298" s="84"/>
      <c r="D298" s="84"/>
      <c r="E298" s="84"/>
      <c r="F298" s="84"/>
      <c r="G298" s="84"/>
      <c r="R298" s="251"/>
      <c r="S298" s="251"/>
      <c r="BD298" s="399">
        <v>295</v>
      </c>
      <c r="BE298" s="399" t="s">
        <v>1380</v>
      </c>
      <c r="BF298" s="251" t="s">
        <v>1381</v>
      </c>
      <c r="BG298" s="399" t="s">
        <v>389</v>
      </c>
      <c r="BH298" s="252">
        <v>39</v>
      </c>
      <c r="BI298" s="251" t="s">
        <v>379</v>
      </c>
      <c r="BJ298" s="251" t="s">
        <v>380</v>
      </c>
      <c r="BK298" s="251" t="s">
        <v>1382</v>
      </c>
      <c r="BL298" s="251" t="s">
        <v>392</v>
      </c>
      <c r="BQ298" s="27" t="s">
        <v>8016</v>
      </c>
      <c r="BR298" s="27" t="s">
        <v>8017</v>
      </c>
    </row>
    <row r="299" spans="2:70" ht="15">
      <c r="B299" s="84"/>
      <c r="D299" s="84"/>
      <c r="E299" s="84"/>
      <c r="F299" s="84"/>
      <c r="G299" s="84"/>
      <c r="R299" s="251"/>
      <c r="S299" s="251"/>
      <c r="BD299" s="399">
        <v>296</v>
      </c>
      <c r="BE299" s="399" t="s">
        <v>1383</v>
      </c>
      <c r="BF299" s="251" t="s">
        <v>1384</v>
      </c>
      <c r="BG299" s="399" t="s">
        <v>378</v>
      </c>
      <c r="BH299" s="252">
        <v>11</v>
      </c>
      <c r="BI299" s="251" t="s">
        <v>334</v>
      </c>
      <c r="BJ299" s="251" t="s">
        <v>1385</v>
      </c>
      <c r="BK299" s="251" t="s">
        <v>1386</v>
      </c>
      <c r="BL299" s="251" t="s">
        <v>382</v>
      </c>
      <c r="BQ299" s="27" t="s">
        <v>8018</v>
      </c>
      <c r="BR299" s="27" t="s">
        <v>8019</v>
      </c>
    </row>
    <row r="300" spans="2:70" ht="15">
      <c r="B300" s="84"/>
      <c r="D300" s="84"/>
      <c r="E300" s="84"/>
      <c r="F300" s="84"/>
      <c r="G300" s="84"/>
      <c r="R300" s="251"/>
      <c r="S300" s="251"/>
      <c r="BD300" s="399">
        <v>297</v>
      </c>
      <c r="BE300" s="399" t="s">
        <v>1387</v>
      </c>
      <c r="BF300" s="251" t="s">
        <v>1388</v>
      </c>
      <c r="BG300" s="399" t="s">
        <v>489</v>
      </c>
      <c r="BH300" s="252" t="s">
        <v>958</v>
      </c>
      <c r="BI300" s="251" t="s">
        <v>334</v>
      </c>
      <c r="BJ300" s="251" t="s">
        <v>407</v>
      </c>
      <c r="BK300" s="251" t="s">
        <v>1389</v>
      </c>
      <c r="BL300" s="251" t="s">
        <v>493</v>
      </c>
      <c r="BQ300" s="27" t="s">
        <v>8020</v>
      </c>
      <c r="BR300" s="27" t="s">
        <v>8021</v>
      </c>
    </row>
    <row r="301" spans="2:70" ht="15">
      <c r="B301" s="84"/>
      <c r="D301" s="84"/>
      <c r="E301" s="84"/>
      <c r="F301" s="84"/>
      <c r="G301" s="84"/>
      <c r="R301" s="251"/>
      <c r="S301" s="251"/>
      <c r="BD301" s="399">
        <v>298</v>
      </c>
      <c r="BE301" s="399" t="s">
        <v>1390</v>
      </c>
      <c r="BF301" s="251" t="s">
        <v>1391</v>
      </c>
      <c r="BG301" s="399" t="s">
        <v>363</v>
      </c>
      <c r="BH301" s="252" t="s">
        <v>364</v>
      </c>
      <c r="BI301" s="251" t="s">
        <v>379</v>
      </c>
      <c r="BJ301" s="251" t="s">
        <v>366</v>
      </c>
      <c r="BK301" s="251" t="s">
        <v>1392</v>
      </c>
      <c r="BL301" s="251" t="s">
        <v>368</v>
      </c>
      <c r="BQ301" s="27" t="s">
        <v>8022</v>
      </c>
      <c r="BR301" s="27" t="s">
        <v>7341</v>
      </c>
    </row>
    <row r="302" spans="2:70" ht="15">
      <c r="B302" s="84"/>
      <c r="D302" s="84"/>
      <c r="E302" s="84"/>
      <c r="F302" s="84"/>
      <c r="G302" s="84"/>
      <c r="R302" s="251"/>
      <c r="S302" s="251"/>
      <c r="BD302" s="399">
        <v>299</v>
      </c>
      <c r="BE302" s="399" t="s">
        <v>1393</v>
      </c>
      <c r="BF302" s="251" t="s">
        <v>1394</v>
      </c>
      <c r="BG302" s="399" t="s">
        <v>405</v>
      </c>
      <c r="BH302" s="252" t="s">
        <v>1395</v>
      </c>
      <c r="BI302" s="251" t="s">
        <v>445</v>
      </c>
      <c r="BJ302" s="251" t="s">
        <v>390</v>
      </c>
      <c r="BK302" s="251" t="s">
        <v>1396</v>
      </c>
      <c r="BL302" s="251" t="s">
        <v>409</v>
      </c>
      <c r="BQ302" s="27" t="s">
        <v>8023</v>
      </c>
      <c r="BR302" s="27" t="s">
        <v>8024</v>
      </c>
    </row>
    <row r="303" spans="2:70" ht="15">
      <c r="B303" s="84"/>
      <c r="D303" s="84"/>
      <c r="E303" s="84"/>
      <c r="F303" s="84"/>
      <c r="G303" s="84"/>
      <c r="R303" s="251"/>
      <c r="S303" s="251"/>
      <c r="BD303" s="399">
        <v>300</v>
      </c>
      <c r="BE303" s="399" t="s">
        <v>1397</v>
      </c>
      <c r="BF303" s="251" t="s">
        <v>1398</v>
      </c>
      <c r="BG303" s="399" t="s">
        <v>429</v>
      </c>
      <c r="BH303" s="252" t="s">
        <v>430</v>
      </c>
      <c r="BI303" s="251" t="s">
        <v>332</v>
      </c>
      <c r="BJ303" s="251" t="s">
        <v>380</v>
      </c>
      <c r="BK303" s="251" t="s">
        <v>1399</v>
      </c>
      <c r="BL303" s="251" t="s">
        <v>432</v>
      </c>
      <c r="BQ303" s="27" t="s">
        <v>8025</v>
      </c>
      <c r="BR303" s="27" t="s">
        <v>8026</v>
      </c>
    </row>
    <row r="304" spans="2:70" ht="15">
      <c r="B304" s="84"/>
      <c r="D304" s="84"/>
      <c r="E304" s="84"/>
      <c r="F304" s="84"/>
      <c r="G304" s="84"/>
      <c r="R304" s="251"/>
      <c r="S304" s="251"/>
      <c r="BD304" s="399">
        <v>301</v>
      </c>
      <c r="BE304" s="399" t="s">
        <v>1400</v>
      </c>
      <c r="BF304" s="251" t="s">
        <v>1401</v>
      </c>
      <c r="BG304" s="399" t="s">
        <v>405</v>
      </c>
      <c r="BH304" s="252" t="s">
        <v>412</v>
      </c>
      <c r="BI304" s="251" t="s">
        <v>334</v>
      </c>
      <c r="BJ304" s="251" t="s">
        <v>350</v>
      </c>
      <c r="BK304" s="251" t="s">
        <v>1402</v>
      </c>
      <c r="BL304" s="251" t="s">
        <v>409</v>
      </c>
      <c r="BQ304" s="27" t="s">
        <v>8027</v>
      </c>
      <c r="BR304" s="27" t="s">
        <v>7343</v>
      </c>
    </row>
    <row r="305" spans="2:70" ht="15">
      <c r="B305" s="84"/>
      <c r="D305" s="84"/>
      <c r="E305" s="84"/>
      <c r="F305" s="84"/>
      <c r="G305" s="84"/>
      <c r="R305" s="251"/>
      <c r="S305" s="251"/>
      <c r="BD305" s="399">
        <v>302</v>
      </c>
      <c r="BE305" s="399" t="s">
        <v>1403</v>
      </c>
      <c r="BF305" s="251" t="s">
        <v>1404</v>
      </c>
      <c r="BG305" s="399" t="s">
        <v>405</v>
      </c>
      <c r="BH305" s="252" t="s">
        <v>528</v>
      </c>
      <c r="BI305" s="251" t="s">
        <v>445</v>
      </c>
      <c r="BJ305" s="251" t="s">
        <v>407</v>
      </c>
      <c r="BK305" s="251" t="s">
        <v>1405</v>
      </c>
      <c r="BL305" s="251" t="s">
        <v>409</v>
      </c>
      <c r="BQ305" s="27" t="s">
        <v>8028</v>
      </c>
      <c r="BR305" s="27" t="s">
        <v>8029</v>
      </c>
    </row>
    <row r="306" spans="2:70" ht="15">
      <c r="B306" s="84"/>
      <c r="D306" s="84"/>
      <c r="E306" s="84"/>
      <c r="F306" s="84"/>
      <c r="G306" s="84"/>
      <c r="R306" s="251"/>
      <c r="S306" s="251"/>
      <c r="BD306" s="399">
        <v>303</v>
      </c>
      <c r="BE306" s="399" t="s">
        <v>1406</v>
      </c>
      <c r="BF306" s="251" t="s">
        <v>1407</v>
      </c>
      <c r="BG306" s="399" t="s">
        <v>371</v>
      </c>
      <c r="BH306" s="252">
        <v>28</v>
      </c>
      <c r="BI306" s="251" t="s">
        <v>647</v>
      </c>
      <c r="BJ306" s="251" t="s">
        <v>380</v>
      </c>
      <c r="BK306" s="251" t="s">
        <v>1408</v>
      </c>
      <c r="BL306" s="251" t="s">
        <v>375</v>
      </c>
      <c r="BQ306" s="27" t="s">
        <v>8030</v>
      </c>
      <c r="BR306" s="27" t="s">
        <v>8031</v>
      </c>
    </row>
    <row r="307" spans="2:70" ht="15">
      <c r="B307" s="84"/>
      <c r="D307" s="84"/>
      <c r="E307" s="84"/>
      <c r="F307" s="84"/>
      <c r="G307" s="84"/>
      <c r="R307" s="251"/>
      <c r="S307" s="251"/>
      <c r="BD307" s="399">
        <v>304</v>
      </c>
      <c r="BE307" s="399" t="s">
        <v>1409</v>
      </c>
      <c r="BF307" s="251" t="s">
        <v>1410</v>
      </c>
      <c r="BG307" s="399" t="s">
        <v>423</v>
      </c>
      <c r="BH307" s="252" t="s">
        <v>424</v>
      </c>
      <c r="BI307" s="251" t="s">
        <v>365</v>
      </c>
      <c r="BJ307" s="251" t="s">
        <v>351</v>
      </c>
      <c r="BK307" s="251" t="s">
        <v>1411</v>
      </c>
      <c r="BL307" s="251" t="s">
        <v>426</v>
      </c>
      <c r="BQ307" s="27" t="s">
        <v>8032</v>
      </c>
      <c r="BR307" s="27" t="s">
        <v>8033</v>
      </c>
    </row>
    <row r="308" spans="2:70" ht="15">
      <c r="B308" s="84"/>
      <c r="D308" s="84"/>
      <c r="E308" s="84"/>
      <c r="F308" s="84"/>
      <c r="G308" s="84"/>
      <c r="R308" s="251"/>
      <c r="S308" s="251"/>
      <c r="BD308" s="399">
        <v>305</v>
      </c>
      <c r="BE308" s="399" t="s">
        <v>1412</v>
      </c>
      <c r="BF308" s="251" t="s">
        <v>1413</v>
      </c>
      <c r="BG308" s="399" t="s">
        <v>489</v>
      </c>
      <c r="BH308" s="252" t="s">
        <v>658</v>
      </c>
      <c r="BI308" s="251" t="s">
        <v>583</v>
      </c>
      <c r="BJ308" s="251" t="s">
        <v>413</v>
      </c>
      <c r="BK308" s="251" t="s">
        <v>1414</v>
      </c>
      <c r="BL308" s="251" t="s">
        <v>493</v>
      </c>
      <c r="BQ308" s="27" t="s">
        <v>8034</v>
      </c>
      <c r="BR308" s="27" t="s">
        <v>8035</v>
      </c>
    </row>
    <row r="309" spans="2:70" ht="15">
      <c r="B309" s="84"/>
      <c r="D309" s="84"/>
      <c r="E309" s="84"/>
      <c r="F309" s="84"/>
      <c r="G309" s="84"/>
      <c r="R309" s="251"/>
      <c r="S309" s="251"/>
      <c r="BD309" s="399">
        <v>306</v>
      </c>
      <c r="BE309" s="399" t="s">
        <v>1415</v>
      </c>
      <c r="BF309" s="251" t="s">
        <v>1416</v>
      </c>
      <c r="BG309" s="399" t="s">
        <v>469</v>
      </c>
      <c r="BH309" s="252" t="s">
        <v>470</v>
      </c>
      <c r="BI309" s="251" t="s">
        <v>728</v>
      </c>
      <c r="BJ309" s="251" t="s">
        <v>385</v>
      </c>
      <c r="BK309" s="251" t="s">
        <v>1417</v>
      </c>
      <c r="BL309" s="251" t="s">
        <v>472</v>
      </c>
      <c r="BQ309" s="27" t="s">
        <v>8036</v>
      </c>
      <c r="BR309" s="27" t="s">
        <v>7329</v>
      </c>
    </row>
    <row r="310" spans="2:70" ht="15">
      <c r="B310" s="84"/>
      <c r="D310" s="84"/>
      <c r="E310" s="84"/>
      <c r="F310" s="84"/>
      <c r="G310" s="84"/>
      <c r="R310" s="251"/>
      <c r="S310" s="251"/>
      <c r="BD310" s="399">
        <v>307</v>
      </c>
      <c r="BE310" s="399" t="s">
        <v>1418</v>
      </c>
      <c r="BF310" s="251" t="s">
        <v>1419</v>
      </c>
      <c r="BG310" s="399" t="s">
        <v>363</v>
      </c>
      <c r="BH310" s="252" t="s">
        <v>364</v>
      </c>
      <c r="BI310" s="251" t="s">
        <v>1420</v>
      </c>
      <c r="BJ310" s="251" t="s">
        <v>1385</v>
      </c>
      <c r="BK310" s="251" t="s">
        <v>1421</v>
      </c>
      <c r="BL310" s="251" t="s">
        <v>368</v>
      </c>
      <c r="BQ310" s="27" t="s">
        <v>8037</v>
      </c>
      <c r="BR310" s="27" t="s">
        <v>8038</v>
      </c>
    </row>
    <row r="311" spans="2:70" ht="15">
      <c r="B311" s="84"/>
      <c r="D311" s="84"/>
      <c r="E311" s="84"/>
      <c r="F311" s="84"/>
      <c r="G311" s="84"/>
      <c r="R311" s="251"/>
      <c r="S311" s="251"/>
      <c r="BD311" s="399">
        <v>308</v>
      </c>
      <c r="BE311" s="399" t="s">
        <v>1422</v>
      </c>
      <c r="BF311" s="251" t="s">
        <v>1423</v>
      </c>
      <c r="BG311" s="399" t="s">
        <v>378</v>
      </c>
      <c r="BH311" s="252">
        <v>11</v>
      </c>
      <c r="BI311" s="251" t="s">
        <v>445</v>
      </c>
      <c r="BJ311" s="251" t="s">
        <v>385</v>
      </c>
      <c r="BK311" s="251" t="s">
        <v>1424</v>
      </c>
      <c r="BL311" s="251" t="s">
        <v>382</v>
      </c>
      <c r="BQ311" s="27" t="s">
        <v>8039</v>
      </c>
      <c r="BR311" s="27" t="s">
        <v>8040</v>
      </c>
    </row>
    <row r="312" spans="2:70" ht="15">
      <c r="B312" s="84"/>
      <c r="D312" s="84"/>
      <c r="E312" s="84"/>
      <c r="F312" s="84"/>
      <c r="G312" s="84"/>
      <c r="R312" s="251"/>
      <c r="S312" s="251"/>
      <c r="BD312" s="399">
        <v>309</v>
      </c>
      <c r="BE312" s="399" t="s">
        <v>1425</v>
      </c>
      <c r="BF312" s="251" t="s">
        <v>1426</v>
      </c>
      <c r="BG312" s="399" t="s">
        <v>378</v>
      </c>
      <c r="BH312" s="252">
        <v>11</v>
      </c>
      <c r="BI312" s="251" t="s">
        <v>333</v>
      </c>
      <c r="BJ312" s="251" t="s">
        <v>380</v>
      </c>
      <c r="BK312" s="251" t="s">
        <v>1427</v>
      </c>
      <c r="BL312" s="251" t="s">
        <v>382</v>
      </c>
      <c r="BQ312" s="27" t="s">
        <v>8041</v>
      </c>
      <c r="BR312" s="27" t="s">
        <v>8042</v>
      </c>
    </row>
    <row r="313" spans="2:70" ht="15">
      <c r="B313" s="84"/>
      <c r="D313" s="84"/>
      <c r="E313" s="84"/>
      <c r="F313" s="84"/>
      <c r="G313" s="84"/>
      <c r="R313" s="251"/>
      <c r="S313" s="251"/>
      <c r="BD313" s="399">
        <v>310</v>
      </c>
      <c r="BE313" s="399" t="s">
        <v>1428</v>
      </c>
      <c r="BF313" s="251" t="s">
        <v>1429</v>
      </c>
      <c r="BG313" s="399" t="s">
        <v>423</v>
      </c>
      <c r="BH313" s="252" t="s">
        <v>1030</v>
      </c>
      <c r="BI313" s="251" t="s">
        <v>332</v>
      </c>
      <c r="BJ313" s="251" t="s">
        <v>350</v>
      </c>
      <c r="BK313" s="251" t="s">
        <v>1430</v>
      </c>
      <c r="BL313" s="251" t="s">
        <v>426</v>
      </c>
      <c r="BQ313" s="27" t="s">
        <v>8043</v>
      </c>
      <c r="BR313" s="27" t="s">
        <v>8044</v>
      </c>
    </row>
    <row r="314" spans="2:70" ht="15">
      <c r="B314" s="84"/>
      <c r="D314" s="84"/>
      <c r="E314" s="84"/>
      <c r="F314" s="84"/>
      <c r="G314" s="84"/>
      <c r="R314" s="251"/>
      <c r="S314" s="251"/>
      <c r="BD314" s="399">
        <v>311</v>
      </c>
      <c r="BE314" s="399" t="s">
        <v>1431</v>
      </c>
      <c r="BF314" s="251" t="s">
        <v>1432</v>
      </c>
      <c r="BG314" s="399" t="s">
        <v>469</v>
      </c>
      <c r="BH314" s="252" t="s">
        <v>470</v>
      </c>
      <c r="BI314" s="251" t="s">
        <v>333</v>
      </c>
      <c r="BJ314" s="251" t="s">
        <v>380</v>
      </c>
      <c r="BK314" s="251" t="s">
        <v>1433</v>
      </c>
      <c r="BL314" s="251" t="s">
        <v>472</v>
      </c>
      <c r="BQ314" s="27" t="s">
        <v>8045</v>
      </c>
      <c r="BR314" s="27" t="s">
        <v>8046</v>
      </c>
    </row>
    <row r="315" spans="2:70" ht="15">
      <c r="B315" s="84"/>
      <c r="D315" s="84"/>
      <c r="E315" s="84"/>
      <c r="F315" s="84"/>
      <c r="G315" s="84"/>
      <c r="R315" s="251"/>
      <c r="S315" s="251"/>
      <c r="BD315" s="399">
        <v>312</v>
      </c>
      <c r="BE315" s="399" t="s">
        <v>1434</v>
      </c>
      <c r="BF315" s="251" t="s">
        <v>1435</v>
      </c>
      <c r="BG315" s="399" t="s">
        <v>363</v>
      </c>
      <c r="BH315" s="252" t="s">
        <v>575</v>
      </c>
      <c r="BI315" s="251" t="s">
        <v>450</v>
      </c>
      <c r="BJ315" s="251" t="s">
        <v>366</v>
      </c>
      <c r="BK315" s="251" t="s">
        <v>1436</v>
      </c>
      <c r="BL315" s="251" t="s">
        <v>368</v>
      </c>
      <c r="BQ315" s="27" t="s">
        <v>8047</v>
      </c>
      <c r="BR315" s="27" t="s">
        <v>8048</v>
      </c>
    </row>
    <row r="316" spans="2:70" ht="15">
      <c r="B316" s="84"/>
      <c r="D316" s="84"/>
      <c r="E316" s="84"/>
      <c r="F316" s="84"/>
      <c r="G316" s="84"/>
      <c r="R316" s="251"/>
      <c r="S316" s="251"/>
      <c r="BD316" s="399">
        <v>313</v>
      </c>
      <c r="BE316" s="399" t="s">
        <v>1437</v>
      </c>
      <c r="BF316" s="251" t="s">
        <v>1438</v>
      </c>
      <c r="BG316" s="399" t="s">
        <v>590</v>
      </c>
      <c r="BH316" s="252">
        <v>44</v>
      </c>
      <c r="BI316" s="251" t="s">
        <v>583</v>
      </c>
      <c r="BJ316" s="251" t="s">
        <v>413</v>
      </c>
      <c r="BK316" s="251" t="s">
        <v>1439</v>
      </c>
      <c r="BL316" s="251" t="s">
        <v>592</v>
      </c>
      <c r="BQ316" s="27" t="s">
        <v>8049</v>
      </c>
      <c r="BR316" s="27" t="s">
        <v>8050</v>
      </c>
    </row>
    <row r="317" spans="2:70" ht="15">
      <c r="B317" s="84"/>
      <c r="D317" s="84"/>
      <c r="E317" s="84"/>
      <c r="F317" s="84"/>
      <c r="G317" s="84"/>
      <c r="R317" s="251"/>
      <c r="S317" s="251"/>
      <c r="BD317" s="399">
        <v>314</v>
      </c>
      <c r="BE317" s="399" t="s">
        <v>1440</v>
      </c>
      <c r="BF317" s="251" t="s">
        <v>1441</v>
      </c>
      <c r="BG317" s="399" t="s">
        <v>405</v>
      </c>
      <c r="BH317" s="252" t="s">
        <v>412</v>
      </c>
      <c r="BI317" s="251" t="s">
        <v>615</v>
      </c>
      <c r="BJ317" s="251" t="s">
        <v>351</v>
      </c>
      <c r="BK317" s="251" t="s">
        <v>1442</v>
      </c>
      <c r="BL317" s="251" t="s">
        <v>409</v>
      </c>
      <c r="BQ317" s="27" t="s">
        <v>8051</v>
      </c>
      <c r="BR317" s="27" t="s">
        <v>8052</v>
      </c>
    </row>
    <row r="318" spans="2:70" ht="15">
      <c r="B318" s="84"/>
      <c r="D318" s="84"/>
      <c r="E318" s="84"/>
      <c r="F318" s="84"/>
      <c r="G318" s="84"/>
      <c r="R318" s="251"/>
      <c r="S318" s="251"/>
      <c r="BD318" s="399">
        <v>315</v>
      </c>
      <c r="BE318" s="399" t="s">
        <v>1443</v>
      </c>
      <c r="BF318" s="251" t="s">
        <v>1444</v>
      </c>
      <c r="BG318" s="399" t="s">
        <v>566</v>
      </c>
      <c r="BH318" s="252" t="s">
        <v>1004</v>
      </c>
      <c r="BI318" s="251" t="s">
        <v>379</v>
      </c>
      <c r="BJ318" s="251" t="s">
        <v>380</v>
      </c>
      <c r="BK318" s="251" t="s">
        <v>1445</v>
      </c>
      <c r="BL318" s="251" t="s">
        <v>569</v>
      </c>
      <c r="BQ318" s="27" t="s">
        <v>8053</v>
      </c>
      <c r="BR318" s="27" t="s">
        <v>8054</v>
      </c>
    </row>
    <row r="319" spans="2:70" ht="15">
      <c r="B319" s="84"/>
      <c r="D319" s="84"/>
      <c r="E319" s="84"/>
      <c r="F319" s="84"/>
      <c r="G319" s="84"/>
      <c r="R319" s="251"/>
      <c r="S319" s="251"/>
      <c r="BD319" s="399">
        <v>316</v>
      </c>
      <c r="BE319" s="399" t="s">
        <v>1446</v>
      </c>
      <c r="BF319" s="251" t="s">
        <v>1447</v>
      </c>
      <c r="BG319" s="399" t="s">
        <v>378</v>
      </c>
      <c r="BH319" s="252">
        <v>11</v>
      </c>
      <c r="BI319" s="251" t="s">
        <v>477</v>
      </c>
      <c r="BJ319" s="251" t="s">
        <v>366</v>
      </c>
      <c r="BK319" s="251" t="s">
        <v>1448</v>
      </c>
      <c r="BL319" s="251" t="s">
        <v>382</v>
      </c>
      <c r="BQ319" s="27" t="s">
        <v>8055</v>
      </c>
      <c r="BR319" s="27" t="s">
        <v>8056</v>
      </c>
    </row>
    <row r="320" spans="2:70" ht="15">
      <c r="B320" s="84"/>
      <c r="D320" s="84"/>
      <c r="E320" s="84"/>
      <c r="F320" s="84"/>
      <c r="G320" s="84"/>
      <c r="R320" s="251"/>
      <c r="S320" s="251"/>
      <c r="BD320" s="399">
        <v>317</v>
      </c>
      <c r="BE320" s="399" t="s">
        <v>1449</v>
      </c>
      <c r="BF320" s="251" t="s">
        <v>1450</v>
      </c>
      <c r="BG320" s="399" t="s">
        <v>435</v>
      </c>
      <c r="BH320" s="252" t="s">
        <v>436</v>
      </c>
      <c r="BI320" s="251" t="s">
        <v>728</v>
      </c>
      <c r="BJ320" s="251" t="s">
        <v>390</v>
      </c>
      <c r="BK320" s="251" t="s">
        <v>1451</v>
      </c>
      <c r="BL320" s="251" t="s">
        <v>439</v>
      </c>
      <c r="BQ320" s="27" t="s">
        <v>8057</v>
      </c>
      <c r="BR320" s="27" t="s">
        <v>8058</v>
      </c>
    </row>
    <row r="321" spans="2:70" ht="15">
      <c r="B321" s="84"/>
      <c r="D321" s="84"/>
      <c r="E321" s="84"/>
      <c r="F321" s="84"/>
      <c r="G321" s="84"/>
      <c r="R321" s="251"/>
      <c r="S321" s="251"/>
      <c r="BD321" s="399">
        <v>318</v>
      </c>
      <c r="BE321" s="399" t="s">
        <v>1452</v>
      </c>
      <c r="BF321" s="251" t="s">
        <v>1453</v>
      </c>
      <c r="BG321" s="399" t="s">
        <v>363</v>
      </c>
      <c r="BH321" s="252" t="s">
        <v>364</v>
      </c>
      <c r="BI321" s="251" t="s">
        <v>450</v>
      </c>
      <c r="BJ321" s="251" t="s">
        <v>539</v>
      </c>
      <c r="BK321" s="251" t="s">
        <v>1454</v>
      </c>
      <c r="BL321" s="251" t="s">
        <v>368</v>
      </c>
      <c r="BQ321" s="27" t="s">
        <v>8059</v>
      </c>
      <c r="BR321" s="27" t="s">
        <v>8060</v>
      </c>
    </row>
    <row r="322" spans="2:70" ht="15">
      <c r="B322" s="84"/>
      <c r="D322" s="84"/>
      <c r="E322" s="84"/>
      <c r="F322" s="84"/>
      <c r="G322" s="84"/>
      <c r="R322" s="251"/>
      <c r="S322" s="251"/>
      <c r="BD322" s="399">
        <v>319</v>
      </c>
      <c r="BE322" s="399" t="s">
        <v>1455</v>
      </c>
      <c r="BF322" s="251" t="s">
        <v>1456</v>
      </c>
      <c r="BG322" s="399" t="s">
        <v>429</v>
      </c>
      <c r="BH322" s="252" t="s">
        <v>430</v>
      </c>
      <c r="BI322" s="251" t="s">
        <v>379</v>
      </c>
      <c r="BJ322" s="251" t="s">
        <v>351</v>
      </c>
      <c r="BK322" s="251" t="s">
        <v>1457</v>
      </c>
      <c r="BL322" s="251" t="s">
        <v>432</v>
      </c>
      <c r="BQ322" s="27" t="s">
        <v>8061</v>
      </c>
      <c r="BR322" s="27" t="s">
        <v>8062</v>
      </c>
    </row>
    <row r="323" spans="2:70" ht="15">
      <c r="B323" s="84"/>
      <c r="D323" s="84"/>
      <c r="E323" s="84"/>
      <c r="F323" s="84"/>
      <c r="G323" s="84"/>
      <c r="R323" s="251"/>
      <c r="S323" s="251"/>
      <c r="BD323" s="399">
        <v>320</v>
      </c>
      <c r="BE323" s="399" t="s">
        <v>1458</v>
      </c>
      <c r="BF323" s="251" t="s">
        <v>1459</v>
      </c>
      <c r="BG323" s="399" t="s">
        <v>429</v>
      </c>
      <c r="BH323" s="252" t="s">
        <v>430</v>
      </c>
      <c r="BI323" s="251" t="s">
        <v>379</v>
      </c>
      <c r="BJ323" s="251" t="s">
        <v>380</v>
      </c>
      <c r="BK323" s="251" t="s">
        <v>1460</v>
      </c>
      <c r="BL323" s="251" t="s">
        <v>432</v>
      </c>
      <c r="BQ323" s="27" t="s">
        <v>8063</v>
      </c>
      <c r="BR323" s="27" t="s">
        <v>7409</v>
      </c>
    </row>
    <row r="324" spans="2:70" ht="15">
      <c r="B324" s="84"/>
      <c r="D324" s="84"/>
      <c r="E324" s="84"/>
      <c r="F324" s="84"/>
      <c r="G324" s="84"/>
      <c r="R324" s="251"/>
      <c r="S324" s="251"/>
      <c r="BD324" s="399">
        <v>321</v>
      </c>
      <c r="BE324" s="399" t="s">
        <v>1461</v>
      </c>
      <c r="BF324" s="251" t="s">
        <v>1462</v>
      </c>
      <c r="BG324" s="399" t="s">
        <v>356</v>
      </c>
      <c r="BH324" s="252">
        <v>18</v>
      </c>
      <c r="BI324" s="251" t="s">
        <v>332</v>
      </c>
      <c r="BJ324" s="251" t="s">
        <v>539</v>
      </c>
      <c r="BK324" s="251" t="s">
        <v>1463</v>
      </c>
      <c r="BL324" s="251" t="s">
        <v>360</v>
      </c>
      <c r="BQ324" s="27" t="s">
        <v>8064</v>
      </c>
      <c r="BR324" s="27" t="s">
        <v>8065</v>
      </c>
    </row>
    <row r="325" spans="2:70" ht="15">
      <c r="B325" s="84"/>
      <c r="D325" s="84"/>
      <c r="E325" s="84"/>
      <c r="F325" s="84"/>
      <c r="G325" s="84"/>
      <c r="R325" s="251"/>
      <c r="S325" s="251"/>
      <c r="BD325" s="399">
        <v>322</v>
      </c>
      <c r="BE325" s="399" t="s">
        <v>1464</v>
      </c>
      <c r="BF325" s="251" t="s">
        <v>1465</v>
      </c>
      <c r="BG325" s="399" t="s">
        <v>363</v>
      </c>
      <c r="BH325" s="252" t="s">
        <v>575</v>
      </c>
      <c r="BI325" s="251" t="s">
        <v>496</v>
      </c>
      <c r="BJ325" s="251" t="s">
        <v>366</v>
      </c>
      <c r="BK325" s="251" t="s">
        <v>1466</v>
      </c>
      <c r="BL325" s="251" t="s">
        <v>368</v>
      </c>
      <c r="BQ325" s="27" t="s">
        <v>8066</v>
      </c>
      <c r="BR325" s="27" t="s">
        <v>8067</v>
      </c>
    </row>
    <row r="326" spans="2:70" ht="15">
      <c r="B326" s="84"/>
      <c r="D326" s="84"/>
      <c r="E326" s="84"/>
      <c r="F326" s="84"/>
      <c r="G326" s="84"/>
      <c r="R326" s="251"/>
      <c r="S326" s="251"/>
      <c r="BD326" s="399">
        <v>323</v>
      </c>
      <c r="BE326" s="399" t="s">
        <v>1467</v>
      </c>
      <c r="BF326" s="251" t="s">
        <v>1468</v>
      </c>
      <c r="BG326" s="399" t="s">
        <v>405</v>
      </c>
      <c r="BH326" s="252" t="s">
        <v>528</v>
      </c>
      <c r="BI326" s="251" t="s">
        <v>563</v>
      </c>
      <c r="BJ326" s="251" t="s">
        <v>385</v>
      </c>
      <c r="BK326" s="251" t="s">
        <v>1469</v>
      </c>
      <c r="BL326" s="251" t="s">
        <v>409</v>
      </c>
      <c r="BQ326" s="27" t="s">
        <v>8068</v>
      </c>
      <c r="BR326" s="27" t="s">
        <v>8069</v>
      </c>
    </row>
    <row r="327" spans="2:70" ht="15">
      <c r="B327" s="84"/>
      <c r="D327" s="84"/>
      <c r="E327" s="84"/>
      <c r="F327" s="84"/>
      <c r="G327" s="84"/>
      <c r="R327" s="251"/>
      <c r="S327" s="251"/>
      <c r="BD327" s="399">
        <v>324</v>
      </c>
      <c r="BE327" s="399" t="s">
        <v>1470</v>
      </c>
      <c r="BF327" s="251" t="s">
        <v>1471</v>
      </c>
      <c r="BG327" s="399" t="s">
        <v>469</v>
      </c>
      <c r="BH327" s="252" t="s">
        <v>662</v>
      </c>
      <c r="BI327" s="251" t="s">
        <v>331</v>
      </c>
      <c r="BJ327" s="251" t="s">
        <v>390</v>
      </c>
      <c r="BK327" s="251" t="s">
        <v>1472</v>
      </c>
      <c r="BL327" s="251" t="s">
        <v>472</v>
      </c>
      <c r="BQ327" s="27" t="s">
        <v>8070</v>
      </c>
      <c r="BR327" s="27" t="s">
        <v>8071</v>
      </c>
    </row>
    <row r="328" spans="2:70" ht="15">
      <c r="B328" s="84"/>
      <c r="D328" s="84"/>
      <c r="E328" s="84"/>
      <c r="F328" s="84"/>
      <c r="G328" s="84"/>
      <c r="R328" s="251"/>
      <c r="S328" s="251"/>
      <c r="BD328" s="399">
        <v>325</v>
      </c>
      <c r="BE328" s="399" t="s">
        <v>1473</v>
      </c>
      <c r="BF328" s="251" t="s">
        <v>1474</v>
      </c>
      <c r="BG328" s="399" t="s">
        <v>469</v>
      </c>
      <c r="BH328" s="252" t="s">
        <v>470</v>
      </c>
      <c r="BI328" s="251" t="s">
        <v>477</v>
      </c>
      <c r="BJ328" s="251" t="s">
        <v>539</v>
      </c>
      <c r="BK328" s="251" t="s">
        <v>1475</v>
      </c>
      <c r="BL328" s="251" t="s">
        <v>472</v>
      </c>
      <c r="BQ328" s="27" t="s">
        <v>8072</v>
      </c>
      <c r="BR328" s="27" t="s">
        <v>8073</v>
      </c>
    </row>
    <row r="329" spans="2:70" ht="15">
      <c r="B329" s="84"/>
      <c r="D329" s="84"/>
      <c r="E329" s="84"/>
      <c r="F329" s="84"/>
      <c r="G329" s="84"/>
      <c r="R329" s="251"/>
      <c r="S329" s="251"/>
      <c r="BD329" s="399">
        <v>326</v>
      </c>
      <c r="BE329" s="399" t="s">
        <v>1476</v>
      </c>
      <c r="BF329" s="251" t="s">
        <v>1477</v>
      </c>
      <c r="BG329" s="399" t="s">
        <v>378</v>
      </c>
      <c r="BH329" s="252">
        <v>11</v>
      </c>
      <c r="BI329" s="251" t="s">
        <v>379</v>
      </c>
      <c r="BJ329" s="251" t="s">
        <v>539</v>
      </c>
      <c r="BK329" s="251" t="s">
        <v>1478</v>
      </c>
      <c r="BL329" s="251" t="s">
        <v>382</v>
      </c>
      <c r="BQ329" s="27" t="s">
        <v>8074</v>
      </c>
      <c r="BR329" s="27" t="s">
        <v>8075</v>
      </c>
    </row>
    <row r="330" spans="2:70" ht="15">
      <c r="B330" s="84"/>
      <c r="D330" s="84"/>
      <c r="E330" s="84"/>
      <c r="F330" s="84"/>
      <c r="G330" s="84"/>
      <c r="R330" s="251"/>
      <c r="S330" s="251"/>
      <c r="BD330" s="399">
        <v>327</v>
      </c>
      <c r="BE330" s="399" t="s">
        <v>1479</v>
      </c>
      <c r="BF330" s="251" t="s">
        <v>1480</v>
      </c>
      <c r="BG330" s="399" t="s">
        <v>614</v>
      </c>
      <c r="BH330" s="252">
        <v>38</v>
      </c>
      <c r="BI330" s="251" t="s">
        <v>563</v>
      </c>
      <c r="BJ330" s="251" t="s">
        <v>351</v>
      </c>
      <c r="BK330" s="251" t="s">
        <v>1481</v>
      </c>
      <c r="BL330" s="251" t="s">
        <v>617</v>
      </c>
      <c r="BQ330" s="27" t="s">
        <v>8076</v>
      </c>
      <c r="BR330" s="27" t="s">
        <v>8077</v>
      </c>
    </row>
    <row r="331" spans="2:70" ht="15">
      <c r="B331" s="84"/>
      <c r="D331" s="84"/>
      <c r="E331" s="84"/>
      <c r="F331" s="84"/>
      <c r="G331" s="84"/>
      <c r="R331" s="251"/>
      <c r="S331" s="251"/>
      <c r="BD331" s="399">
        <v>328</v>
      </c>
      <c r="BE331" s="399" t="s">
        <v>1482</v>
      </c>
      <c r="BF331" s="251" t="s">
        <v>139</v>
      </c>
      <c r="BG331" s="399" t="s">
        <v>469</v>
      </c>
      <c r="BH331" s="252" t="s">
        <v>470</v>
      </c>
      <c r="BI331" s="251" t="s">
        <v>390</v>
      </c>
      <c r="BJ331" s="251" t="s">
        <v>380</v>
      </c>
      <c r="BK331" s="251" t="s">
        <v>1483</v>
      </c>
      <c r="BL331" s="251" t="s">
        <v>472</v>
      </c>
      <c r="BQ331" s="27" t="s">
        <v>8078</v>
      </c>
      <c r="BR331" s="27" t="s">
        <v>8079</v>
      </c>
    </row>
    <row r="332" spans="2:70" ht="15">
      <c r="B332" s="84"/>
      <c r="D332" s="84"/>
      <c r="E332" s="84"/>
      <c r="F332" s="84"/>
      <c r="G332" s="84"/>
      <c r="R332" s="251"/>
      <c r="S332" s="251"/>
      <c r="BD332" s="399">
        <v>329</v>
      </c>
      <c r="BE332" s="399" t="s">
        <v>1484</v>
      </c>
      <c r="BF332" s="251" t="s">
        <v>1485</v>
      </c>
      <c r="BG332" s="399" t="s">
        <v>469</v>
      </c>
      <c r="BH332" s="252" t="s">
        <v>470</v>
      </c>
      <c r="BI332" s="251" t="s">
        <v>615</v>
      </c>
      <c r="BJ332" s="251" t="s">
        <v>385</v>
      </c>
      <c r="BK332" s="251" t="s">
        <v>1486</v>
      </c>
      <c r="BL332" s="251" t="s">
        <v>472</v>
      </c>
      <c r="BQ332" s="27" t="s">
        <v>8080</v>
      </c>
      <c r="BR332" s="27" t="s">
        <v>8081</v>
      </c>
    </row>
    <row r="333" spans="2:70" ht="15">
      <c r="B333" s="84"/>
      <c r="D333" s="84"/>
      <c r="E333" s="84"/>
      <c r="F333" s="84"/>
      <c r="G333" s="84"/>
      <c r="R333" s="251"/>
      <c r="S333" s="251"/>
      <c r="BD333" s="399">
        <v>330</v>
      </c>
      <c r="BE333" s="399" t="s">
        <v>1487</v>
      </c>
      <c r="BF333" s="251" t="s">
        <v>140</v>
      </c>
      <c r="BG333" s="399" t="s">
        <v>378</v>
      </c>
      <c r="BH333" s="252">
        <v>11</v>
      </c>
      <c r="BI333" s="251" t="s">
        <v>396</v>
      </c>
      <c r="BJ333" s="251" t="s">
        <v>380</v>
      </c>
      <c r="BK333" s="251" t="s">
        <v>1488</v>
      </c>
      <c r="BL333" s="251" t="s">
        <v>382</v>
      </c>
      <c r="BQ333" s="27" t="s">
        <v>8082</v>
      </c>
      <c r="BR333" s="27" t="s">
        <v>8083</v>
      </c>
    </row>
    <row r="334" spans="2:70" ht="15">
      <c r="B334" s="84"/>
      <c r="D334" s="84"/>
      <c r="E334" s="84"/>
      <c r="F334" s="84"/>
      <c r="G334" s="84"/>
      <c r="R334" s="251"/>
      <c r="S334" s="251"/>
      <c r="BD334" s="399">
        <v>331</v>
      </c>
      <c r="BE334" s="399" t="s">
        <v>1489</v>
      </c>
      <c r="BF334" s="251" t="s">
        <v>1490</v>
      </c>
      <c r="BG334" s="399" t="s">
        <v>733</v>
      </c>
      <c r="BH334" s="252">
        <v>42</v>
      </c>
      <c r="BI334" s="251" t="s">
        <v>615</v>
      </c>
      <c r="BJ334" s="251" t="s">
        <v>366</v>
      </c>
      <c r="BK334" s="251" t="s">
        <v>1491</v>
      </c>
      <c r="BL334" s="251" t="s">
        <v>736</v>
      </c>
      <c r="BQ334" s="27" t="s">
        <v>8084</v>
      </c>
      <c r="BR334" s="27" t="s">
        <v>8085</v>
      </c>
    </row>
    <row r="335" spans="2:70" ht="15">
      <c r="B335" s="84"/>
      <c r="D335" s="84"/>
      <c r="E335" s="84"/>
      <c r="F335" s="84"/>
      <c r="G335" s="84"/>
      <c r="R335" s="251"/>
      <c r="S335" s="251"/>
      <c r="BD335" s="399">
        <v>332</v>
      </c>
      <c r="BE335" s="399" t="s">
        <v>1492</v>
      </c>
      <c r="BF335" s="251" t="s">
        <v>1493</v>
      </c>
      <c r="BG335" s="399" t="s">
        <v>435</v>
      </c>
      <c r="BH335" s="252" t="s">
        <v>436</v>
      </c>
      <c r="BI335" s="251" t="s">
        <v>450</v>
      </c>
      <c r="BJ335" s="251" t="s">
        <v>539</v>
      </c>
      <c r="BK335" s="251" t="s">
        <v>1494</v>
      </c>
      <c r="BL335" s="251" t="s">
        <v>439</v>
      </c>
      <c r="BQ335" s="27" t="s">
        <v>8086</v>
      </c>
      <c r="BR335" s="27" t="s">
        <v>8087</v>
      </c>
    </row>
    <row r="336" spans="2:70" ht="15">
      <c r="B336" s="84"/>
      <c r="D336" s="84"/>
      <c r="E336" s="84"/>
      <c r="F336" s="84"/>
      <c r="G336" s="84"/>
      <c r="R336" s="251"/>
      <c r="S336" s="251"/>
      <c r="BD336" s="399">
        <v>333</v>
      </c>
      <c r="BE336" s="399" t="s">
        <v>1495</v>
      </c>
      <c r="BF336" s="251" t="s">
        <v>1496</v>
      </c>
      <c r="BG336" s="399" t="s">
        <v>469</v>
      </c>
      <c r="BH336" s="252" t="s">
        <v>470</v>
      </c>
      <c r="BI336" s="251" t="s">
        <v>615</v>
      </c>
      <c r="BJ336" s="251" t="s">
        <v>350</v>
      </c>
      <c r="BK336" s="251" t="s">
        <v>1497</v>
      </c>
      <c r="BL336" s="251" t="s">
        <v>472</v>
      </c>
      <c r="BQ336" s="27" t="s">
        <v>8088</v>
      </c>
      <c r="BR336" s="27" t="s">
        <v>8089</v>
      </c>
    </row>
    <row r="337" spans="2:70" ht="15">
      <c r="B337" s="84"/>
      <c r="D337" s="84"/>
      <c r="E337" s="84"/>
      <c r="F337" s="84"/>
      <c r="G337" s="84"/>
      <c r="R337" s="251"/>
      <c r="S337" s="251"/>
      <c r="BD337" s="399">
        <v>334</v>
      </c>
      <c r="BE337" s="399" t="s">
        <v>1498</v>
      </c>
      <c r="BF337" s="251" t="s">
        <v>1499</v>
      </c>
      <c r="BG337" s="399" t="s">
        <v>363</v>
      </c>
      <c r="BH337" s="252" t="s">
        <v>575</v>
      </c>
      <c r="BI337" s="251" t="s">
        <v>357</v>
      </c>
      <c r="BJ337" s="251" t="s">
        <v>954</v>
      </c>
      <c r="BK337" s="251" t="s">
        <v>1500</v>
      </c>
      <c r="BL337" s="251" t="s">
        <v>368</v>
      </c>
      <c r="BQ337" s="27" t="s">
        <v>8090</v>
      </c>
      <c r="BR337" s="27" t="s">
        <v>8091</v>
      </c>
    </row>
    <row r="338" spans="2:70" ht="15">
      <c r="B338" s="84"/>
      <c r="D338" s="84"/>
      <c r="E338" s="84"/>
      <c r="F338" s="84"/>
      <c r="G338" s="84"/>
      <c r="R338" s="251"/>
      <c r="S338" s="251"/>
      <c r="BD338" s="399">
        <v>335</v>
      </c>
      <c r="BE338" s="399" t="s">
        <v>1501</v>
      </c>
      <c r="BF338" s="251" t="s">
        <v>1502</v>
      </c>
      <c r="BG338" s="399" t="s">
        <v>371</v>
      </c>
      <c r="BH338" s="252">
        <v>28</v>
      </c>
      <c r="BI338" s="251" t="s">
        <v>365</v>
      </c>
      <c r="BJ338" s="251" t="s">
        <v>380</v>
      </c>
      <c r="BK338" s="251" t="s">
        <v>1503</v>
      </c>
      <c r="BL338" s="251" t="s">
        <v>375</v>
      </c>
      <c r="BQ338" s="27" t="s">
        <v>8092</v>
      </c>
      <c r="BR338" s="27" t="s">
        <v>8093</v>
      </c>
    </row>
    <row r="339" spans="2:70" ht="15">
      <c r="B339" s="84"/>
      <c r="D339" s="84"/>
      <c r="E339" s="84"/>
      <c r="F339" s="84"/>
      <c r="G339" s="84"/>
      <c r="R339" s="251"/>
      <c r="S339" s="251"/>
      <c r="BD339" s="399">
        <v>336</v>
      </c>
      <c r="BE339" s="399" t="s">
        <v>1504</v>
      </c>
      <c r="BF339" s="251" t="s">
        <v>1505</v>
      </c>
      <c r="BG339" s="399" t="s">
        <v>356</v>
      </c>
      <c r="BH339" s="252">
        <v>18</v>
      </c>
      <c r="BI339" s="251" t="s">
        <v>413</v>
      </c>
      <c r="BJ339" s="251" t="s">
        <v>351</v>
      </c>
      <c r="BK339" s="251" t="s">
        <v>1506</v>
      </c>
      <c r="BL339" s="251" t="s">
        <v>360</v>
      </c>
      <c r="BQ339" s="27" t="s">
        <v>8094</v>
      </c>
      <c r="BR339" s="27" t="s">
        <v>8095</v>
      </c>
    </row>
    <row r="340" spans="2:70" ht="15">
      <c r="B340" s="84"/>
      <c r="D340" s="84"/>
      <c r="E340" s="84"/>
      <c r="F340" s="84"/>
      <c r="G340" s="84"/>
      <c r="R340" s="251"/>
      <c r="S340" s="251"/>
      <c r="BD340" s="399">
        <v>337</v>
      </c>
      <c r="BE340" s="399" t="s">
        <v>1507</v>
      </c>
      <c r="BF340" s="251" t="s">
        <v>1508</v>
      </c>
      <c r="BG340" s="399" t="s">
        <v>469</v>
      </c>
      <c r="BH340" s="252" t="s">
        <v>470</v>
      </c>
      <c r="BI340" s="251" t="s">
        <v>333</v>
      </c>
      <c r="BJ340" s="251" t="s">
        <v>397</v>
      </c>
      <c r="BK340" s="251" t="s">
        <v>1509</v>
      </c>
      <c r="BL340" s="251" t="s">
        <v>472</v>
      </c>
      <c r="BQ340" s="27" t="s">
        <v>8096</v>
      </c>
      <c r="BR340" s="27" t="s">
        <v>7424</v>
      </c>
    </row>
    <row r="341" spans="2:70" ht="15">
      <c r="B341" s="84"/>
      <c r="D341" s="84"/>
      <c r="E341" s="84"/>
      <c r="F341" s="84"/>
      <c r="G341" s="84"/>
      <c r="R341" s="251"/>
      <c r="S341" s="251"/>
      <c r="BD341" s="399">
        <v>338</v>
      </c>
      <c r="BE341" s="399" t="s">
        <v>1510</v>
      </c>
      <c r="BF341" s="251" t="s">
        <v>1511</v>
      </c>
      <c r="BG341" s="399" t="s">
        <v>363</v>
      </c>
      <c r="BH341" s="252" t="s">
        <v>364</v>
      </c>
      <c r="BI341" s="251" t="s">
        <v>445</v>
      </c>
      <c r="BJ341" s="251" t="s">
        <v>351</v>
      </c>
      <c r="BK341" s="251" t="s">
        <v>1512</v>
      </c>
      <c r="BL341" s="251" t="s">
        <v>368</v>
      </c>
      <c r="BQ341" s="27" t="s">
        <v>8097</v>
      </c>
      <c r="BR341" s="27" t="s">
        <v>8098</v>
      </c>
    </row>
    <row r="342" spans="2:70" ht="15">
      <c r="B342" s="84"/>
      <c r="D342" s="84"/>
      <c r="E342" s="84"/>
      <c r="F342" s="84"/>
      <c r="G342" s="84"/>
      <c r="R342" s="251"/>
      <c r="S342" s="251"/>
      <c r="BD342" s="399">
        <v>339</v>
      </c>
      <c r="BE342" s="399" t="s">
        <v>1513</v>
      </c>
      <c r="BF342" s="251" t="s">
        <v>1514</v>
      </c>
      <c r="BG342" s="399" t="s">
        <v>378</v>
      </c>
      <c r="BH342" s="252">
        <v>11</v>
      </c>
      <c r="BI342" s="251" t="s">
        <v>728</v>
      </c>
      <c r="BJ342" s="251" t="s">
        <v>380</v>
      </c>
      <c r="BK342" s="251" t="s">
        <v>1515</v>
      </c>
      <c r="BL342" s="251" t="s">
        <v>382</v>
      </c>
      <c r="BQ342" s="27" t="s">
        <v>8099</v>
      </c>
      <c r="BR342" s="27" t="s">
        <v>8100</v>
      </c>
    </row>
    <row r="343" spans="2:70" ht="15">
      <c r="B343" s="84"/>
      <c r="D343" s="84"/>
      <c r="E343" s="84"/>
      <c r="F343" s="84"/>
      <c r="G343" s="84"/>
      <c r="R343" s="251"/>
      <c r="S343" s="251"/>
      <c r="BD343" s="399">
        <v>340</v>
      </c>
      <c r="BE343" s="399" t="s">
        <v>1516</v>
      </c>
      <c r="BF343" s="251" t="s">
        <v>1517</v>
      </c>
      <c r="BG343" s="399" t="s">
        <v>371</v>
      </c>
      <c r="BH343" s="252">
        <v>28</v>
      </c>
      <c r="BI343" s="251" t="s">
        <v>798</v>
      </c>
      <c r="BJ343" s="251" t="s">
        <v>373</v>
      </c>
      <c r="BK343" s="251" t="s">
        <v>1518</v>
      </c>
      <c r="BL343" s="251" t="s">
        <v>375</v>
      </c>
      <c r="BQ343" s="27" t="s">
        <v>8101</v>
      </c>
      <c r="BR343" s="27" t="s">
        <v>7354</v>
      </c>
    </row>
    <row r="344" spans="2:70" ht="15">
      <c r="B344" s="84"/>
      <c r="D344" s="84"/>
      <c r="E344" s="84"/>
      <c r="F344" s="84"/>
      <c r="G344" s="84"/>
      <c r="R344" s="251"/>
      <c r="S344" s="251"/>
      <c r="BD344" s="399">
        <v>341</v>
      </c>
      <c r="BE344" s="399" t="s">
        <v>1519</v>
      </c>
      <c r="BF344" s="251" t="s">
        <v>1520</v>
      </c>
      <c r="BG344" s="399">
        <v>67</v>
      </c>
      <c r="BH344" s="252">
        <v>67</v>
      </c>
      <c r="BI344" s="251" t="s">
        <v>477</v>
      </c>
      <c r="BJ344" s="251" t="s">
        <v>385</v>
      </c>
      <c r="BK344" s="251" t="s">
        <v>1521</v>
      </c>
      <c r="BL344" s="251" t="s">
        <v>1522</v>
      </c>
      <c r="BQ344" s="27" t="s">
        <v>8102</v>
      </c>
      <c r="BR344" s="27" t="s">
        <v>8103</v>
      </c>
    </row>
    <row r="345" spans="2:70" ht="15">
      <c r="B345" s="84"/>
      <c r="D345" s="84"/>
      <c r="E345" s="84"/>
      <c r="F345" s="84"/>
      <c r="G345" s="84"/>
      <c r="R345" s="251"/>
      <c r="S345" s="251"/>
      <c r="BD345" s="399">
        <v>342</v>
      </c>
      <c r="BE345" s="399" t="s">
        <v>532</v>
      </c>
      <c r="BF345" s="251" t="s">
        <v>1523</v>
      </c>
      <c r="BG345" s="399" t="s">
        <v>475</v>
      </c>
      <c r="BH345" s="252" t="s">
        <v>510</v>
      </c>
      <c r="BI345" s="251" t="s">
        <v>535</v>
      </c>
      <c r="BJ345" s="251" t="s">
        <v>413</v>
      </c>
      <c r="BK345" s="251" t="s">
        <v>1524</v>
      </c>
      <c r="BL345" s="251" t="s">
        <v>479</v>
      </c>
      <c r="BQ345" s="27" t="s">
        <v>8104</v>
      </c>
      <c r="BR345" s="27" t="s">
        <v>8105</v>
      </c>
    </row>
    <row r="346" spans="2:70" ht="15">
      <c r="B346" s="84"/>
      <c r="D346" s="84"/>
      <c r="E346" s="84"/>
      <c r="F346" s="84"/>
      <c r="G346" s="84"/>
      <c r="R346" s="251"/>
      <c r="S346" s="251"/>
      <c r="BD346" s="399">
        <v>343</v>
      </c>
      <c r="BE346" s="399" t="s">
        <v>1525</v>
      </c>
      <c r="BF346" s="251" t="s">
        <v>1526</v>
      </c>
      <c r="BG346" s="399" t="s">
        <v>435</v>
      </c>
      <c r="BH346" s="252" t="s">
        <v>436</v>
      </c>
      <c r="BI346" s="251" t="s">
        <v>365</v>
      </c>
      <c r="BJ346" s="251" t="s">
        <v>385</v>
      </c>
      <c r="BK346" s="251" t="s">
        <v>1527</v>
      </c>
      <c r="BL346" s="251" t="s">
        <v>439</v>
      </c>
      <c r="BQ346" s="27" t="s">
        <v>8106</v>
      </c>
      <c r="BR346" s="27" t="s">
        <v>8107</v>
      </c>
    </row>
    <row r="347" spans="2:70" ht="15">
      <c r="B347" s="84"/>
      <c r="D347" s="84"/>
      <c r="E347" s="84"/>
      <c r="F347" s="84"/>
      <c r="G347" s="84"/>
      <c r="R347" s="251"/>
      <c r="S347" s="251"/>
      <c r="BD347" s="399">
        <v>344</v>
      </c>
      <c r="BE347" s="399" t="s">
        <v>1528</v>
      </c>
      <c r="BF347" s="251" t="s">
        <v>1529</v>
      </c>
      <c r="BG347" s="399" t="s">
        <v>371</v>
      </c>
      <c r="BH347" s="252">
        <v>28</v>
      </c>
      <c r="BI347" s="251" t="s">
        <v>334</v>
      </c>
      <c r="BJ347" s="251" t="s">
        <v>390</v>
      </c>
      <c r="BK347" s="251" t="s">
        <v>1530</v>
      </c>
      <c r="BL347" s="251" t="s">
        <v>375</v>
      </c>
      <c r="BQ347" s="27" t="s">
        <v>8108</v>
      </c>
      <c r="BR347" s="27" t="s">
        <v>8109</v>
      </c>
    </row>
    <row r="348" spans="2:70" ht="15">
      <c r="B348" s="84"/>
      <c r="D348" s="84"/>
      <c r="E348" s="84"/>
      <c r="F348" s="84"/>
      <c r="G348" s="84"/>
      <c r="R348" s="251"/>
      <c r="S348" s="251"/>
      <c r="BD348" s="399">
        <v>345</v>
      </c>
      <c r="BE348" s="399" t="s">
        <v>1531</v>
      </c>
      <c r="BF348" s="251" t="s">
        <v>1532</v>
      </c>
      <c r="BG348" s="399" t="s">
        <v>389</v>
      </c>
      <c r="BH348" s="252">
        <v>39</v>
      </c>
      <c r="BI348" s="251" t="s">
        <v>365</v>
      </c>
      <c r="BJ348" s="251" t="s">
        <v>407</v>
      </c>
      <c r="BK348" s="251" t="s">
        <v>1533</v>
      </c>
      <c r="BL348" s="251" t="s">
        <v>392</v>
      </c>
      <c r="BQ348" s="27" t="s">
        <v>8110</v>
      </c>
      <c r="BR348" s="27" t="s">
        <v>8111</v>
      </c>
    </row>
    <row r="349" spans="2:70" ht="15">
      <c r="B349" s="84"/>
      <c r="D349" s="84"/>
      <c r="E349" s="84"/>
      <c r="F349" s="84"/>
      <c r="G349" s="84"/>
      <c r="R349" s="251"/>
      <c r="S349" s="251"/>
      <c r="BD349" s="399">
        <v>346</v>
      </c>
      <c r="BE349" s="399" t="s">
        <v>1534</v>
      </c>
      <c r="BF349" s="251" t="s">
        <v>1535</v>
      </c>
      <c r="BG349" s="399" t="s">
        <v>363</v>
      </c>
      <c r="BH349" s="252" t="s">
        <v>364</v>
      </c>
      <c r="BI349" s="251" t="s">
        <v>331</v>
      </c>
      <c r="BJ349" s="251" t="s">
        <v>351</v>
      </c>
      <c r="BK349" s="251" t="s">
        <v>1536</v>
      </c>
      <c r="BL349" s="251" t="s">
        <v>368</v>
      </c>
      <c r="BQ349" s="27" t="s">
        <v>8112</v>
      </c>
      <c r="BR349" s="27" t="s">
        <v>8113</v>
      </c>
    </row>
    <row r="350" spans="2:70" ht="15">
      <c r="B350" s="84"/>
      <c r="D350" s="84"/>
      <c r="E350" s="84"/>
      <c r="F350" s="84"/>
      <c r="G350" s="84"/>
      <c r="R350" s="251"/>
      <c r="S350" s="251"/>
      <c r="BD350" s="399">
        <v>347</v>
      </c>
      <c r="BE350" s="399" t="s">
        <v>1537</v>
      </c>
      <c r="BF350" s="251" t="s">
        <v>1538</v>
      </c>
      <c r="BG350" s="399" t="s">
        <v>363</v>
      </c>
      <c r="BH350" s="252" t="s">
        <v>364</v>
      </c>
      <c r="BI350" s="251" t="s">
        <v>365</v>
      </c>
      <c r="BJ350" s="251" t="s">
        <v>390</v>
      </c>
      <c r="BK350" s="251" t="s">
        <v>1539</v>
      </c>
      <c r="BL350" s="251" t="s">
        <v>368</v>
      </c>
      <c r="BQ350" s="27" t="s">
        <v>8114</v>
      </c>
      <c r="BR350" s="27" t="s">
        <v>8115</v>
      </c>
    </row>
    <row r="351" spans="2:70" ht="15">
      <c r="B351" s="84"/>
      <c r="D351" s="84"/>
      <c r="E351" s="84"/>
      <c r="F351" s="84"/>
      <c r="G351" s="84"/>
      <c r="R351" s="251"/>
      <c r="S351" s="251"/>
      <c r="BD351" s="399">
        <v>348</v>
      </c>
      <c r="BE351" s="399" t="s">
        <v>1540</v>
      </c>
      <c r="BF351" s="251" t="s">
        <v>1541</v>
      </c>
      <c r="BG351" s="399">
        <v>54</v>
      </c>
      <c r="BH351" s="252">
        <v>54</v>
      </c>
      <c r="BI351" s="251" t="s">
        <v>477</v>
      </c>
      <c r="BJ351" s="251" t="s">
        <v>380</v>
      </c>
      <c r="BK351" s="251" t="s">
        <v>1542</v>
      </c>
      <c r="BL351" s="251" t="s">
        <v>930</v>
      </c>
      <c r="BQ351" s="27" t="s">
        <v>8116</v>
      </c>
      <c r="BR351" s="27" t="s">
        <v>7425</v>
      </c>
    </row>
    <row r="352" spans="2:70" ht="15">
      <c r="B352" s="84"/>
      <c r="D352" s="84"/>
      <c r="E352" s="84"/>
      <c r="F352" s="84"/>
      <c r="G352" s="84"/>
      <c r="R352" s="251"/>
      <c r="S352" s="251"/>
      <c r="BD352" s="399">
        <v>349</v>
      </c>
      <c r="BE352" s="399" t="s">
        <v>1543</v>
      </c>
      <c r="BF352" s="251" t="s">
        <v>1544</v>
      </c>
      <c r="BG352" s="399" t="s">
        <v>363</v>
      </c>
      <c r="BH352" s="252" t="s">
        <v>364</v>
      </c>
      <c r="BI352" s="251" t="s">
        <v>563</v>
      </c>
      <c r="BJ352" s="251" t="s">
        <v>407</v>
      </c>
      <c r="BK352" s="251" t="s">
        <v>1545</v>
      </c>
      <c r="BL352" s="251" t="s">
        <v>368</v>
      </c>
      <c r="BQ352" s="27" t="s">
        <v>8117</v>
      </c>
      <c r="BR352" s="27" t="s">
        <v>8118</v>
      </c>
    </row>
    <row r="353" spans="2:70" ht="15">
      <c r="B353" s="84"/>
      <c r="D353" s="84"/>
      <c r="E353" s="84"/>
      <c r="F353" s="84"/>
      <c r="G353" s="84"/>
      <c r="R353" s="251"/>
      <c r="S353" s="251"/>
      <c r="BD353" s="399">
        <v>350</v>
      </c>
      <c r="BE353" s="399" t="s">
        <v>1546</v>
      </c>
      <c r="BF353" s="251" t="s">
        <v>1547</v>
      </c>
      <c r="BG353" s="399" t="s">
        <v>363</v>
      </c>
      <c r="BH353" s="252" t="s">
        <v>575</v>
      </c>
      <c r="BI353" s="251" t="s">
        <v>357</v>
      </c>
      <c r="BJ353" s="251" t="s">
        <v>390</v>
      </c>
      <c r="BK353" s="251" t="s">
        <v>1548</v>
      </c>
      <c r="BL353" s="251" t="s">
        <v>368</v>
      </c>
      <c r="BQ353" s="27" t="s">
        <v>8119</v>
      </c>
      <c r="BR353" s="27" t="s">
        <v>8120</v>
      </c>
    </row>
    <row r="354" spans="2:70" ht="15">
      <c r="B354" s="84"/>
      <c r="D354" s="84"/>
      <c r="E354" s="84"/>
      <c r="F354" s="84"/>
      <c r="G354" s="84"/>
      <c r="R354" s="251"/>
      <c r="S354" s="251"/>
      <c r="BD354" s="399">
        <v>351</v>
      </c>
      <c r="BE354" s="399" t="s">
        <v>1549</v>
      </c>
      <c r="BF354" s="251" t="s">
        <v>1550</v>
      </c>
      <c r="BG354" s="399">
        <v>51</v>
      </c>
      <c r="BH354" s="252">
        <v>51</v>
      </c>
      <c r="BI354" s="251" t="s">
        <v>615</v>
      </c>
      <c r="BJ354" s="251" t="s">
        <v>407</v>
      </c>
      <c r="BK354" s="251" t="s">
        <v>1551</v>
      </c>
      <c r="BL354" s="251" t="s">
        <v>730</v>
      </c>
      <c r="BQ354" s="27" t="s">
        <v>8121</v>
      </c>
      <c r="BR354" s="27" t="s">
        <v>7458</v>
      </c>
    </row>
    <row r="355" spans="2:70" ht="15">
      <c r="B355" s="84"/>
      <c r="D355" s="84"/>
      <c r="E355" s="84"/>
      <c r="F355" s="84"/>
      <c r="G355" s="84"/>
      <c r="R355" s="251"/>
      <c r="S355" s="251"/>
      <c r="BD355" s="399">
        <v>352</v>
      </c>
      <c r="BE355" s="399" t="s">
        <v>1552</v>
      </c>
      <c r="BF355" s="251" t="s">
        <v>1553</v>
      </c>
      <c r="BG355" s="399" t="s">
        <v>0</v>
      </c>
      <c r="BH355" s="252">
        <v>48</v>
      </c>
      <c r="BI355" s="251" t="s">
        <v>379</v>
      </c>
      <c r="BJ355" s="251" t="s">
        <v>366</v>
      </c>
      <c r="BK355" s="251" t="s">
        <v>1554</v>
      </c>
      <c r="BL355" s="251" t="s">
        <v>818</v>
      </c>
      <c r="BQ355" s="27" t="s">
        <v>8122</v>
      </c>
      <c r="BR355" s="27" t="s">
        <v>8123</v>
      </c>
    </row>
    <row r="356" spans="2:70" ht="15">
      <c r="B356" s="84"/>
      <c r="D356" s="84"/>
      <c r="E356" s="84"/>
      <c r="F356" s="84"/>
      <c r="G356" s="84"/>
      <c r="R356" s="251"/>
      <c r="S356" s="251"/>
      <c r="BD356" s="399">
        <v>353</v>
      </c>
      <c r="BE356" s="399" t="s">
        <v>1555</v>
      </c>
      <c r="BF356" s="251" t="s">
        <v>1556</v>
      </c>
      <c r="BG356" s="399" t="s">
        <v>602</v>
      </c>
      <c r="BH356" s="252">
        <v>47</v>
      </c>
      <c r="BI356" s="251" t="s">
        <v>379</v>
      </c>
      <c r="BJ356" s="251" t="s">
        <v>351</v>
      </c>
      <c r="BK356" s="251" t="s">
        <v>1557</v>
      </c>
      <c r="BL356" s="251" t="s">
        <v>604</v>
      </c>
      <c r="BQ356" s="27" t="s">
        <v>8124</v>
      </c>
      <c r="BR356" s="27" t="s">
        <v>8125</v>
      </c>
    </row>
    <row r="357" spans="2:70" ht="15">
      <c r="B357" s="84"/>
      <c r="D357" s="84"/>
      <c r="E357" s="84"/>
      <c r="F357" s="84"/>
      <c r="G357" s="84"/>
      <c r="R357" s="251"/>
      <c r="S357" s="251"/>
      <c r="BD357" s="399">
        <v>354</v>
      </c>
      <c r="BE357" s="399" t="s">
        <v>1558</v>
      </c>
      <c r="BF357" s="251" t="s">
        <v>1559</v>
      </c>
      <c r="BG357" s="399" t="s">
        <v>349</v>
      </c>
      <c r="BH357" s="252">
        <v>17</v>
      </c>
      <c r="BI357" s="251" t="s">
        <v>332</v>
      </c>
      <c r="BJ357" s="251" t="s">
        <v>380</v>
      </c>
      <c r="BK357" s="251" t="s">
        <v>1560</v>
      </c>
      <c r="BL357" s="251" t="s">
        <v>353</v>
      </c>
      <c r="BQ357" s="27" t="s">
        <v>8126</v>
      </c>
      <c r="BR357" s="27" t="s">
        <v>8127</v>
      </c>
    </row>
    <row r="358" spans="2:70" ht="15">
      <c r="B358" s="84"/>
      <c r="D358" s="84"/>
      <c r="E358" s="84"/>
      <c r="F358" s="84"/>
      <c r="G358" s="84"/>
      <c r="R358" s="251"/>
      <c r="S358" s="251"/>
      <c r="BD358" s="399">
        <v>355</v>
      </c>
      <c r="BE358" s="399" t="s">
        <v>1561</v>
      </c>
      <c r="BF358" s="251" t="s">
        <v>1562</v>
      </c>
      <c r="BG358" s="399" t="s">
        <v>371</v>
      </c>
      <c r="BH358" s="252">
        <v>28</v>
      </c>
      <c r="BI358" s="251" t="s">
        <v>331</v>
      </c>
      <c r="BJ358" s="251" t="s">
        <v>351</v>
      </c>
      <c r="BK358" s="251" t="s">
        <v>1563</v>
      </c>
      <c r="BL358" s="251" t="s">
        <v>375</v>
      </c>
      <c r="BQ358" s="27" t="s">
        <v>8128</v>
      </c>
      <c r="BR358" s="27" t="s">
        <v>8129</v>
      </c>
    </row>
    <row r="359" spans="2:70" ht="15">
      <c r="B359" s="84"/>
      <c r="D359" s="84"/>
      <c r="E359" s="84"/>
      <c r="F359" s="84"/>
      <c r="G359" s="84"/>
      <c r="R359" s="251"/>
      <c r="S359" s="251"/>
      <c r="BD359" s="399">
        <v>356</v>
      </c>
      <c r="BE359" s="399" t="s">
        <v>1564</v>
      </c>
      <c r="BF359" s="251" t="s">
        <v>1565</v>
      </c>
      <c r="BG359" s="399" t="s">
        <v>395</v>
      </c>
      <c r="BH359" s="252">
        <v>16</v>
      </c>
      <c r="BI359" s="251" t="s">
        <v>350</v>
      </c>
      <c r="BJ359" s="251" t="s">
        <v>366</v>
      </c>
      <c r="BK359" s="251" t="s">
        <v>1566</v>
      </c>
      <c r="BL359" s="251" t="s">
        <v>399</v>
      </c>
      <c r="BQ359" s="27" t="s">
        <v>8130</v>
      </c>
      <c r="BR359" s="27" t="s">
        <v>8131</v>
      </c>
    </row>
    <row r="360" spans="2:70" ht="15">
      <c r="B360" s="84"/>
      <c r="D360" s="84"/>
      <c r="E360" s="84"/>
      <c r="F360" s="84"/>
      <c r="G360" s="84"/>
      <c r="R360" s="251"/>
      <c r="S360" s="251"/>
      <c r="BD360" s="399">
        <v>357</v>
      </c>
      <c r="BE360" s="399" t="s">
        <v>1567</v>
      </c>
      <c r="BF360" s="251" t="s">
        <v>1568</v>
      </c>
      <c r="BG360" s="399" t="s">
        <v>423</v>
      </c>
      <c r="BH360" s="252" t="s">
        <v>424</v>
      </c>
      <c r="BI360" s="251" t="s">
        <v>450</v>
      </c>
      <c r="BJ360" s="251" t="s">
        <v>366</v>
      </c>
      <c r="BK360" s="251" t="s">
        <v>1569</v>
      </c>
      <c r="BL360" s="251" t="s">
        <v>426</v>
      </c>
      <c r="BQ360" s="27" t="s">
        <v>8132</v>
      </c>
      <c r="BR360" s="27" t="s">
        <v>8133</v>
      </c>
    </row>
    <row r="361" spans="2:70" ht="15">
      <c r="B361" s="84"/>
      <c r="D361" s="84"/>
      <c r="E361" s="84"/>
      <c r="F361" s="84"/>
      <c r="G361" s="84"/>
      <c r="R361" s="251"/>
      <c r="S361" s="251"/>
      <c r="BD361" s="399">
        <v>358</v>
      </c>
      <c r="BE361" s="399" t="s">
        <v>1570</v>
      </c>
      <c r="BF361" s="251" t="s">
        <v>1571</v>
      </c>
      <c r="BG361" s="399" t="s">
        <v>469</v>
      </c>
      <c r="BH361" s="252" t="s">
        <v>662</v>
      </c>
      <c r="BI361" s="251" t="s">
        <v>331</v>
      </c>
      <c r="BJ361" s="251" t="s">
        <v>397</v>
      </c>
      <c r="BK361" s="251" t="s">
        <v>1572</v>
      </c>
      <c r="BL361" s="251" t="s">
        <v>472</v>
      </c>
      <c r="BQ361" s="27" t="s">
        <v>8134</v>
      </c>
      <c r="BR361" s="27" t="s">
        <v>8135</v>
      </c>
    </row>
    <row r="362" spans="2:70" ht="15">
      <c r="B362" s="84"/>
      <c r="D362" s="84"/>
      <c r="E362" s="84"/>
      <c r="F362" s="84"/>
      <c r="G362" s="84"/>
      <c r="R362" s="251"/>
      <c r="S362" s="251"/>
      <c r="BD362" s="399">
        <v>359</v>
      </c>
      <c r="BE362" s="399" t="s">
        <v>1573</v>
      </c>
      <c r="BF362" s="251" t="s">
        <v>1574</v>
      </c>
      <c r="BG362" s="399">
        <v>51</v>
      </c>
      <c r="BH362" s="252">
        <v>51</v>
      </c>
      <c r="BI362" s="251" t="s">
        <v>379</v>
      </c>
      <c r="BJ362" s="251" t="s">
        <v>366</v>
      </c>
      <c r="BK362" s="251" t="s">
        <v>1575</v>
      </c>
      <c r="BL362" s="251" t="s">
        <v>730</v>
      </c>
      <c r="BQ362" s="27" t="s">
        <v>8136</v>
      </c>
      <c r="BR362" s="27" t="s">
        <v>8137</v>
      </c>
    </row>
    <row r="363" spans="2:70" ht="15">
      <c r="B363" s="84"/>
      <c r="D363" s="84"/>
      <c r="E363" s="84"/>
      <c r="F363" s="84"/>
      <c r="G363" s="84"/>
      <c r="R363" s="251"/>
      <c r="S363" s="251"/>
      <c r="BD363" s="399">
        <v>360</v>
      </c>
      <c r="BE363" s="399" t="s">
        <v>1576</v>
      </c>
      <c r="BF363" s="251" t="s">
        <v>1577</v>
      </c>
      <c r="BG363" s="399" t="s">
        <v>602</v>
      </c>
      <c r="BH363" s="252">
        <v>47</v>
      </c>
      <c r="BI363" s="251" t="s">
        <v>477</v>
      </c>
      <c r="BJ363" s="251" t="s">
        <v>385</v>
      </c>
      <c r="BK363" s="251" t="s">
        <v>1578</v>
      </c>
      <c r="BL363" s="251" t="s">
        <v>604</v>
      </c>
      <c r="BQ363" s="27" t="s">
        <v>8138</v>
      </c>
      <c r="BR363" s="27" t="s">
        <v>8139</v>
      </c>
    </row>
    <row r="364" spans="2:70" ht="15">
      <c r="B364" s="84"/>
      <c r="D364" s="84"/>
      <c r="E364" s="84"/>
      <c r="F364" s="84"/>
      <c r="G364" s="84"/>
      <c r="R364" s="251"/>
      <c r="S364" s="251"/>
      <c r="BD364" s="399">
        <v>361</v>
      </c>
      <c r="BE364" s="399" t="s">
        <v>1579</v>
      </c>
      <c r="BF364" s="251" t="s">
        <v>1580</v>
      </c>
      <c r="BG364" s="399" t="s">
        <v>363</v>
      </c>
      <c r="BH364" s="252" t="s">
        <v>575</v>
      </c>
      <c r="BI364" s="251" t="s">
        <v>728</v>
      </c>
      <c r="BJ364" s="251" t="s">
        <v>397</v>
      </c>
      <c r="BK364" s="251" t="s">
        <v>1581</v>
      </c>
      <c r="BL364" s="251" t="s">
        <v>368</v>
      </c>
      <c r="BQ364" s="27" t="s">
        <v>8140</v>
      </c>
      <c r="BR364" s="27" t="s">
        <v>8141</v>
      </c>
    </row>
    <row r="365" spans="2:70" ht="15">
      <c r="B365" s="84"/>
      <c r="D365" s="84"/>
      <c r="E365" s="84"/>
      <c r="F365" s="84"/>
      <c r="G365" s="84"/>
      <c r="R365" s="251"/>
      <c r="S365" s="251"/>
      <c r="BD365" s="399">
        <v>362</v>
      </c>
      <c r="BE365" s="399" t="s">
        <v>1582</v>
      </c>
      <c r="BF365" s="251" t="s">
        <v>1583</v>
      </c>
      <c r="BG365" s="399" t="s">
        <v>469</v>
      </c>
      <c r="BH365" s="252" t="s">
        <v>470</v>
      </c>
      <c r="BI365" s="251" t="s">
        <v>379</v>
      </c>
      <c r="BJ365" s="251" t="s">
        <v>351</v>
      </c>
      <c r="BK365" s="251" t="s">
        <v>1584</v>
      </c>
      <c r="BL365" s="251" t="s">
        <v>472</v>
      </c>
      <c r="BQ365" s="27" t="s">
        <v>8142</v>
      </c>
      <c r="BR365" s="27" t="s">
        <v>8143</v>
      </c>
    </row>
    <row r="366" spans="2:70" ht="15">
      <c r="B366" s="84"/>
      <c r="D366" s="84"/>
      <c r="E366" s="84"/>
      <c r="F366" s="84"/>
      <c r="G366" s="84"/>
      <c r="R366" s="251"/>
      <c r="S366" s="251"/>
      <c r="BD366" s="399">
        <v>363</v>
      </c>
      <c r="BE366" s="399" t="s">
        <v>1585</v>
      </c>
      <c r="BF366" s="251" t="s">
        <v>1586</v>
      </c>
      <c r="BG366" s="399" t="s">
        <v>429</v>
      </c>
      <c r="BH366" s="252" t="s">
        <v>430</v>
      </c>
      <c r="BI366" s="251" t="s">
        <v>477</v>
      </c>
      <c r="BJ366" s="251" t="s">
        <v>539</v>
      </c>
      <c r="BK366" s="251" t="s">
        <v>1587</v>
      </c>
      <c r="BL366" s="251" t="s">
        <v>432</v>
      </c>
      <c r="BQ366" s="27" t="s">
        <v>8144</v>
      </c>
      <c r="BR366" s="27" t="s">
        <v>8145</v>
      </c>
    </row>
    <row r="367" spans="2:70" ht="15">
      <c r="B367" s="84"/>
      <c r="D367" s="84"/>
      <c r="E367" s="84"/>
      <c r="F367" s="84"/>
      <c r="G367" s="84"/>
      <c r="R367" s="251"/>
      <c r="S367" s="251"/>
      <c r="BD367" s="399">
        <v>364</v>
      </c>
      <c r="BE367" s="399" t="s">
        <v>1588</v>
      </c>
      <c r="BF367" s="251" t="s">
        <v>1589</v>
      </c>
      <c r="BG367" s="399" t="s">
        <v>389</v>
      </c>
      <c r="BH367" s="252">
        <v>39</v>
      </c>
      <c r="BI367" s="251" t="s">
        <v>563</v>
      </c>
      <c r="BJ367" s="251" t="s">
        <v>366</v>
      </c>
      <c r="BK367" s="251" t="s">
        <v>1590</v>
      </c>
      <c r="BL367" s="251" t="s">
        <v>392</v>
      </c>
      <c r="BQ367" s="27" t="s">
        <v>8146</v>
      </c>
      <c r="BR367" s="27" t="s">
        <v>8147</v>
      </c>
    </row>
    <row r="368" spans="2:70" ht="15">
      <c r="B368" s="84"/>
      <c r="D368" s="84"/>
      <c r="E368" s="84"/>
      <c r="F368" s="84"/>
      <c r="G368" s="84"/>
      <c r="R368" s="251"/>
      <c r="S368" s="251"/>
      <c r="BD368" s="399">
        <v>365</v>
      </c>
      <c r="BE368" s="399" t="s">
        <v>1591</v>
      </c>
      <c r="BF368" s="251" t="s">
        <v>1592</v>
      </c>
      <c r="BG368" s="399" t="s">
        <v>356</v>
      </c>
      <c r="BH368" s="252">
        <v>18</v>
      </c>
      <c r="BI368" s="251" t="s">
        <v>1593</v>
      </c>
      <c r="BJ368" s="251" t="s">
        <v>413</v>
      </c>
      <c r="BK368" s="251" t="s">
        <v>1594</v>
      </c>
      <c r="BL368" s="251" t="s">
        <v>360</v>
      </c>
      <c r="BQ368" s="27" t="s">
        <v>8148</v>
      </c>
      <c r="BR368" s="27" t="s">
        <v>8149</v>
      </c>
    </row>
    <row r="369" spans="2:70" ht="15">
      <c r="B369" s="84"/>
      <c r="D369" s="84"/>
      <c r="E369" s="84"/>
      <c r="F369" s="84"/>
      <c r="G369" s="84"/>
      <c r="R369" s="251"/>
      <c r="S369" s="251"/>
      <c r="BD369" s="399">
        <v>366</v>
      </c>
      <c r="BE369" s="399" t="s">
        <v>1595</v>
      </c>
      <c r="BF369" s="251" t="s">
        <v>1596</v>
      </c>
      <c r="BG369" s="399" t="s">
        <v>455</v>
      </c>
      <c r="BH369" s="252">
        <v>35</v>
      </c>
      <c r="BI369" s="251" t="s">
        <v>334</v>
      </c>
      <c r="BJ369" s="251" t="s">
        <v>390</v>
      </c>
      <c r="BK369" s="251" t="s">
        <v>1597</v>
      </c>
      <c r="BL369" s="251" t="s">
        <v>458</v>
      </c>
      <c r="BQ369" s="27" t="s">
        <v>8150</v>
      </c>
      <c r="BR369" s="27" t="s">
        <v>8151</v>
      </c>
    </row>
    <row r="370" spans="2:70" ht="15">
      <c r="B370" s="84"/>
      <c r="D370" s="84"/>
      <c r="E370" s="84"/>
      <c r="F370" s="84"/>
      <c r="G370" s="84"/>
      <c r="R370" s="251"/>
      <c r="S370" s="251"/>
      <c r="BD370" s="399">
        <v>367</v>
      </c>
      <c r="BE370" s="399" t="s">
        <v>1598</v>
      </c>
      <c r="BF370" s="251" t="s">
        <v>1599</v>
      </c>
      <c r="BG370" s="399" t="s">
        <v>475</v>
      </c>
      <c r="BH370" s="252" t="s">
        <v>476</v>
      </c>
      <c r="BI370" s="251" t="s">
        <v>450</v>
      </c>
      <c r="BJ370" s="251" t="s">
        <v>390</v>
      </c>
      <c r="BK370" s="251" t="s">
        <v>1600</v>
      </c>
      <c r="BL370" s="251" t="s">
        <v>479</v>
      </c>
      <c r="BQ370" s="27" t="s">
        <v>8152</v>
      </c>
      <c r="BR370" s="27" t="s">
        <v>8153</v>
      </c>
    </row>
    <row r="371" spans="2:70" ht="15">
      <c r="B371" s="84"/>
      <c r="D371" s="84"/>
      <c r="E371" s="84"/>
      <c r="F371" s="84"/>
      <c r="G371" s="84"/>
      <c r="R371" s="251"/>
      <c r="S371" s="251"/>
      <c r="BD371" s="399">
        <v>368</v>
      </c>
      <c r="BE371" s="399" t="s">
        <v>1601</v>
      </c>
      <c r="BF371" s="251" t="s">
        <v>1602</v>
      </c>
      <c r="BG371" s="399" t="s">
        <v>469</v>
      </c>
      <c r="BH371" s="252" t="s">
        <v>470</v>
      </c>
      <c r="BI371" s="251" t="s">
        <v>331</v>
      </c>
      <c r="BJ371" s="251" t="s">
        <v>366</v>
      </c>
      <c r="BK371" s="251" t="s">
        <v>1603</v>
      </c>
      <c r="BL371" s="251" t="s">
        <v>472</v>
      </c>
      <c r="BQ371" s="27" t="s">
        <v>8154</v>
      </c>
      <c r="BR371" s="27" t="s">
        <v>7347</v>
      </c>
    </row>
    <row r="372" spans="2:70" ht="15">
      <c r="B372" s="84"/>
      <c r="D372" s="84"/>
      <c r="E372" s="84"/>
      <c r="F372" s="84"/>
      <c r="G372" s="84"/>
      <c r="R372" s="251"/>
      <c r="S372" s="251"/>
      <c r="BD372" s="399">
        <v>369</v>
      </c>
      <c r="BE372" s="399" t="s">
        <v>1604</v>
      </c>
      <c r="BF372" s="251" t="s">
        <v>1605</v>
      </c>
      <c r="BG372" s="399" t="s">
        <v>405</v>
      </c>
      <c r="BH372" s="252" t="s">
        <v>528</v>
      </c>
      <c r="BI372" s="251" t="s">
        <v>456</v>
      </c>
      <c r="BJ372" s="251" t="s">
        <v>530</v>
      </c>
      <c r="BK372" s="251" t="s">
        <v>1606</v>
      </c>
      <c r="BL372" s="251" t="s">
        <v>409</v>
      </c>
      <c r="BQ372" s="27" t="s">
        <v>8155</v>
      </c>
      <c r="BR372" s="27" t="s">
        <v>8156</v>
      </c>
    </row>
    <row r="373" spans="2:70" ht="15">
      <c r="B373" s="84"/>
      <c r="D373" s="84"/>
      <c r="E373" s="84"/>
      <c r="F373" s="84"/>
      <c r="G373" s="84"/>
      <c r="R373" s="251"/>
      <c r="S373" s="251"/>
      <c r="BD373" s="399">
        <v>370</v>
      </c>
      <c r="BE373" s="399" t="s">
        <v>1607</v>
      </c>
      <c r="BF373" s="251" t="s">
        <v>1608</v>
      </c>
      <c r="BG373" s="399">
        <v>52</v>
      </c>
      <c r="BH373" s="252">
        <v>52</v>
      </c>
      <c r="BI373" s="251" t="s">
        <v>445</v>
      </c>
      <c r="BJ373" s="251" t="s">
        <v>539</v>
      </c>
      <c r="BK373" s="251" t="s">
        <v>1609</v>
      </c>
      <c r="BL373" s="251" t="s">
        <v>1121</v>
      </c>
      <c r="BQ373" s="27" t="s">
        <v>8157</v>
      </c>
      <c r="BR373" s="27" t="s">
        <v>7415</v>
      </c>
    </row>
    <row r="374" spans="2:70" ht="15">
      <c r="B374" s="84"/>
      <c r="D374" s="84"/>
      <c r="E374" s="84"/>
      <c r="F374" s="84"/>
      <c r="G374" s="84"/>
      <c r="R374" s="251"/>
      <c r="S374" s="251"/>
      <c r="BD374" s="399">
        <v>371</v>
      </c>
      <c r="BE374" s="399" t="s">
        <v>1610</v>
      </c>
      <c r="BF374" s="251" t="s">
        <v>1611</v>
      </c>
      <c r="BG374" s="399" t="s">
        <v>423</v>
      </c>
      <c r="BH374" s="252" t="s">
        <v>1612</v>
      </c>
      <c r="BI374" s="251" t="s">
        <v>635</v>
      </c>
      <c r="BJ374" s="251" t="s">
        <v>413</v>
      </c>
      <c r="BK374" s="251" t="s">
        <v>1613</v>
      </c>
      <c r="BL374" s="251" t="s">
        <v>426</v>
      </c>
      <c r="BQ374" s="27" t="s">
        <v>8158</v>
      </c>
      <c r="BR374" s="27" t="s">
        <v>7467</v>
      </c>
    </row>
    <row r="375" spans="2:70" ht="15">
      <c r="B375" s="84"/>
      <c r="D375" s="84"/>
      <c r="E375" s="84"/>
      <c r="F375" s="84"/>
      <c r="G375" s="84"/>
      <c r="R375" s="251"/>
      <c r="S375" s="251"/>
      <c r="BD375" s="399">
        <v>372</v>
      </c>
      <c r="BE375" s="399" t="s">
        <v>1614</v>
      </c>
      <c r="BF375" s="251" t="s">
        <v>1615</v>
      </c>
      <c r="BG375" s="399" t="s">
        <v>429</v>
      </c>
      <c r="BH375" s="252" t="s">
        <v>430</v>
      </c>
      <c r="BI375" s="251" t="s">
        <v>331</v>
      </c>
      <c r="BJ375" s="251" t="s">
        <v>385</v>
      </c>
      <c r="BK375" s="251" t="s">
        <v>1616</v>
      </c>
      <c r="BL375" s="251" t="s">
        <v>432</v>
      </c>
      <c r="BQ375" s="27" t="s">
        <v>8159</v>
      </c>
      <c r="BR375" s="27" t="s">
        <v>8160</v>
      </c>
    </row>
    <row r="376" spans="2:70" ht="15">
      <c r="B376" s="84"/>
      <c r="D376" s="84"/>
      <c r="E376" s="84"/>
      <c r="F376" s="84"/>
      <c r="G376" s="84"/>
      <c r="R376" s="251"/>
      <c r="S376" s="251"/>
      <c r="BD376" s="399">
        <v>373</v>
      </c>
      <c r="BE376" s="399" t="s">
        <v>1617</v>
      </c>
      <c r="BF376" s="251" t="s">
        <v>1618</v>
      </c>
      <c r="BG376" s="399" t="s">
        <v>739</v>
      </c>
      <c r="BH376" s="252">
        <v>45</v>
      </c>
      <c r="BI376" s="251" t="s">
        <v>333</v>
      </c>
      <c r="BJ376" s="251" t="s">
        <v>407</v>
      </c>
      <c r="BK376" s="251" t="s">
        <v>1619</v>
      </c>
      <c r="BL376" s="251" t="s">
        <v>742</v>
      </c>
      <c r="BQ376" s="27" t="s">
        <v>8161</v>
      </c>
      <c r="BR376" s="27" t="s">
        <v>8162</v>
      </c>
    </row>
    <row r="377" spans="2:70" ht="15">
      <c r="B377" s="84"/>
      <c r="D377" s="84"/>
      <c r="E377" s="84"/>
      <c r="F377" s="84"/>
      <c r="G377" s="84"/>
      <c r="R377" s="251"/>
      <c r="S377" s="251"/>
      <c r="BD377" s="399">
        <v>374</v>
      </c>
      <c r="BE377" s="399" t="s">
        <v>1620</v>
      </c>
      <c r="BF377" s="251" t="s">
        <v>1621</v>
      </c>
      <c r="BG377" s="399" t="s">
        <v>371</v>
      </c>
      <c r="BH377" s="252">
        <v>28</v>
      </c>
      <c r="BI377" s="251" t="s">
        <v>331</v>
      </c>
      <c r="BJ377" s="251" t="s">
        <v>397</v>
      </c>
      <c r="BK377" s="251" t="s">
        <v>1622</v>
      </c>
      <c r="BL377" s="251" t="s">
        <v>375</v>
      </c>
      <c r="BQ377" s="27" t="s">
        <v>8163</v>
      </c>
      <c r="BR377" s="27" t="s">
        <v>7254</v>
      </c>
    </row>
    <row r="378" spans="2:70" ht="15">
      <c r="B378" s="84"/>
      <c r="D378" s="84"/>
      <c r="E378" s="84"/>
      <c r="F378" s="84"/>
      <c r="G378" s="84"/>
      <c r="R378" s="251"/>
      <c r="S378" s="251"/>
      <c r="BD378" s="399">
        <v>375</v>
      </c>
      <c r="BE378" s="399" t="s">
        <v>1623</v>
      </c>
      <c r="BF378" s="251" t="s">
        <v>1624</v>
      </c>
      <c r="BG378" s="399" t="s">
        <v>389</v>
      </c>
      <c r="BH378" s="252">
        <v>39</v>
      </c>
      <c r="BI378" s="251" t="s">
        <v>740</v>
      </c>
      <c r="BJ378" s="251" t="s">
        <v>413</v>
      </c>
      <c r="BK378" s="251" t="s">
        <v>1625</v>
      </c>
      <c r="BL378" s="251" t="s">
        <v>392</v>
      </c>
      <c r="BQ378" s="27" t="s">
        <v>8164</v>
      </c>
      <c r="BR378" s="27" t="s">
        <v>8165</v>
      </c>
    </row>
    <row r="379" spans="2:70" ht="15">
      <c r="B379" s="84"/>
      <c r="D379" s="84"/>
      <c r="E379" s="84"/>
      <c r="F379" s="84"/>
      <c r="G379" s="84"/>
      <c r="R379" s="251"/>
      <c r="S379" s="251"/>
      <c r="BD379" s="399">
        <v>376</v>
      </c>
      <c r="BE379" s="399" t="s">
        <v>1626</v>
      </c>
      <c r="BF379" s="251" t="s">
        <v>1627</v>
      </c>
      <c r="BG379" s="399" t="s">
        <v>371</v>
      </c>
      <c r="BH379" s="252">
        <v>28</v>
      </c>
      <c r="BI379" s="251" t="s">
        <v>365</v>
      </c>
      <c r="BJ379" s="251" t="s">
        <v>539</v>
      </c>
      <c r="BK379" s="251" t="s">
        <v>1628</v>
      </c>
      <c r="BL379" s="251" t="s">
        <v>375</v>
      </c>
      <c r="BQ379" s="27" t="s">
        <v>8166</v>
      </c>
      <c r="BR379" s="27" t="s">
        <v>8167</v>
      </c>
    </row>
    <row r="380" spans="2:70" ht="15">
      <c r="B380" s="84"/>
      <c r="D380" s="84"/>
      <c r="E380" s="84"/>
      <c r="F380" s="84"/>
      <c r="G380" s="84"/>
      <c r="R380" s="251"/>
      <c r="S380" s="251"/>
      <c r="BD380" s="399">
        <v>377</v>
      </c>
      <c r="BE380" s="399" t="s">
        <v>1629</v>
      </c>
      <c r="BF380" s="251" t="s">
        <v>1630</v>
      </c>
      <c r="BG380" s="399" t="s">
        <v>475</v>
      </c>
      <c r="BH380" s="252" t="s">
        <v>1631</v>
      </c>
      <c r="BI380" s="251" t="s">
        <v>334</v>
      </c>
      <c r="BJ380" s="251" t="s">
        <v>366</v>
      </c>
      <c r="BK380" s="251" t="s">
        <v>1632</v>
      </c>
      <c r="BL380" s="251" t="s">
        <v>479</v>
      </c>
      <c r="BQ380" s="27" t="s">
        <v>8168</v>
      </c>
      <c r="BR380" s="27" t="s">
        <v>8169</v>
      </c>
    </row>
    <row r="381" spans="2:70" ht="15">
      <c r="B381" s="84"/>
      <c r="D381" s="84"/>
      <c r="E381" s="84"/>
      <c r="F381" s="84"/>
      <c r="G381" s="84"/>
      <c r="R381" s="251"/>
      <c r="S381" s="251"/>
      <c r="BD381" s="399">
        <v>378</v>
      </c>
      <c r="BE381" s="399" t="s">
        <v>1633</v>
      </c>
      <c r="BF381" s="251" t="s">
        <v>1634</v>
      </c>
      <c r="BG381" s="399" t="s">
        <v>349</v>
      </c>
      <c r="BH381" s="252">
        <v>17</v>
      </c>
      <c r="BI381" s="251" t="s">
        <v>728</v>
      </c>
      <c r="BJ381" s="251" t="s">
        <v>351</v>
      </c>
      <c r="BK381" s="251" t="s">
        <v>1635</v>
      </c>
      <c r="BL381" s="251" t="s">
        <v>353</v>
      </c>
      <c r="BQ381" s="27" t="s">
        <v>8170</v>
      </c>
      <c r="BR381" s="27" t="s">
        <v>8171</v>
      </c>
    </row>
    <row r="382" spans="2:70" ht="15">
      <c r="B382" s="84"/>
      <c r="D382" s="84"/>
      <c r="E382" s="84"/>
      <c r="F382" s="84"/>
      <c r="G382" s="84"/>
      <c r="R382" s="251"/>
      <c r="S382" s="251"/>
      <c r="BD382" s="399">
        <v>379</v>
      </c>
      <c r="BE382" s="399" t="s">
        <v>1636</v>
      </c>
      <c r="BF382" s="251" t="s">
        <v>1637</v>
      </c>
      <c r="BG382" s="399" t="s">
        <v>363</v>
      </c>
      <c r="BH382" s="252" t="s">
        <v>575</v>
      </c>
      <c r="BI382" s="251" t="s">
        <v>1638</v>
      </c>
      <c r="BJ382" s="251" t="s">
        <v>397</v>
      </c>
      <c r="BK382" s="251" t="s">
        <v>1639</v>
      </c>
      <c r="BL382" s="251" t="s">
        <v>368</v>
      </c>
      <c r="BQ382" s="27" t="s">
        <v>8172</v>
      </c>
      <c r="BR382" s="27" t="s">
        <v>8173</v>
      </c>
    </row>
    <row r="383" spans="2:70" ht="15">
      <c r="B383" s="84"/>
      <c r="D383" s="84"/>
      <c r="E383" s="84"/>
      <c r="F383" s="84"/>
      <c r="G383" s="84"/>
      <c r="R383" s="251"/>
      <c r="S383" s="251"/>
      <c r="BD383" s="399">
        <v>380</v>
      </c>
      <c r="BE383" s="399" t="s">
        <v>1640</v>
      </c>
      <c r="BF383" s="251" t="s">
        <v>1641</v>
      </c>
      <c r="BG383" s="399" t="s">
        <v>777</v>
      </c>
      <c r="BH383" s="252">
        <v>21</v>
      </c>
      <c r="BI383" s="251" t="s">
        <v>365</v>
      </c>
      <c r="BJ383" s="251" t="s">
        <v>385</v>
      </c>
      <c r="BK383" s="251" t="s">
        <v>1642</v>
      </c>
      <c r="BL383" s="251" t="s">
        <v>780</v>
      </c>
      <c r="BQ383" s="27" t="s">
        <v>8174</v>
      </c>
      <c r="BR383" s="27" t="s">
        <v>8175</v>
      </c>
    </row>
    <row r="384" spans="2:70" ht="15">
      <c r="B384" s="84"/>
      <c r="D384" s="84"/>
      <c r="E384" s="84"/>
      <c r="F384" s="84"/>
      <c r="G384" s="84"/>
      <c r="R384" s="251"/>
      <c r="S384" s="251"/>
      <c r="BD384" s="399">
        <v>381</v>
      </c>
      <c r="BE384" s="399" t="s">
        <v>1643</v>
      </c>
      <c r="BF384" s="251" t="s">
        <v>1644</v>
      </c>
      <c r="BG384" s="399" t="s">
        <v>0</v>
      </c>
      <c r="BH384" s="252">
        <v>48</v>
      </c>
      <c r="BI384" s="251" t="s">
        <v>583</v>
      </c>
      <c r="BJ384" s="251" t="s">
        <v>413</v>
      </c>
      <c r="BK384" s="251" t="s">
        <v>1645</v>
      </c>
      <c r="BL384" s="251" t="s">
        <v>818</v>
      </c>
      <c r="BQ384" s="27" t="s">
        <v>8176</v>
      </c>
      <c r="BR384" s="27" t="s">
        <v>8177</v>
      </c>
    </row>
    <row r="385" spans="2:70" ht="15">
      <c r="B385" s="84"/>
      <c r="D385" s="84"/>
      <c r="E385" s="84"/>
      <c r="F385" s="84"/>
      <c r="G385" s="84"/>
      <c r="R385" s="251"/>
      <c r="S385" s="251"/>
      <c r="BD385" s="399">
        <v>382</v>
      </c>
      <c r="BE385" s="399" t="s">
        <v>1646</v>
      </c>
      <c r="BF385" s="251" t="s">
        <v>1647</v>
      </c>
      <c r="BG385" s="399" t="s">
        <v>733</v>
      </c>
      <c r="BH385" s="252" t="s">
        <v>734</v>
      </c>
      <c r="BI385" s="251" t="s">
        <v>535</v>
      </c>
      <c r="BJ385" s="251" t="s">
        <v>778</v>
      </c>
      <c r="BK385" s="251" t="s">
        <v>1648</v>
      </c>
      <c r="BL385" s="251" t="s">
        <v>736</v>
      </c>
      <c r="BQ385" s="27" t="s">
        <v>8178</v>
      </c>
      <c r="BR385" s="27" t="s">
        <v>8179</v>
      </c>
    </row>
    <row r="386" spans="2:70" ht="15">
      <c r="B386" s="84"/>
      <c r="D386" s="84"/>
      <c r="E386" s="84"/>
      <c r="F386" s="84"/>
      <c r="G386" s="84"/>
      <c r="R386" s="251"/>
      <c r="S386" s="251"/>
      <c r="BD386" s="399">
        <v>383</v>
      </c>
      <c r="BE386" s="399" t="s">
        <v>1649</v>
      </c>
      <c r="BF386" s="251" t="s">
        <v>1650</v>
      </c>
      <c r="BG386" s="399" t="s">
        <v>363</v>
      </c>
      <c r="BH386" s="252">
        <v>8</v>
      </c>
      <c r="BI386" s="251" t="s">
        <v>332</v>
      </c>
      <c r="BJ386" s="251" t="s">
        <v>385</v>
      </c>
      <c r="BK386" s="251" t="s">
        <v>1651</v>
      </c>
      <c r="BL386" s="251" t="s">
        <v>368</v>
      </c>
      <c r="BQ386" s="27" t="s">
        <v>8180</v>
      </c>
      <c r="BR386" s="27" t="s">
        <v>8181</v>
      </c>
    </row>
    <row r="387" spans="2:70" ht="15">
      <c r="B387" s="84"/>
      <c r="D387" s="84"/>
      <c r="E387" s="84"/>
      <c r="F387" s="84"/>
      <c r="G387" s="84"/>
      <c r="R387" s="251"/>
      <c r="S387" s="251"/>
      <c r="BD387" s="399">
        <v>384</v>
      </c>
      <c r="BE387" s="399" t="s">
        <v>1652</v>
      </c>
      <c r="BF387" s="251" t="s">
        <v>1653</v>
      </c>
      <c r="BG387" s="399" t="s">
        <v>371</v>
      </c>
      <c r="BH387" s="252">
        <v>28</v>
      </c>
      <c r="BI387" s="251" t="s">
        <v>535</v>
      </c>
      <c r="BJ387" s="251" t="s">
        <v>413</v>
      </c>
      <c r="BK387" s="251" t="s">
        <v>1654</v>
      </c>
      <c r="BL387" s="251" t="s">
        <v>375</v>
      </c>
      <c r="BQ387" s="27" t="s">
        <v>8182</v>
      </c>
      <c r="BR387" s="27" t="s">
        <v>8183</v>
      </c>
    </row>
    <row r="388" spans="2:70" ht="15">
      <c r="B388" s="84"/>
      <c r="D388" s="84"/>
      <c r="E388" s="84"/>
      <c r="F388" s="84"/>
      <c r="G388" s="84"/>
      <c r="R388" s="251"/>
      <c r="S388" s="251"/>
      <c r="BD388" s="399">
        <v>385</v>
      </c>
      <c r="BE388" s="399" t="s">
        <v>1655</v>
      </c>
      <c r="BF388" s="251" t="s">
        <v>1656</v>
      </c>
      <c r="BG388" s="399" t="s">
        <v>349</v>
      </c>
      <c r="BH388" s="252">
        <v>17</v>
      </c>
      <c r="BI388" s="251" t="s">
        <v>450</v>
      </c>
      <c r="BJ388" s="251" t="s">
        <v>407</v>
      </c>
      <c r="BK388" s="251" t="s">
        <v>1657</v>
      </c>
      <c r="BL388" s="251" t="s">
        <v>353</v>
      </c>
      <c r="BQ388" s="27" t="s">
        <v>8184</v>
      </c>
      <c r="BR388" s="27" t="s">
        <v>8185</v>
      </c>
    </row>
    <row r="389" spans="2:70" ht="15">
      <c r="B389" s="84"/>
      <c r="D389" s="84"/>
      <c r="E389" s="84"/>
      <c r="F389" s="84"/>
      <c r="G389" s="84"/>
      <c r="R389" s="251"/>
      <c r="S389" s="251"/>
      <c r="BD389" s="399">
        <v>386</v>
      </c>
      <c r="BE389" s="399" t="s">
        <v>1658</v>
      </c>
      <c r="BF389" s="251" t="s">
        <v>1659</v>
      </c>
      <c r="BG389" s="399">
        <v>51</v>
      </c>
      <c r="BH389" s="252">
        <v>51</v>
      </c>
      <c r="BI389" s="251" t="s">
        <v>740</v>
      </c>
      <c r="BJ389" s="251" t="s">
        <v>413</v>
      </c>
      <c r="BK389" s="251" t="s">
        <v>1660</v>
      </c>
      <c r="BL389" s="251" t="s">
        <v>730</v>
      </c>
      <c r="BQ389" s="27" t="s">
        <v>8186</v>
      </c>
      <c r="BR389" s="27" t="s">
        <v>8187</v>
      </c>
    </row>
    <row r="390" spans="2:70" ht="15">
      <c r="B390" s="84"/>
      <c r="D390" s="84"/>
      <c r="E390" s="84"/>
      <c r="F390" s="84"/>
      <c r="G390" s="84"/>
      <c r="R390" s="251"/>
      <c r="S390" s="251"/>
      <c r="BD390" s="399">
        <v>387</v>
      </c>
      <c r="BE390" s="399" t="s">
        <v>1661</v>
      </c>
      <c r="BF390" s="251" t="s">
        <v>1662</v>
      </c>
      <c r="BG390" s="399" t="s">
        <v>469</v>
      </c>
      <c r="BH390" s="252" t="s">
        <v>470</v>
      </c>
      <c r="BI390" s="251" t="s">
        <v>450</v>
      </c>
      <c r="BJ390" s="251" t="s">
        <v>407</v>
      </c>
      <c r="BK390" s="251" t="s">
        <v>1663</v>
      </c>
      <c r="BL390" s="251" t="s">
        <v>472</v>
      </c>
      <c r="BQ390" s="27" t="s">
        <v>8188</v>
      </c>
      <c r="BR390" s="27" t="s">
        <v>8189</v>
      </c>
    </row>
    <row r="391" spans="2:70" ht="15">
      <c r="B391" s="84"/>
      <c r="D391" s="84"/>
      <c r="E391" s="84"/>
      <c r="F391" s="84"/>
      <c r="G391" s="84"/>
      <c r="R391" s="251"/>
      <c r="S391" s="251"/>
      <c r="BD391" s="399">
        <v>388</v>
      </c>
      <c r="BE391" s="399" t="s">
        <v>1664</v>
      </c>
      <c r="BF391" s="251" t="s">
        <v>1665</v>
      </c>
      <c r="BG391" s="399" t="s">
        <v>429</v>
      </c>
      <c r="BH391" s="252" t="s">
        <v>430</v>
      </c>
      <c r="BI391" s="251" t="s">
        <v>331</v>
      </c>
      <c r="BJ391" s="251" t="s">
        <v>366</v>
      </c>
      <c r="BK391" s="251" t="s">
        <v>1666</v>
      </c>
      <c r="BL391" s="251" t="s">
        <v>432</v>
      </c>
      <c r="BQ391" s="27" t="s">
        <v>8190</v>
      </c>
      <c r="BR391" s="27" t="s">
        <v>8191</v>
      </c>
    </row>
    <row r="392" spans="2:70" ht="15">
      <c r="B392" s="84"/>
      <c r="D392" s="84"/>
      <c r="E392" s="84"/>
      <c r="F392" s="84"/>
      <c r="G392" s="84"/>
      <c r="R392" s="251"/>
      <c r="S392" s="251"/>
      <c r="BD392" s="399">
        <v>389</v>
      </c>
      <c r="BE392" s="399" t="s">
        <v>1667</v>
      </c>
      <c r="BF392" s="251" t="s">
        <v>1668</v>
      </c>
      <c r="BG392" s="399" t="s">
        <v>371</v>
      </c>
      <c r="BH392" s="252">
        <v>28</v>
      </c>
      <c r="BI392" s="251" t="s">
        <v>728</v>
      </c>
      <c r="BJ392" s="251" t="s">
        <v>351</v>
      </c>
      <c r="BK392" s="251" t="s">
        <v>1669</v>
      </c>
      <c r="BL392" s="251" t="s">
        <v>375</v>
      </c>
      <c r="BQ392" s="27" t="s">
        <v>8192</v>
      </c>
      <c r="BR392" s="27" t="s">
        <v>8193</v>
      </c>
    </row>
    <row r="393" spans="2:70" ht="15">
      <c r="B393" s="84"/>
      <c r="D393" s="84"/>
      <c r="E393" s="84"/>
      <c r="F393" s="84"/>
      <c r="G393" s="84"/>
      <c r="R393" s="251"/>
      <c r="S393" s="251"/>
      <c r="BD393" s="399">
        <v>390</v>
      </c>
      <c r="BE393" s="399" t="s">
        <v>1670</v>
      </c>
      <c r="BF393" s="251" t="s">
        <v>1671</v>
      </c>
      <c r="BG393" s="399" t="s">
        <v>363</v>
      </c>
      <c r="BH393" s="252" t="s">
        <v>364</v>
      </c>
      <c r="BI393" s="251" t="s">
        <v>331</v>
      </c>
      <c r="BJ393" s="251" t="s">
        <v>380</v>
      </c>
      <c r="BK393" s="251" t="s">
        <v>1672</v>
      </c>
      <c r="BL393" s="251" t="s">
        <v>368</v>
      </c>
      <c r="BQ393" s="27" t="s">
        <v>8194</v>
      </c>
      <c r="BR393" s="27" t="s">
        <v>7489</v>
      </c>
    </row>
    <row r="394" spans="2:70" ht="15">
      <c r="B394" s="84"/>
      <c r="D394" s="84"/>
      <c r="E394" s="84"/>
      <c r="F394" s="84"/>
      <c r="G394" s="84"/>
      <c r="R394" s="251"/>
      <c r="S394" s="251"/>
      <c r="BD394" s="399">
        <v>391</v>
      </c>
      <c r="BE394" s="399" t="s">
        <v>1673</v>
      </c>
      <c r="BF394" s="251" t="s">
        <v>1674</v>
      </c>
      <c r="BG394" s="399" t="s">
        <v>519</v>
      </c>
      <c r="BH394" s="252">
        <v>30</v>
      </c>
      <c r="BI394" s="251" t="s">
        <v>615</v>
      </c>
      <c r="BJ394" s="251" t="s">
        <v>380</v>
      </c>
      <c r="BK394" s="251" t="s">
        <v>1675</v>
      </c>
      <c r="BL394" s="251" t="s">
        <v>521</v>
      </c>
      <c r="BQ394" s="27" t="s">
        <v>8195</v>
      </c>
      <c r="BR394" s="27" t="s">
        <v>8196</v>
      </c>
    </row>
    <row r="395" spans="2:70" ht="15">
      <c r="B395" s="84"/>
      <c r="D395" s="84"/>
      <c r="E395" s="84"/>
      <c r="F395" s="84"/>
      <c r="G395" s="84"/>
      <c r="R395" s="251"/>
      <c r="S395" s="251"/>
      <c r="BD395" s="399">
        <v>392</v>
      </c>
      <c r="BE395" s="399" t="s">
        <v>1676</v>
      </c>
      <c r="BF395" s="251" t="s">
        <v>1677</v>
      </c>
      <c r="BG395" s="399" t="s">
        <v>371</v>
      </c>
      <c r="BH395" s="252">
        <v>28</v>
      </c>
      <c r="BI395" s="251" t="s">
        <v>365</v>
      </c>
      <c r="BJ395" s="251" t="s">
        <v>385</v>
      </c>
      <c r="BK395" s="251" t="s">
        <v>1678</v>
      </c>
      <c r="BL395" s="251" t="s">
        <v>375</v>
      </c>
      <c r="BQ395" s="27" t="s">
        <v>8197</v>
      </c>
      <c r="BR395" s="27" t="s">
        <v>8198</v>
      </c>
    </row>
    <row r="396" spans="2:70" ht="15">
      <c r="B396" s="84"/>
      <c r="D396" s="84"/>
      <c r="E396" s="84"/>
      <c r="F396" s="84"/>
      <c r="G396" s="84"/>
      <c r="R396" s="251"/>
      <c r="S396" s="251"/>
      <c r="BD396" s="399">
        <v>393</v>
      </c>
      <c r="BE396" s="399" t="s">
        <v>1679</v>
      </c>
      <c r="BF396" s="251" t="s">
        <v>1680</v>
      </c>
      <c r="BG396" s="399" t="s">
        <v>435</v>
      </c>
      <c r="BH396" s="252" t="s">
        <v>436</v>
      </c>
      <c r="BI396" s="251" t="s">
        <v>1638</v>
      </c>
      <c r="BJ396" s="251" t="s">
        <v>1681</v>
      </c>
      <c r="BK396" s="251" t="s">
        <v>1682</v>
      </c>
      <c r="BL396" s="251" t="s">
        <v>439</v>
      </c>
      <c r="BQ396" s="27" t="s">
        <v>8199</v>
      </c>
      <c r="BR396" s="27" t="s">
        <v>8200</v>
      </c>
    </row>
    <row r="397" spans="2:70" ht="15">
      <c r="B397" s="84"/>
      <c r="D397" s="84"/>
      <c r="E397" s="84"/>
      <c r="F397" s="84"/>
      <c r="G397" s="84"/>
      <c r="R397" s="251"/>
      <c r="S397" s="251"/>
      <c r="BD397" s="399">
        <v>394</v>
      </c>
      <c r="BE397" s="399" t="s">
        <v>1683</v>
      </c>
      <c r="BF397" s="251" t="s">
        <v>1684</v>
      </c>
      <c r="BG397" s="399" t="s">
        <v>371</v>
      </c>
      <c r="BH397" s="252">
        <v>28</v>
      </c>
      <c r="BI397" s="251" t="s">
        <v>365</v>
      </c>
      <c r="BJ397" s="251" t="s">
        <v>390</v>
      </c>
      <c r="BK397" s="251" t="s">
        <v>1685</v>
      </c>
      <c r="BL397" s="251" t="s">
        <v>375</v>
      </c>
      <c r="BQ397" s="27" t="s">
        <v>8201</v>
      </c>
      <c r="BR397" s="27" t="s">
        <v>7444</v>
      </c>
    </row>
    <row r="398" spans="2:70" ht="15">
      <c r="B398" s="84"/>
      <c r="D398" s="84"/>
      <c r="E398" s="84"/>
      <c r="F398" s="84"/>
      <c r="G398" s="84"/>
      <c r="R398" s="251"/>
      <c r="S398" s="251"/>
      <c r="BD398" s="399">
        <v>395</v>
      </c>
      <c r="BE398" s="399" t="s">
        <v>1686</v>
      </c>
      <c r="BF398" s="251" t="s">
        <v>1687</v>
      </c>
      <c r="BG398" s="399" t="s">
        <v>1688</v>
      </c>
      <c r="BH398" s="252">
        <v>50</v>
      </c>
      <c r="BI398" s="251" t="s">
        <v>563</v>
      </c>
      <c r="BJ398" s="251" t="s">
        <v>351</v>
      </c>
      <c r="BK398" s="251" t="s">
        <v>1689</v>
      </c>
      <c r="BL398" s="251" t="s">
        <v>1690</v>
      </c>
      <c r="BQ398" s="27" t="s">
        <v>8202</v>
      </c>
      <c r="BR398" s="27" t="s">
        <v>8203</v>
      </c>
    </row>
    <row r="399" spans="2:70" ht="15">
      <c r="B399" s="84"/>
      <c r="D399" s="84"/>
      <c r="E399" s="84"/>
      <c r="F399" s="84"/>
      <c r="G399" s="84"/>
      <c r="R399" s="251"/>
      <c r="S399" s="251"/>
      <c r="BD399" s="399">
        <v>396</v>
      </c>
      <c r="BE399" s="399" t="s">
        <v>1691</v>
      </c>
      <c r="BF399" s="251" t="s">
        <v>1692</v>
      </c>
      <c r="BG399" s="399" t="s">
        <v>519</v>
      </c>
      <c r="BH399" s="252">
        <v>30</v>
      </c>
      <c r="BI399" s="251" t="s">
        <v>331</v>
      </c>
      <c r="BJ399" s="251" t="s">
        <v>366</v>
      </c>
      <c r="BK399" s="251" t="s">
        <v>1693</v>
      </c>
      <c r="BL399" s="251" t="s">
        <v>521</v>
      </c>
      <c r="BQ399" s="27" t="s">
        <v>8204</v>
      </c>
      <c r="BR399" s="27" t="s">
        <v>7311</v>
      </c>
    </row>
    <row r="400" spans="2:70" ht="15">
      <c r="B400" s="84"/>
      <c r="D400" s="84"/>
      <c r="E400" s="84"/>
      <c r="F400" s="84"/>
      <c r="G400" s="84"/>
      <c r="R400" s="251"/>
      <c r="S400" s="251"/>
      <c r="BD400" s="399">
        <v>397</v>
      </c>
      <c r="BE400" s="399" t="s">
        <v>1694</v>
      </c>
      <c r="BF400" s="251" t="s">
        <v>1695</v>
      </c>
      <c r="BG400" s="399" t="s">
        <v>602</v>
      </c>
      <c r="BH400" s="252">
        <v>47</v>
      </c>
      <c r="BI400" s="251" t="s">
        <v>615</v>
      </c>
      <c r="BJ400" s="251" t="s">
        <v>407</v>
      </c>
      <c r="BK400" s="251" t="s">
        <v>1696</v>
      </c>
      <c r="BL400" s="251" t="s">
        <v>604</v>
      </c>
      <c r="BQ400" s="27" t="s">
        <v>8205</v>
      </c>
      <c r="BR400" s="27" t="s">
        <v>7317</v>
      </c>
    </row>
    <row r="401" spans="2:70" ht="15">
      <c r="B401" s="84"/>
      <c r="D401" s="84"/>
      <c r="E401" s="84"/>
      <c r="F401" s="84"/>
      <c r="G401" s="84"/>
      <c r="R401" s="251"/>
      <c r="S401" s="251"/>
      <c r="BD401" s="399">
        <v>398</v>
      </c>
      <c r="BE401" s="399" t="s">
        <v>1697</v>
      </c>
      <c r="BF401" s="251" t="s">
        <v>1698</v>
      </c>
      <c r="BG401" s="399" t="s">
        <v>371</v>
      </c>
      <c r="BH401" s="252">
        <v>28</v>
      </c>
      <c r="BI401" s="251" t="s">
        <v>333</v>
      </c>
      <c r="BJ401" s="251" t="s">
        <v>407</v>
      </c>
      <c r="BK401" s="251" t="s">
        <v>1699</v>
      </c>
      <c r="BL401" s="251" t="s">
        <v>375</v>
      </c>
      <c r="BQ401" s="27" t="s">
        <v>8206</v>
      </c>
      <c r="BR401" s="27" t="s">
        <v>7318</v>
      </c>
    </row>
    <row r="402" spans="2:70" ht="15">
      <c r="B402" s="84"/>
      <c r="D402" s="84"/>
      <c r="E402" s="84"/>
      <c r="F402" s="84"/>
      <c r="G402" s="84"/>
      <c r="R402" s="251"/>
      <c r="S402" s="251"/>
      <c r="BD402" s="399">
        <v>399</v>
      </c>
      <c r="BE402" s="399" t="s">
        <v>1700</v>
      </c>
      <c r="BF402" s="251" t="s">
        <v>1701</v>
      </c>
      <c r="BG402" s="399" t="s">
        <v>623</v>
      </c>
      <c r="BH402" s="252" t="s">
        <v>624</v>
      </c>
      <c r="BI402" s="251" t="s">
        <v>334</v>
      </c>
      <c r="BJ402" s="251" t="s">
        <v>380</v>
      </c>
      <c r="BK402" s="251" t="s">
        <v>1702</v>
      </c>
      <c r="BL402" s="251" t="s">
        <v>626</v>
      </c>
      <c r="BQ402" s="27" t="s">
        <v>8207</v>
      </c>
      <c r="BR402" s="27" t="s">
        <v>7286</v>
      </c>
    </row>
    <row r="403" spans="2:70" ht="15">
      <c r="B403" s="84"/>
      <c r="D403" s="84"/>
      <c r="E403" s="84"/>
      <c r="F403" s="84"/>
      <c r="G403" s="84"/>
      <c r="R403" s="251"/>
      <c r="S403" s="251"/>
      <c r="BD403" s="399">
        <v>400</v>
      </c>
      <c r="BE403" s="399" t="s">
        <v>1703</v>
      </c>
      <c r="BF403" s="251" t="s">
        <v>1704</v>
      </c>
      <c r="BG403" s="399" t="s">
        <v>405</v>
      </c>
      <c r="BH403" s="252" t="s">
        <v>830</v>
      </c>
      <c r="BI403" s="251" t="s">
        <v>647</v>
      </c>
      <c r="BJ403" s="251" t="s">
        <v>366</v>
      </c>
      <c r="BK403" s="251" t="s">
        <v>1705</v>
      </c>
      <c r="BL403" s="251" t="s">
        <v>409</v>
      </c>
      <c r="BQ403" s="27" t="s">
        <v>8208</v>
      </c>
      <c r="BR403" s="27" t="s">
        <v>7319</v>
      </c>
    </row>
    <row r="404" spans="2:70" ht="15">
      <c r="B404" s="84"/>
      <c r="D404" s="84"/>
      <c r="E404" s="84"/>
      <c r="F404" s="84"/>
      <c r="G404" s="84"/>
      <c r="R404" s="251"/>
      <c r="S404" s="251"/>
      <c r="BD404" s="399">
        <v>401</v>
      </c>
      <c r="BE404" s="399" t="s">
        <v>1706</v>
      </c>
      <c r="BF404" s="251" t="s">
        <v>1707</v>
      </c>
      <c r="BG404" s="399" t="s">
        <v>566</v>
      </c>
      <c r="BH404" s="252" t="s">
        <v>1708</v>
      </c>
      <c r="BI404" s="251" t="s">
        <v>1709</v>
      </c>
      <c r="BJ404" s="251" t="s">
        <v>413</v>
      </c>
      <c r="BK404" s="251" t="s">
        <v>1710</v>
      </c>
      <c r="BL404" s="251" t="s">
        <v>569</v>
      </c>
      <c r="BQ404" s="27" t="s">
        <v>8209</v>
      </c>
      <c r="BR404" s="27" t="s">
        <v>8210</v>
      </c>
    </row>
    <row r="405" spans="2:70" ht="15">
      <c r="B405" s="84"/>
      <c r="D405" s="84"/>
      <c r="E405" s="84"/>
      <c r="F405" s="84"/>
      <c r="G405" s="84"/>
      <c r="R405" s="251"/>
      <c r="S405" s="251"/>
      <c r="BD405" s="399">
        <v>402</v>
      </c>
      <c r="BE405" s="399" t="s">
        <v>581</v>
      </c>
      <c r="BF405" s="251" t="s">
        <v>1711</v>
      </c>
      <c r="BG405" s="399" t="s">
        <v>363</v>
      </c>
      <c r="BH405" s="252" t="s">
        <v>364</v>
      </c>
      <c r="BI405" s="251" t="s">
        <v>583</v>
      </c>
      <c r="BJ405" s="251" t="s">
        <v>413</v>
      </c>
      <c r="BK405" s="251" t="s">
        <v>1712</v>
      </c>
      <c r="BL405" s="251" t="s">
        <v>368</v>
      </c>
      <c r="BQ405" s="27" t="s">
        <v>8211</v>
      </c>
      <c r="BR405" s="27" t="s">
        <v>8212</v>
      </c>
    </row>
    <row r="406" spans="2:70" ht="15">
      <c r="B406" s="84"/>
      <c r="D406" s="84"/>
      <c r="E406" s="84"/>
      <c r="F406" s="84"/>
      <c r="G406" s="84"/>
      <c r="R406" s="251"/>
      <c r="S406" s="251"/>
      <c r="BD406" s="399">
        <v>403</v>
      </c>
      <c r="BE406" s="399" t="s">
        <v>1713</v>
      </c>
      <c r="BF406" s="251" t="s">
        <v>1714</v>
      </c>
      <c r="BG406" s="399" t="s">
        <v>739</v>
      </c>
      <c r="BH406" s="252">
        <v>45</v>
      </c>
      <c r="BI406" s="251" t="s">
        <v>334</v>
      </c>
      <c r="BJ406" s="251" t="s">
        <v>351</v>
      </c>
      <c r="BK406" s="251" t="s">
        <v>1715</v>
      </c>
      <c r="BL406" s="251" t="s">
        <v>742</v>
      </c>
      <c r="BQ406" s="27" t="s">
        <v>8213</v>
      </c>
      <c r="BR406" s="27" t="s">
        <v>8214</v>
      </c>
    </row>
    <row r="407" spans="2:70" ht="15">
      <c r="B407" s="84"/>
      <c r="D407" s="84"/>
      <c r="E407" s="84"/>
      <c r="F407" s="84"/>
      <c r="G407" s="84"/>
      <c r="R407" s="251"/>
      <c r="S407" s="251"/>
      <c r="BD407" s="399">
        <v>404</v>
      </c>
      <c r="BE407" s="399" t="s">
        <v>1716</v>
      </c>
      <c r="BF407" s="251" t="s">
        <v>1717</v>
      </c>
      <c r="BG407" s="399" t="s">
        <v>405</v>
      </c>
      <c r="BH407" s="252" t="s">
        <v>1241</v>
      </c>
      <c r="BI407" s="251" t="s">
        <v>334</v>
      </c>
      <c r="BJ407" s="251" t="s">
        <v>366</v>
      </c>
      <c r="BK407" s="251" t="s">
        <v>1718</v>
      </c>
      <c r="BL407" s="251" t="s">
        <v>409</v>
      </c>
      <c r="BQ407" s="27" t="s">
        <v>8215</v>
      </c>
      <c r="BR407" s="27" t="s">
        <v>7353</v>
      </c>
    </row>
    <row r="408" spans="2:70" ht="15">
      <c r="B408" s="84"/>
      <c r="D408" s="84"/>
      <c r="E408" s="84"/>
      <c r="F408" s="84"/>
      <c r="G408" s="84"/>
      <c r="R408" s="251"/>
      <c r="S408" s="251"/>
      <c r="BD408" s="399">
        <v>405</v>
      </c>
      <c r="BE408" s="399" t="s">
        <v>1719</v>
      </c>
      <c r="BF408" s="251" t="s">
        <v>1720</v>
      </c>
      <c r="BG408" s="399" t="s">
        <v>435</v>
      </c>
      <c r="BH408" s="252" t="s">
        <v>436</v>
      </c>
      <c r="BI408" s="251" t="s">
        <v>496</v>
      </c>
      <c r="BJ408" s="251" t="s">
        <v>351</v>
      </c>
      <c r="BK408" s="251" t="s">
        <v>1721</v>
      </c>
      <c r="BL408" s="251" t="s">
        <v>439</v>
      </c>
      <c r="BQ408" s="27" t="s">
        <v>8216</v>
      </c>
      <c r="BR408" s="27" t="s">
        <v>8217</v>
      </c>
    </row>
    <row r="409" spans="2:70" ht="15">
      <c r="B409" s="84"/>
      <c r="D409" s="84"/>
      <c r="E409" s="84"/>
      <c r="F409" s="84"/>
      <c r="G409" s="84"/>
      <c r="R409" s="251"/>
      <c r="S409" s="251"/>
      <c r="BD409" s="399">
        <v>406</v>
      </c>
      <c r="BE409" s="399" t="s">
        <v>1722</v>
      </c>
      <c r="BF409" s="251" t="s">
        <v>1723</v>
      </c>
      <c r="BG409" s="399" t="s">
        <v>363</v>
      </c>
      <c r="BH409" s="252" t="s">
        <v>364</v>
      </c>
      <c r="BI409" s="251" t="s">
        <v>334</v>
      </c>
      <c r="BJ409" s="251" t="s">
        <v>539</v>
      </c>
      <c r="BK409" s="251" t="s">
        <v>1724</v>
      </c>
      <c r="BL409" s="251" t="s">
        <v>368</v>
      </c>
      <c r="BQ409" s="27" t="s">
        <v>8218</v>
      </c>
      <c r="BR409" s="27" t="s">
        <v>7356</v>
      </c>
    </row>
    <row r="410" spans="2:70" ht="15">
      <c r="B410" s="84"/>
      <c r="D410" s="84"/>
      <c r="E410" s="84"/>
      <c r="F410" s="84"/>
      <c r="G410" s="84"/>
      <c r="R410" s="251"/>
      <c r="S410" s="251"/>
      <c r="BD410" s="399">
        <v>407</v>
      </c>
      <c r="BE410" s="399" t="s">
        <v>1725</v>
      </c>
      <c r="BF410" s="251" t="s">
        <v>1726</v>
      </c>
      <c r="BG410" s="399" t="s">
        <v>566</v>
      </c>
      <c r="BH410" s="252" t="s">
        <v>1004</v>
      </c>
      <c r="BI410" s="251" t="s">
        <v>331</v>
      </c>
      <c r="BJ410" s="251" t="s">
        <v>366</v>
      </c>
      <c r="BK410" s="251" t="s">
        <v>1727</v>
      </c>
      <c r="BL410" s="251" t="s">
        <v>569</v>
      </c>
      <c r="BQ410" s="27" t="s">
        <v>8219</v>
      </c>
      <c r="BR410" s="27" t="s">
        <v>8220</v>
      </c>
    </row>
    <row r="411" spans="2:70" ht="15">
      <c r="B411" s="84"/>
      <c r="D411" s="84"/>
      <c r="E411" s="84"/>
      <c r="F411" s="84"/>
      <c r="G411" s="84"/>
      <c r="R411" s="251"/>
      <c r="S411" s="251"/>
      <c r="BD411" s="399">
        <v>408</v>
      </c>
      <c r="BE411" s="399" t="s">
        <v>855</v>
      </c>
      <c r="BF411" s="251" t="s">
        <v>1728</v>
      </c>
      <c r="BG411" s="399" t="s">
        <v>475</v>
      </c>
      <c r="BH411" s="252" t="s">
        <v>476</v>
      </c>
      <c r="BI411" s="251" t="s">
        <v>332</v>
      </c>
      <c r="BJ411" s="251" t="s">
        <v>366</v>
      </c>
      <c r="BK411" s="251" t="s">
        <v>1729</v>
      </c>
      <c r="BL411" s="251" t="s">
        <v>479</v>
      </c>
      <c r="BQ411" s="27" t="s">
        <v>8221</v>
      </c>
      <c r="BR411" s="27" t="s">
        <v>7379</v>
      </c>
    </row>
    <row r="412" spans="2:70" ht="15">
      <c r="B412" s="84"/>
      <c r="D412" s="84"/>
      <c r="E412" s="84"/>
      <c r="F412" s="84"/>
      <c r="G412" s="84"/>
      <c r="R412" s="251"/>
      <c r="S412" s="251"/>
      <c r="BD412" s="399">
        <v>409</v>
      </c>
      <c r="BE412" s="399" t="s">
        <v>1730</v>
      </c>
      <c r="BF412" s="251" t="s">
        <v>1731</v>
      </c>
      <c r="BG412" s="399" t="s">
        <v>623</v>
      </c>
      <c r="BH412" s="252" t="s">
        <v>624</v>
      </c>
      <c r="BI412" s="251" t="s">
        <v>332</v>
      </c>
      <c r="BJ412" s="251" t="s">
        <v>366</v>
      </c>
      <c r="BK412" s="251" t="s">
        <v>1732</v>
      </c>
      <c r="BL412" s="251" t="s">
        <v>626</v>
      </c>
      <c r="BQ412" s="27" t="s">
        <v>8222</v>
      </c>
      <c r="BR412" s="27" t="s">
        <v>8223</v>
      </c>
    </row>
    <row r="413" spans="2:70" ht="15">
      <c r="B413" s="84"/>
      <c r="D413" s="84"/>
      <c r="E413" s="84"/>
      <c r="F413" s="84"/>
      <c r="G413" s="84"/>
      <c r="R413" s="251"/>
      <c r="S413" s="251"/>
      <c r="BD413" s="399">
        <v>410</v>
      </c>
      <c r="BE413" s="399" t="s">
        <v>1733</v>
      </c>
      <c r="BF413" s="251" t="s">
        <v>1734</v>
      </c>
      <c r="BG413" s="399" t="s">
        <v>455</v>
      </c>
      <c r="BH413" s="252">
        <v>35</v>
      </c>
      <c r="BI413" s="251" t="s">
        <v>798</v>
      </c>
      <c r="BJ413" s="251" t="s">
        <v>413</v>
      </c>
      <c r="BK413" s="251" t="s">
        <v>1735</v>
      </c>
      <c r="BL413" s="251" t="s">
        <v>458</v>
      </c>
      <c r="BQ413" s="27" t="s">
        <v>8224</v>
      </c>
      <c r="BR413" s="27" t="s">
        <v>8225</v>
      </c>
    </row>
    <row r="414" spans="2:70" ht="15">
      <c r="B414" s="84"/>
      <c r="D414" s="84"/>
      <c r="E414" s="84"/>
      <c r="F414" s="84"/>
      <c r="G414" s="84"/>
      <c r="R414" s="251"/>
      <c r="S414" s="251"/>
      <c r="BD414" s="399">
        <v>411</v>
      </c>
      <c r="BE414" s="399" t="s">
        <v>1736</v>
      </c>
      <c r="BF414" s="251" t="s">
        <v>1737</v>
      </c>
      <c r="BG414" s="399" t="s">
        <v>566</v>
      </c>
      <c r="BH414" s="252" t="s">
        <v>1004</v>
      </c>
      <c r="BI414" s="251" t="s">
        <v>445</v>
      </c>
      <c r="BJ414" s="251" t="s">
        <v>380</v>
      </c>
      <c r="BK414" s="251" t="s">
        <v>1738</v>
      </c>
      <c r="BL414" s="251" t="s">
        <v>569</v>
      </c>
      <c r="BQ414" s="27" t="s">
        <v>8226</v>
      </c>
      <c r="BR414" s="27" t="s">
        <v>8227</v>
      </c>
    </row>
    <row r="415" spans="2:70" ht="15">
      <c r="B415" s="84"/>
      <c r="D415" s="84"/>
      <c r="E415" s="84"/>
      <c r="F415" s="84"/>
      <c r="G415" s="84"/>
      <c r="R415" s="251"/>
      <c r="S415" s="251"/>
      <c r="BD415" s="399">
        <v>412</v>
      </c>
      <c r="BE415" s="399" t="s">
        <v>1739</v>
      </c>
      <c r="BF415" s="251" t="s">
        <v>1740</v>
      </c>
      <c r="BG415" s="399" t="s">
        <v>423</v>
      </c>
      <c r="BH415" s="252" t="s">
        <v>424</v>
      </c>
      <c r="BI415" s="251" t="s">
        <v>333</v>
      </c>
      <c r="BJ415" s="251" t="s">
        <v>380</v>
      </c>
      <c r="BK415" s="251" t="s">
        <v>1741</v>
      </c>
      <c r="BL415" s="251" t="s">
        <v>426</v>
      </c>
      <c r="BQ415" s="27" t="s">
        <v>8228</v>
      </c>
      <c r="BR415" s="27" t="s">
        <v>7436</v>
      </c>
    </row>
    <row r="416" spans="2:70" ht="15">
      <c r="B416" s="84"/>
      <c r="D416" s="84"/>
      <c r="E416" s="84"/>
      <c r="F416" s="84"/>
      <c r="G416" s="84"/>
      <c r="R416" s="251"/>
      <c r="S416" s="251"/>
      <c r="BD416" s="399">
        <v>413</v>
      </c>
      <c r="BE416" s="399" t="s">
        <v>1742</v>
      </c>
      <c r="BF416" s="251" t="s">
        <v>1743</v>
      </c>
      <c r="BG416" s="399" t="s">
        <v>356</v>
      </c>
      <c r="BH416" s="252">
        <v>18</v>
      </c>
      <c r="BI416" s="251" t="s">
        <v>635</v>
      </c>
      <c r="BJ416" s="251" t="s">
        <v>413</v>
      </c>
      <c r="BK416" s="251" t="s">
        <v>1744</v>
      </c>
      <c r="BL416" s="251" t="s">
        <v>360</v>
      </c>
      <c r="BQ416" s="27" t="s">
        <v>8229</v>
      </c>
      <c r="BR416" s="27" t="s">
        <v>7466</v>
      </c>
    </row>
    <row r="417" spans="2:70" ht="15">
      <c r="B417" s="84"/>
      <c r="D417" s="84"/>
      <c r="E417" s="84"/>
      <c r="F417" s="84"/>
      <c r="G417" s="84"/>
      <c r="R417" s="251"/>
      <c r="S417" s="251"/>
      <c r="BD417" s="399">
        <v>414</v>
      </c>
      <c r="BE417" s="399" t="s">
        <v>1745</v>
      </c>
      <c r="BF417" s="251" t="s">
        <v>1746</v>
      </c>
      <c r="BG417" s="399" t="s">
        <v>371</v>
      </c>
      <c r="BH417" s="252">
        <v>28</v>
      </c>
      <c r="BI417" s="251" t="s">
        <v>333</v>
      </c>
      <c r="BJ417" s="251" t="s">
        <v>351</v>
      </c>
      <c r="BK417" s="251" t="s">
        <v>1747</v>
      </c>
      <c r="BL417" s="251" t="s">
        <v>375</v>
      </c>
      <c r="BQ417" s="27" t="s">
        <v>8230</v>
      </c>
      <c r="BR417" s="27" t="s">
        <v>8231</v>
      </c>
    </row>
    <row r="418" spans="2:70" ht="15">
      <c r="B418" s="84"/>
      <c r="D418" s="84"/>
      <c r="E418" s="84"/>
      <c r="F418" s="84"/>
      <c r="G418" s="84"/>
      <c r="R418" s="251"/>
      <c r="S418" s="251"/>
      <c r="BD418" s="399">
        <v>415</v>
      </c>
      <c r="BE418" s="399" t="s">
        <v>1748</v>
      </c>
      <c r="BF418" s="251" t="s">
        <v>1749</v>
      </c>
      <c r="BG418" s="399" t="s">
        <v>363</v>
      </c>
      <c r="BH418" s="252" t="s">
        <v>364</v>
      </c>
      <c r="BI418" s="251" t="s">
        <v>332</v>
      </c>
      <c r="BJ418" s="251" t="s">
        <v>539</v>
      </c>
      <c r="BK418" s="251" t="s">
        <v>1750</v>
      </c>
      <c r="BL418" s="251" t="s">
        <v>368</v>
      </c>
      <c r="BQ418" s="27" t="s">
        <v>8232</v>
      </c>
      <c r="BR418" s="27" t="s">
        <v>8233</v>
      </c>
    </row>
    <row r="419" spans="2:70" ht="15">
      <c r="B419" s="84"/>
      <c r="D419" s="84"/>
      <c r="E419" s="84"/>
      <c r="F419" s="84"/>
      <c r="G419" s="84"/>
      <c r="R419" s="251"/>
      <c r="S419" s="251"/>
      <c r="BD419" s="399">
        <v>416</v>
      </c>
      <c r="BE419" s="399" t="s">
        <v>1751</v>
      </c>
      <c r="BF419" s="251" t="s">
        <v>1752</v>
      </c>
      <c r="BG419" s="399" t="s">
        <v>455</v>
      </c>
      <c r="BH419" s="252">
        <v>35</v>
      </c>
      <c r="BI419" s="251" t="s">
        <v>1295</v>
      </c>
      <c r="BJ419" s="251" t="s">
        <v>413</v>
      </c>
      <c r="BK419" s="251" t="s">
        <v>1753</v>
      </c>
      <c r="BL419" s="251" t="s">
        <v>458</v>
      </c>
      <c r="BQ419" s="27" t="s">
        <v>8234</v>
      </c>
      <c r="BR419" s="27" t="s">
        <v>8235</v>
      </c>
    </row>
    <row r="420" spans="2:70" ht="15">
      <c r="B420" s="84"/>
      <c r="D420" s="84"/>
      <c r="E420" s="84"/>
      <c r="F420" s="84"/>
      <c r="G420" s="84"/>
      <c r="R420" s="251"/>
      <c r="S420" s="251"/>
      <c r="BD420" s="399">
        <v>417</v>
      </c>
      <c r="BE420" s="399" t="s">
        <v>1754</v>
      </c>
      <c r="BF420" s="251" t="s">
        <v>1755</v>
      </c>
      <c r="BG420" s="399" t="s">
        <v>614</v>
      </c>
      <c r="BH420" s="252">
        <v>38</v>
      </c>
      <c r="BI420" s="251" t="s">
        <v>379</v>
      </c>
      <c r="BJ420" s="251" t="s">
        <v>385</v>
      </c>
      <c r="BK420" s="251" t="s">
        <v>1756</v>
      </c>
      <c r="BL420" s="251" t="s">
        <v>617</v>
      </c>
      <c r="BQ420" s="27" t="s">
        <v>8236</v>
      </c>
      <c r="BR420" s="27" t="s">
        <v>7357</v>
      </c>
    </row>
    <row r="421" spans="2:70" ht="15">
      <c r="B421" s="84"/>
      <c r="D421" s="84"/>
      <c r="E421" s="84"/>
      <c r="F421" s="84"/>
      <c r="G421" s="84"/>
      <c r="R421" s="251"/>
      <c r="S421" s="251"/>
      <c r="BD421" s="399">
        <v>418</v>
      </c>
      <c r="BE421" s="399" t="s">
        <v>1757</v>
      </c>
      <c r="BF421" s="251" t="s">
        <v>1758</v>
      </c>
      <c r="BG421" s="399" t="s">
        <v>449</v>
      </c>
      <c r="BH421" s="252">
        <v>43</v>
      </c>
      <c r="BI421" s="251" t="s">
        <v>332</v>
      </c>
      <c r="BJ421" s="251" t="s">
        <v>366</v>
      </c>
      <c r="BK421" s="251" t="s">
        <v>1759</v>
      </c>
      <c r="BL421" s="251" t="s">
        <v>452</v>
      </c>
      <c r="BQ421" s="27" t="s">
        <v>8237</v>
      </c>
      <c r="BR421" s="27" t="s">
        <v>8238</v>
      </c>
    </row>
    <row r="422" spans="2:70" ht="15">
      <c r="B422" s="84"/>
      <c r="D422" s="84"/>
      <c r="E422" s="84"/>
      <c r="F422" s="84"/>
      <c r="G422" s="84"/>
      <c r="R422" s="251"/>
      <c r="S422" s="251"/>
      <c r="BD422" s="399">
        <v>419</v>
      </c>
      <c r="BE422" s="399" t="s">
        <v>1760</v>
      </c>
      <c r="BF422" s="251" t="s">
        <v>1761</v>
      </c>
      <c r="BG422" s="399" t="s">
        <v>469</v>
      </c>
      <c r="BH422" s="252" t="s">
        <v>662</v>
      </c>
      <c r="BI422" s="251" t="s">
        <v>332</v>
      </c>
      <c r="BJ422" s="251" t="s">
        <v>380</v>
      </c>
      <c r="BK422" s="251" t="s">
        <v>1762</v>
      </c>
      <c r="BL422" s="251" t="s">
        <v>472</v>
      </c>
      <c r="BQ422" s="27" t="s">
        <v>8239</v>
      </c>
      <c r="BR422" s="27" t="s">
        <v>8240</v>
      </c>
    </row>
    <row r="423" spans="2:70" ht="15">
      <c r="B423" s="84"/>
      <c r="D423" s="84"/>
      <c r="E423" s="84"/>
      <c r="F423" s="84"/>
      <c r="G423" s="84"/>
      <c r="R423" s="251"/>
      <c r="S423" s="251"/>
      <c r="BD423" s="399">
        <v>420</v>
      </c>
      <c r="BE423" s="399" t="s">
        <v>1763</v>
      </c>
      <c r="BF423" s="251" t="s">
        <v>1764</v>
      </c>
      <c r="BG423" s="399" t="s">
        <v>363</v>
      </c>
      <c r="BH423" s="252" t="s">
        <v>364</v>
      </c>
      <c r="BI423" s="251" t="s">
        <v>615</v>
      </c>
      <c r="BJ423" s="251" t="s">
        <v>366</v>
      </c>
      <c r="BK423" s="251" t="s">
        <v>1765</v>
      </c>
      <c r="BL423" s="251" t="s">
        <v>368</v>
      </c>
      <c r="BQ423" s="27" t="s">
        <v>8241</v>
      </c>
      <c r="BR423" s="27" t="s">
        <v>8242</v>
      </c>
    </row>
    <row r="424" spans="2:70" ht="15">
      <c r="B424" s="84"/>
      <c r="D424" s="84"/>
      <c r="E424" s="84"/>
      <c r="F424" s="84"/>
      <c r="G424" s="84"/>
      <c r="R424" s="251"/>
      <c r="S424" s="251"/>
      <c r="BD424" s="399">
        <v>421</v>
      </c>
      <c r="BE424" s="399" t="s">
        <v>1766</v>
      </c>
      <c r="BF424" s="251" t="s">
        <v>1767</v>
      </c>
      <c r="BG424" s="399" t="s">
        <v>549</v>
      </c>
      <c r="BH424" s="252">
        <v>41</v>
      </c>
      <c r="BI424" s="251" t="s">
        <v>334</v>
      </c>
      <c r="BJ424" s="251" t="s">
        <v>380</v>
      </c>
      <c r="BK424" s="251" t="s">
        <v>1768</v>
      </c>
      <c r="BL424" s="251" t="s">
        <v>551</v>
      </c>
      <c r="BQ424" s="27" t="s">
        <v>8243</v>
      </c>
      <c r="BR424" s="27" t="s">
        <v>8244</v>
      </c>
    </row>
    <row r="425" spans="2:70" ht="15">
      <c r="B425" s="84"/>
      <c r="D425" s="84"/>
      <c r="E425" s="84"/>
      <c r="F425" s="84"/>
      <c r="G425" s="84"/>
      <c r="R425" s="251"/>
      <c r="S425" s="251"/>
      <c r="BD425" s="399">
        <v>422</v>
      </c>
      <c r="BE425" s="399" t="s">
        <v>1769</v>
      </c>
      <c r="BF425" s="251" t="s">
        <v>1770</v>
      </c>
      <c r="BG425" s="399" t="s">
        <v>733</v>
      </c>
      <c r="BH425" s="252" t="s">
        <v>734</v>
      </c>
      <c r="BI425" s="251" t="s">
        <v>332</v>
      </c>
      <c r="BJ425" s="251" t="s">
        <v>397</v>
      </c>
      <c r="BK425" s="251" t="s">
        <v>1771</v>
      </c>
      <c r="BL425" s="251" t="s">
        <v>736</v>
      </c>
      <c r="BQ425" s="27" t="s">
        <v>8245</v>
      </c>
      <c r="BR425" s="27" t="s">
        <v>7358</v>
      </c>
    </row>
    <row r="426" spans="2:70" ht="15">
      <c r="B426" s="84"/>
      <c r="D426" s="84"/>
      <c r="E426" s="84"/>
      <c r="F426" s="84"/>
      <c r="G426" s="84"/>
      <c r="R426" s="251"/>
      <c r="S426" s="251"/>
      <c r="BD426" s="399">
        <v>423</v>
      </c>
      <c r="BE426" s="399" t="s">
        <v>1772</v>
      </c>
      <c r="BF426" s="251" t="s">
        <v>1773</v>
      </c>
      <c r="BG426" s="399" t="s">
        <v>469</v>
      </c>
      <c r="BH426" s="252" t="s">
        <v>470</v>
      </c>
      <c r="BI426" s="251" t="s">
        <v>500</v>
      </c>
      <c r="BJ426" s="251" t="s">
        <v>1774</v>
      </c>
      <c r="BK426" s="251" t="s">
        <v>1775</v>
      </c>
      <c r="BL426" s="251" t="s">
        <v>472</v>
      </c>
      <c r="BQ426" s="27" t="s">
        <v>8246</v>
      </c>
      <c r="BR426" s="27" t="s">
        <v>8247</v>
      </c>
    </row>
    <row r="427" spans="2:70" ht="15">
      <c r="B427" s="84"/>
      <c r="D427" s="84"/>
      <c r="E427" s="84"/>
      <c r="F427" s="84"/>
      <c r="G427" s="84"/>
      <c r="R427" s="251"/>
      <c r="S427" s="251"/>
      <c r="BD427" s="399">
        <v>424</v>
      </c>
      <c r="BE427" s="399" t="s">
        <v>1776</v>
      </c>
      <c r="BF427" s="251" t="s">
        <v>1777</v>
      </c>
      <c r="BG427" s="399" t="s">
        <v>405</v>
      </c>
      <c r="BH427" s="252" t="s">
        <v>412</v>
      </c>
      <c r="BI427" s="251" t="s">
        <v>445</v>
      </c>
      <c r="BJ427" s="251" t="s">
        <v>351</v>
      </c>
      <c r="BK427" s="251" t="s">
        <v>1778</v>
      </c>
      <c r="BL427" s="251" t="s">
        <v>409</v>
      </c>
      <c r="BQ427" s="27" t="s">
        <v>8248</v>
      </c>
      <c r="BR427" s="27" t="s">
        <v>7394</v>
      </c>
    </row>
    <row r="428" spans="2:70" ht="15">
      <c r="B428" s="84"/>
      <c r="D428" s="84"/>
      <c r="E428" s="84"/>
      <c r="F428" s="84"/>
      <c r="G428" s="84"/>
      <c r="R428" s="251"/>
      <c r="S428" s="251"/>
      <c r="BD428" s="399">
        <v>425</v>
      </c>
      <c r="BE428" s="399" t="s">
        <v>1779</v>
      </c>
      <c r="BF428" s="251" t="s">
        <v>1780</v>
      </c>
      <c r="BG428" s="399" t="s">
        <v>429</v>
      </c>
      <c r="BH428" s="252" t="s">
        <v>430</v>
      </c>
      <c r="BI428" s="251" t="s">
        <v>357</v>
      </c>
      <c r="BJ428" s="251" t="s">
        <v>413</v>
      </c>
      <c r="BK428" s="251" t="s">
        <v>1781</v>
      </c>
      <c r="BL428" s="251" t="s">
        <v>432</v>
      </c>
      <c r="BQ428" s="27" t="s">
        <v>8249</v>
      </c>
      <c r="BR428" s="27" t="s">
        <v>7283</v>
      </c>
    </row>
    <row r="429" spans="2:70" ht="15">
      <c r="B429" s="84"/>
      <c r="D429" s="84"/>
      <c r="E429" s="84"/>
      <c r="F429" s="84"/>
      <c r="G429" s="84"/>
      <c r="R429" s="251"/>
      <c r="S429" s="251"/>
      <c r="BD429" s="399">
        <v>426</v>
      </c>
      <c r="BE429" s="399" t="s">
        <v>1782</v>
      </c>
      <c r="BF429" s="251" t="s">
        <v>1783</v>
      </c>
      <c r="BG429" s="399" t="s">
        <v>602</v>
      </c>
      <c r="BH429" s="252">
        <v>47</v>
      </c>
      <c r="BI429" s="251" t="s">
        <v>535</v>
      </c>
      <c r="BJ429" s="251" t="s">
        <v>413</v>
      </c>
      <c r="BK429" s="251" t="s">
        <v>1784</v>
      </c>
      <c r="BL429" s="251" t="s">
        <v>604</v>
      </c>
      <c r="BQ429" s="27" t="s">
        <v>8250</v>
      </c>
      <c r="BR429" s="27" t="s">
        <v>8251</v>
      </c>
    </row>
    <row r="430" spans="2:70" ht="15">
      <c r="B430" s="84"/>
      <c r="D430" s="84"/>
      <c r="E430" s="84"/>
      <c r="F430" s="84"/>
      <c r="G430" s="84"/>
      <c r="R430" s="251"/>
      <c r="S430" s="251"/>
      <c r="BD430" s="399">
        <v>427</v>
      </c>
      <c r="BE430" s="399" t="s">
        <v>1785</v>
      </c>
      <c r="BF430" s="251" t="s">
        <v>1786</v>
      </c>
      <c r="BG430" s="399" t="s">
        <v>590</v>
      </c>
      <c r="BH430" s="252">
        <v>44</v>
      </c>
      <c r="BI430" s="251" t="s">
        <v>332</v>
      </c>
      <c r="BJ430" s="251" t="s">
        <v>407</v>
      </c>
      <c r="BK430" s="251" t="s">
        <v>1787</v>
      </c>
      <c r="BL430" s="251" t="s">
        <v>592</v>
      </c>
      <c r="BQ430" s="27" t="s">
        <v>8252</v>
      </c>
      <c r="BR430" s="27" t="s">
        <v>7276</v>
      </c>
    </row>
    <row r="431" spans="2:70" ht="15">
      <c r="B431" s="84"/>
      <c r="D431" s="84"/>
      <c r="E431" s="84"/>
      <c r="F431" s="84"/>
      <c r="G431" s="84"/>
      <c r="R431" s="251"/>
      <c r="S431" s="251"/>
      <c r="BD431" s="399">
        <v>428</v>
      </c>
      <c r="BE431" s="399" t="s">
        <v>1788</v>
      </c>
      <c r="BF431" s="251" t="s">
        <v>1789</v>
      </c>
      <c r="BG431" s="399" t="s">
        <v>435</v>
      </c>
      <c r="BH431" s="252" t="s">
        <v>651</v>
      </c>
      <c r="BI431" s="251" t="s">
        <v>477</v>
      </c>
      <c r="BJ431" s="251" t="s">
        <v>539</v>
      </c>
      <c r="BK431" s="251" t="s">
        <v>1790</v>
      </c>
      <c r="BL431" s="251" t="s">
        <v>439</v>
      </c>
      <c r="BQ431" s="27" t="s">
        <v>8253</v>
      </c>
      <c r="BR431" s="27" t="s">
        <v>7369</v>
      </c>
    </row>
    <row r="432" spans="2:70" ht="15">
      <c r="B432" s="84"/>
      <c r="D432" s="84"/>
      <c r="E432" s="84"/>
      <c r="F432" s="84"/>
      <c r="G432" s="84"/>
      <c r="R432" s="251"/>
      <c r="S432" s="251"/>
      <c r="BD432" s="399">
        <v>429</v>
      </c>
      <c r="BE432" s="399" t="s">
        <v>1791</v>
      </c>
      <c r="BF432" s="251" t="s">
        <v>1792</v>
      </c>
      <c r="BG432" s="399" t="s">
        <v>566</v>
      </c>
      <c r="BH432" s="252" t="s">
        <v>567</v>
      </c>
      <c r="BI432" s="251" t="s">
        <v>333</v>
      </c>
      <c r="BJ432" s="251" t="s">
        <v>539</v>
      </c>
      <c r="BK432" s="251" t="s">
        <v>1793</v>
      </c>
      <c r="BL432" s="251" t="s">
        <v>569</v>
      </c>
      <c r="BQ432" s="27" t="s">
        <v>8254</v>
      </c>
      <c r="BR432" s="27" t="s">
        <v>8255</v>
      </c>
    </row>
    <row r="433" spans="2:70" ht="15">
      <c r="B433" s="84"/>
      <c r="D433" s="84"/>
      <c r="E433" s="84"/>
      <c r="F433" s="84"/>
      <c r="G433" s="84"/>
      <c r="R433" s="251"/>
      <c r="S433" s="251"/>
      <c r="BD433" s="399">
        <v>430</v>
      </c>
      <c r="BE433" s="399" t="s">
        <v>1794</v>
      </c>
      <c r="BF433" s="251" t="s">
        <v>1795</v>
      </c>
      <c r="BG433" s="399" t="s">
        <v>566</v>
      </c>
      <c r="BH433" s="252" t="s">
        <v>1004</v>
      </c>
      <c r="BI433" s="251" t="s">
        <v>465</v>
      </c>
      <c r="BJ433" s="251" t="s">
        <v>413</v>
      </c>
      <c r="BK433" s="251" t="s">
        <v>1796</v>
      </c>
      <c r="BL433" s="251" t="s">
        <v>569</v>
      </c>
      <c r="BQ433" s="27" t="s">
        <v>8256</v>
      </c>
      <c r="BR433" s="27" t="s">
        <v>8257</v>
      </c>
    </row>
    <row r="434" spans="2:70" ht="15">
      <c r="B434" s="84"/>
      <c r="D434" s="84"/>
      <c r="E434" s="84"/>
      <c r="F434" s="84"/>
      <c r="G434" s="84"/>
      <c r="R434" s="251"/>
      <c r="S434" s="251"/>
      <c r="BD434" s="399">
        <v>431</v>
      </c>
      <c r="BE434" s="399" t="s">
        <v>1797</v>
      </c>
      <c r="BF434" s="251" t="s">
        <v>1798</v>
      </c>
      <c r="BG434" s="399" t="s">
        <v>363</v>
      </c>
      <c r="BH434" s="252" t="s">
        <v>575</v>
      </c>
      <c r="BI434" s="251" t="s">
        <v>798</v>
      </c>
      <c r="BJ434" s="251" t="s">
        <v>413</v>
      </c>
      <c r="BK434" s="251" t="s">
        <v>1799</v>
      </c>
      <c r="BL434" s="251" t="s">
        <v>368</v>
      </c>
      <c r="BQ434" s="27" t="s">
        <v>8258</v>
      </c>
      <c r="BR434" s="27" t="s">
        <v>8259</v>
      </c>
    </row>
    <row r="435" spans="2:70" ht="15">
      <c r="B435" s="84"/>
      <c r="D435" s="84"/>
      <c r="E435" s="84"/>
      <c r="F435" s="84"/>
      <c r="G435" s="84"/>
      <c r="R435" s="251"/>
      <c r="S435" s="251"/>
      <c r="BD435" s="399">
        <v>432</v>
      </c>
      <c r="BE435" s="399" t="s">
        <v>1800</v>
      </c>
      <c r="BF435" s="251" t="s">
        <v>1801</v>
      </c>
      <c r="BG435" s="399" t="s">
        <v>614</v>
      </c>
      <c r="BH435" s="252">
        <v>38</v>
      </c>
      <c r="BI435" s="251" t="s">
        <v>477</v>
      </c>
      <c r="BJ435" s="251" t="s">
        <v>351</v>
      </c>
      <c r="BK435" s="251" t="s">
        <v>1802</v>
      </c>
      <c r="BL435" s="251" t="s">
        <v>617</v>
      </c>
      <c r="BQ435" s="27" t="s">
        <v>8260</v>
      </c>
      <c r="BR435" s="27" t="s">
        <v>8261</v>
      </c>
    </row>
    <row r="436" spans="2:70" ht="15">
      <c r="B436" s="84"/>
      <c r="D436" s="84"/>
      <c r="E436" s="84"/>
      <c r="F436" s="84"/>
      <c r="G436" s="84"/>
      <c r="R436" s="251"/>
      <c r="S436" s="251"/>
      <c r="BD436" s="399">
        <v>433</v>
      </c>
      <c r="BE436" s="399" t="s">
        <v>1803</v>
      </c>
      <c r="BF436" s="251" t="s">
        <v>1804</v>
      </c>
      <c r="BG436" s="399" t="s">
        <v>489</v>
      </c>
      <c r="BH436" s="252" t="s">
        <v>490</v>
      </c>
      <c r="BI436" s="251" t="s">
        <v>334</v>
      </c>
      <c r="BJ436" s="251" t="s">
        <v>396</v>
      </c>
      <c r="BK436" s="251" t="s">
        <v>1805</v>
      </c>
      <c r="BL436" s="251" t="s">
        <v>493</v>
      </c>
      <c r="BQ436" s="27" t="s">
        <v>8262</v>
      </c>
      <c r="BR436" s="27" t="s">
        <v>8263</v>
      </c>
    </row>
    <row r="437" spans="2:70" ht="15">
      <c r="B437" s="84"/>
      <c r="D437" s="84"/>
      <c r="E437" s="84"/>
      <c r="F437" s="84"/>
      <c r="G437" s="84"/>
      <c r="R437" s="251"/>
      <c r="S437" s="251"/>
      <c r="BD437" s="399">
        <v>434</v>
      </c>
      <c r="BE437" s="399" t="s">
        <v>1806</v>
      </c>
      <c r="BF437" s="251" t="s">
        <v>1807</v>
      </c>
      <c r="BG437" s="399" t="s">
        <v>455</v>
      </c>
      <c r="BH437" s="252">
        <v>35</v>
      </c>
      <c r="BI437" s="251" t="s">
        <v>450</v>
      </c>
      <c r="BJ437" s="251" t="s">
        <v>390</v>
      </c>
      <c r="BK437" s="251" t="s">
        <v>1808</v>
      </c>
      <c r="BL437" s="251" t="s">
        <v>458</v>
      </c>
      <c r="BQ437" s="27" t="s">
        <v>8264</v>
      </c>
      <c r="BR437" s="27" t="s">
        <v>8265</v>
      </c>
    </row>
    <row r="438" spans="2:70" ht="15">
      <c r="B438" s="84"/>
      <c r="D438" s="84"/>
      <c r="E438" s="84"/>
      <c r="F438" s="84"/>
      <c r="G438" s="84"/>
      <c r="R438" s="251"/>
      <c r="S438" s="251"/>
      <c r="BD438" s="399">
        <v>435</v>
      </c>
      <c r="BE438" s="399" t="s">
        <v>1809</v>
      </c>
      <c r="BF438" s="251" t="s">
        <v>1810</v>
      </c>
      <c r="BG438" s="399" t="s">
        <v>405</v>
      </c>
      <c r="BH438" s="252" t="s">
        <v>830</v>
      </c>
      <c r="BI438" s="251" t="s">
        <v>728</v>
      </c>
      <c r="BJ438" s="251" t="s">
        <v>397</v>
      </c>
      <c r="BK438" s="251" t="s">
        <v>1811</v>
      </c>
      <c r="BL438" s="251" t="s">
        <v>409</v>
      </c>
      <c r="BQ438" s="27" t="s">
        <v>8266</v>
      </c>
      <c r="BR438" s="27" t="s">
        <v>8267</v>
      </c>
    </row>
    <row r="439" spans="2:70" ht="15">
      <c r="B439" s="84"/>
      <c r="D439" s="84"/>
      <c r="E439" s="84"/>
      <c r="F439" s="84"/>
      <c r="G439" s="84"/>
      <c r="R439" s="251"/>
      <c r="S439" s="251"/>
      <c r="BD439" s="399">
        <v>436</v>
      </c>
      <c r="BE439" s="399" t="s">
        <v>1812</v>
      </c>
      <c r="BF439" s="251" t="s">
        <v>1813</v>
      </c>
      <c r="BG439" s="399" t="s">
        <v>566</v>
      </c>
      <c r="BH439" s="252" t="s">
        <v>1004</v>
      </c>
      <c r="BI439" s="251" t="s">
        <v>372</v>
      </c>
      <c r="BJ439" s="251" t="s">
        <v>413</v>
      </c>
      <c r="BK439" s="251" t="s">
        <v>1814</v>
      </c>
      <c r="BL439" s="251" t="s">
        <v>569</v>
      </c>
      <c r="BQ439" s="27" t="s">
        <v>8268</v>
      </c>
      <c r="BR439" s="27" t="s">
        <v>8269</v>
      </c>
    </row>
    <row r="440" spans="2:70" ht="15">
      <c r="B440" s="84"/>
      <c r="D440" s="84"/>
      <c r="E440" s="84"/>
      <c r="F440" s="84"/>
      <c r="G440" s="84"/>
      <c r="R440" s="251"/>
      <c r="S440" s="251"/>
      <c r="BD440" s="399">
        <v>437</v>
      </c>
      <c r="BE440" s="399" t="s">
        <v>1815</v>
      </c>
      <c r="BF440" s="251" t="s">
        <v>1816</v>
      </c>
      <c r="BG440" s="399" t="s">
        <v>395</v>
      </c>
      <c r="BH440" s="252">
        <v>16</v>
      </c>
      <c r="BI440" s="251" t="s">
        <v>1817</v>
      </c>
      <c r="BJ440" s="251" t="s">
        <v>778</v>
      </c>
      <c r="BK440" s="251" t="s">
        <v>1818</v>
      </c>
      <c r="BL440" s="251" t="s">
        <v>399</v>
      </c>
      <c r="BQ440" s="27" t="s">
        <v>8270</v>
      </c>
      <c r="BR440" s="27" t="s">
        <v>8271</v>
      </c>
    </row>
    <row r="441" spans="2:70" ht="15">
      <c r="B441" s="84"/>
      <c r="D441" s="84"/>
      <c r="E441" s="84"/>
      <c r="F441" s="84"/>
      <c r="G441" s="84"/>
      <c r="R441" s="251"/>
      <c r="S441" s="251"/>
      <c r="BD441" s="399">
        <v>438</v>
      </c>
      <c r="BE441" s="399" t="s">
        <v>1819</v>
      </c>
      <c r="BF441" s="251" t="s">
        <v>1820</v>
      </c>
      <c r="BG441" s="399" t="s">
        <v>449</v>
      </c>
      <c r="BH441" s="252">
        <v>43</v>
      </c>
      <c r="BI441" s="251" t="s">
        <v>390</v>
      </c>
      <c r="BJ441" s="251" t="s">
        <v>1821</v>
      </c>
      <c r="BK441" s="251" t="s">
        <v>1822</v>
      </c>
      <c r="BL441" s="251" t="s">
        <v>452</v>
      </c>
      <c r="BQ441" s="27" t="s">
        <v>8272</v>
      </c>
      <c r="BR441" s="27" t="s">
        <v>7260</v>
      </c>
    </row>
    <row r="442" spans="2:70" ht="15">
      <c r="B442" s="84"/>
      <c r="D442" s="84"/>
      <c r="E442" s="84"/>
      <c r="F442" s="84"/>
      <c r="G442" s="84"/>
      <c r="R442" s="251"/>
      <c r="S442" s="251"/>
      <c r="BD442" s="399">
        <v>439</v>
      </c>
      <c r="BE442" s="399" t="s">
        <v>1823</v>
      </c>
      <c r="BF442" s="251" t="s">
        <v>1824</v>
      </c>
      <c r="BG442" s="399" t="s">
        <v>435</v>
      </c>
      <c r="BH442" s="252" t="s">
        <v>436</v>
      </c>
      <c r="BI442" s="251" t="s">
        <v>332</v>
      </c>
      <c r="BJ442" s="251" t="s">
        <v>390</v>
      </c>
      <c r="BK442" s="251" t="s">
        <v>1825</v>
      </c>
      <c r="BL442" s="251" t="s">
        <v>439</v>
      </c>
      <c r="BQ442" s="27" t="s">
        <v>8273</v>
      </c>
      <c r="BR442" s="27" t="s">
        <v>8274</v>
      </c>
    </row>
    <row r="443" spans="2:70" ht="15">
      <c r="B443" s="84"/>
      <c r="D443" s="84"/>
      <c r="E443" s="84"/>
      <c r="F443" s="84"/>
      <c r="G443" s="84"/>
      <c r="R443" s="251"/>
      <c r="S443" s="251"/>
      <c r="BD443" s="399">
        <v>440</v>
      </c>
      <c r="BE443" s="399" t="s">
        <v>1826</v>
      </c>
      <c r="BF443" s="251" t="s">
        <v>1827</v>
      </c>
      <c r="BG443" s="399" t="s">
        <v>378</v>
      </c>
      <c r="BH443" s="252">
        <v>11</v>
      </c>
      <c r="BI443" s="251" t="s">
        <v>331</v>
      </c>
      <c r="BJ443" s="251" t="s">
        <v>396</v>
      </c>
      <c r="BK443" s="251" t="s">
        <v>1828</v>
      </c>
      <c r="BL443" s="251" t="s">
        <v>382</v>
      </c>
      <c r="BQ443" s="27" t="s">
        <v>8275</v>
      </c>
      <c r="BR443" s="27" t="s">
        <v>7405</v>
      </c>
    </row>
    <row r="444" spans="2:70" ht="15">
      <c r="B444" s="84"/>
      <c r="D444" s="84"/>
      <c r="E444" s="84"/>
      <c r="F444" s="84"/>
      <c r="G444" s="84"/>
      <c r="R444" s="251"/>
      <c r="S444" s="251"/>
      <c r="BD444" s="399">
        <v>441</v>
      </c>
      <c r="BE444" s="399" t="s">
        <v>1829</v>
      </c>
      <c r="BF444" s="251" t="s">
        <v>1830</v>
      </c>
      <c r="BG444" s="399" t="s">
        <v>405</v>
      </c>
      <c r="BH444" s="252" t="s">
        <v>1241</v>
      </c>
      <c r="BI444" s="251" t="s">
        <v>334</v>
      </c>
      <c r="BJ444" s="251" t="s">
        <v>380</v>
      </c>
      <c r="BK444" s="251" t="s">
        <v>1831</v>
      </c>
      <c r="BL444" s="251" t="s">
        <v>409</v>
      </c>
      <c r="BQ444" s="27" t="s">
        <v>8276</v>
      </c>
      <c r="BR444" s="27" t="s">
        <v>8277</v>
      </c>
    </row>
    <row r="445" spans="2:70" ht="15">
      <c r="B445" s="84"/>
      <c r="D445" s="84"/>
      <c r="E445" s="84"/>
      <c r="F445" s="84"/>
      <c r="G445" s="84"/>
      <c r="R445" s="251"/>
      <c r="S445" s="251"/>
      <c r="BD445" s="399">
        <v>442</v>
      </c>
      <c r="BE445" s="399" t="s">
        <v>1832</v>
      </c>
      <c r="BF445" s="251" t="s">
        <v>1833</v>
      </c>
      <c r="BG445" s="399" t="s">
        <v>378</v>
      </c>
      <c r="BH445" s="252">
        <v>11</v>
      </c>
      <c r="BI445" s="251" t="s">
        <v>332</v>
      </c>
      <c r="BJ445" s="251" t="s">
        <v>397</v>
      </c>
      <c r="BK445" s="251" t="s">
        <v>1834</v>
      </c>
      <c r="BL445" s="251" t="s">
        <v>382</v>
      </c>
      <c r="BQ445" s="27" t="s">
        <v>8278</v>
      </c>
      <c r="BR445" s="27" t="s">
        <v>7469</v>
      </c>
    </row>
    <row r="446" spans="2:70" ht="15">
      <c r="B446" s="84"/>
      <c r="D446" s="84"/>
      <c r="E446" s="84"/>
      <c r="F446" s="84"/>
      <c r="G446" s="84"/>
      <c r="R446" s="251"/>
      <c r="S446" s="251"/>
      <c r="BD446" s="399">
        <v>443</v>
      </c>
      <c r="BE446" s="399" t="s">
        <v>1835</v>
      </c>
      <c r="BF446" s="251" t="s">
        <v>1836</v>
      </c>
      <c r="BG446" s="399" t="s">
        <v>469</v>
      </c>
      <c r="BH446" s="252" t="s">
        <v>470</v>
      </c>
      <c r="BI446" s="251" t="s">
        <v>379</v>
      </c>
      <c r="BJ446" s="251" t="s">
        <v>366</v>
      </c>
      <c r="BK446" s="251" t="s">
        <v>1837</v>
      </c>
      <c r="BL446" s="251" t="s">
        <v>472</v>
      </c>
      <c r="BQ446" s="27" t="s">
        <v>8279</v>
      </c>
      <c r="BR446" s="27" t="s">
        <v>8280</v>
      </c>
    </row>
    <row r="447" spans="2:70" ht="15">
      <c r="B447" s="84"/>
      <c r="D447" s="84"/>
      <c r="E447" s="84"/>
      <c r="F447" s="84"/>
      <c r="G447" s="84"/>
      <c r="R447" s="251"/>
      <c r="S447" s="251"/>
      <c r="BD447" s="399">
        <v>444</v>
      </c>
      <c r="BE447" s="399" t="s">
        <v>1838</v>
      </c>
      <c r="BF447" s="251" t="s">
        <v>1839</v>
      </c>
      <c r="BG447" s="399" t="s">
        <v>566</v>
      </c>
      <c r="BH447" s="252" t="s">
        <v>567</v>
      </c>
      <c r="BI447" s="251" t="s">
        <v>334</v>
      </c>
      <c r="BJ447" s="251" t="s">
        <v>539</v>
      </c>
      <c r="BK447" s="251" t="s">
        <v>1840</v>
      </c>
      <c r="BL447" s="251" t="s">
        <v>569</v>
      </c>
      <c r="BQ447" s="27" t="s">
        <v>8281</v>
      </c>
      <c r="BR447" s="27" t="s">
        <v>8282</v>
      </c>
    </row>
    <row r="448" spans="2:70" ht="15">
      <c r="B448" s="84"/>
      <c r="D448" s="84"/>
      <c r="E448" s="84"/>
      <c r="F448" s="84"/>
      <c r="G448" s="84"/>
      <c r="R448" s="251"/>
      <c r="S448" s="251"/>
      <c r="BD448" s="399">
        <v>445</v>
      </c>
      <c r="BE448" s="399" t="s">
        <v>1841</v>
      </c>
      <c r="BF448" s="251" t="s">
        <v>1842</v>
      </c>
      <c r="BG448" s="399" t="s">
        <v>469</v>
      </c>
      <c r="BH448" s="252" t="s">
        <v>470</v>
      </c>
      <c r="BI448" s="251" t="s">
        <v>450</v>
      </c>
      <c r="BJ448" s="251" t="s">
        <v>351</v>
      </c>
      <c r="BK448" s="251" t="s">
        <v>1843</v>
      </c>
      <c r="BL448" s="251" t="s">
        <v>472</v>
      </c>
      <c r="BQ448" s="27" t="s">
        <v>8283</v>
      </c>
      <c r="BR448" s="27" t="s">
        <v>8284</v>
      </c>
    </row>
    <row r="449" spans="2:70" ht="15">
      <c r="B449" s="84"/>
      <c r="D449" s="84"/>
      <c r="E449" s="84"/>
      <c r="F449" s="84"/>
      <c r="G449" s="84"/>
      <c r="R449" s="251"/>
      <c r="S449" s="251"/>
      <c r="BD449" s="399">
        <v>446</v>
      </c>
      <c r="BE449" s="399" t="s">
        <v>1844</v>
      </c>
      <c r="BF449" s="251" t="s">
        <v>1845</v>
      </c>
      <c r="BG449" s="399" t="s">
        <v>405</v>
      </c>
      <c r="BH449" s="252" t="s">
        <v>412</v>
      </c>
      <c r="BI449" s="251" t="s">
        <v>372</v>
      </c>
      <c r="BJ449" s="251" t="s">
        <v>413</v>
      </c>
      <c r="BK449" s="251" t="s">
        <v>1846</v>
      </c>
      <c r="BL449" s="251" t="s">
        <v>409</v>
      </c>
      <c r="BQ449" s="27" t="s">
        <v>8285</v>
      </c>
      <c r="BR449" s="27" t="s">
        <v>8286</v>
      </c>
    </row>
    <row r="450" spans="2:70" ht="15">
      <c r="B450" s="84"/>
      <c r="D450" s="84"/>
      <c r="E450" s="84"/>
      <c r="F450" s="84"/>
      <c r="G450" s="84"/>
      <c r="R450" s="251"/>
      <c r="S450" s="251"/>
      <c r="BD450" s="399">
        <v>447</v>
      </c>
      <c r="BE450" s="399" t="s">
        <v>1847</v>
      </c>
      <c r="BF450" s="251" t="s">
        <v>1848</v>
      </c>
      <c r="BG450" s="399" t="s">
        <v>395</v>
      </c>
      <c r="BH450" s="252">
        <v>16</v>
      </c>
      <c r="BI450" s="251" t="s">
        <v>390</v>
      </c>
      <c r="BJ450" s="251" t="s">
        <v>397</v>
      </c>
      <c r="BK450" s="251" t="s">
        <v>1849</v>
      </c>
      <c r="BL450" s="251" t="s">
        <v>399</v>
      </c>
      <c r="BQ450" s="27" t="s">
        <v>8287</v>
      </c>
      <c r="BR450" s="27" t="s">
        <v>8288</v>
      </c>
    </row>
    <row r="451" spans="2:70" ht="15">
      <c r="B451" s="84"/>
      <c r="D451" s="84"/>
      <c r="E451" s="84"/>
      <c r="F451" s="84"/>
      <c r="G451" s="84"/>
      <c r="R451" s="251"/>
      <c r="S451" s="251"/>
      <c r="BD451" s="399">
        <v>448</v>
      </c>
      <c r="BE451" s="399" t="s">
        <v>1850</v>
      </c>
      <c r="BF451" s="251" t="s">
        <v>1851</v>
      </c>
      <c r="BG451" s="399" t="s">
        <v>378</v>
      </c>
      <c r="BH451" s="252">
        <v>11</v>
      </c>
      <c r="BI451" s="251" t="s">
        <v>357</v>
      </c>
      <c r="BJ451" s="251" t="s">
        <v>366</v>
      </c>
      <c r="BK451" s="251" t="s">
        <v>1852</v>
      </c>
      <c r="BL451" s="251" t="s">
        <v>382</v>
      </c>
      <c r="BQ451" s="27" t="s">
        <v>8289</v>
      </c>
      <c r="BR451" s="27" t="s">
        <v>8290</v>
      </c>
    </row>
    <row r="452" spans="2:70" ht="15">
      <c r="B452" s="84"/>
      <c r="D452" s="84"/>
      <c r="E452" s="84"/>
      <c r="F452" s="84"/>
      <c r="G452" s="84"/>
      <c r="R452" s="251"/>
      <c r="S452" s="251"/>
      <c r="BD452" s="399">
        <v>449</v>
      </c>
      <c r="BE452" s="399" t="s">
        <v>1853</v>
      </c>
      <c r="BF452" s="251" t="s">
        <v>1854</v>
      </c>
      <c r="BG452" s="399" t="s">
        <v>378</v>
      </c>
      <c r="BH452" s="252">
        <v>11</v>
      </c>
      <c r="BI452" s="251" t="s">
        <v>496</v>
      </c>
      <c r="BJ452" s="251" t="s">
        <v>1855</v>
      </c>
      <c r="BK452" s="251" t="s">
        <v>1856</v>
      </c>
      <c r="BL452" s="251" t="s">
        <v>382</v>
      </c>
      <c r="BQ452" s="27" t="s">
        <v>8291</v>
      </c>
      <c r="BR452" s="27" t="s">
        <v>8292</v>
      </c>
    </row>
    <row r="453" spans="2:70" ht="15">
      <c r="B453" s="84"/>
      <c r="D453" s="84"/>
      <c r="E453" s="84"/>
      <c r="F453" s="84"/>
      <c r="G453" s="84"/>
      <c r="R453" s="251"/>
      <c r="S453" s="251"/>
      <c r="BD453" s="399">
        <v>450</v>
      </c>
      <c r="BE453" s="399" t="s">
        <v>1857</v>
      </c>
      <c r="BF453" s="251" t="s">
        <v>1858</v>
      </c>
      <c r="BG453" s="399" t="s">
        <v>435</v>
      </c>
      <c r="BH453" s="252" t="s">
        <v>436</v>
      </c>
      <c r="BI453" s="251" t="s">
        <v>535</v>
      </c>
      <c r="BJ453" s="251" t="s">
        <v>407</v>
      </c>
      <c r="BK453" s="251" t="s">
        <v>1859</v>
      </c>
      <c r="BL453" s="251" t="s">
        <v>439</v>
      </c>
      <c r="BQ453" s="27" t="s">
        <v>8293</v>
      </c>
      <c r="BR453" s="27" t="s">
        <v>8294</v>
      </c>
    </row>
    <row r="454" spans="2:70" ht="15">
      <c r="B454" s="84"/>
      <c r="D454" s="84"/>
      <c r="E454" s="84"/>
      <c r="F454" s="84"/>
      <c r="G454" s="84"/>
      <c r="R454" s="251"/>
      <c r="S454" s="251"/>
      <c r="BD454" s="399">
        <v>451</v>
      </c>
      <c r="BE454" s="399" t="s">
        <v>1860</v>
      </c>
      <c r="BF454" s="251" t="s">
        <v>1861</v>
      </c>
      <c r="BG454" s="399" t="s">
        <v>455</v>
      </c>
      <c r="BH454" s="252">
        <v>35</v>
      </c>
      <c r="BI454" s="251" t="s">
        <v>365</v>
      </c>
      <c r="BJ454" s="251" t="s">
        <v>397</v>
      </c>
      <c r="BK454" s="251" t="s">
        <v>1862</v>
      </c>
      <c r="BL454" s="251" t="s">
        <v>458</v>
      </c>
      <c r="BQ454" s="27" t="s">
        <v>8295</v>
      </c>
      <c r="BR454" s="27" t="s">
        <v>8296</v>
      </c>
    </row>
    <row r="455" spans="2:70" ht="15">
      <c r="B455" s="84"/>
      <c r="D455" s="84"/>
      <c r="E455" s="84"/>
      <c r="F455" s="84"/>
      <c r="G455" s="84"/>
      <c r="R455" s="251"/>
      <c r="S455" s="251"/>
      <c r="BD455" s="399">
        <v>452</v>
      </c>
      <c r="BE455" s="399" t="s">
        <v>1863</v>
      </c>
      <c r="BF455" s="251" t="s">
        <v>1864</v>
      </c>
      <c r="BG455" s="399" t="s">
        <v>371</v>
      </c>
      <c r="BH455" s="252">
        <v>28</v>
      </c>
      <c r="BI455" s="251" t="s">
        <v>728</v>
      </c>
      <c r="BJ455" s="251" t="s">
        <v>539</v>
      </c>
      <c r="BK455" s="251" t="s">
        <v>1865</v>
      </c>
      <c r="BL455" s="251" t="s">
        <v>375</v>
      </c>
      <c r="BQ455" s="27" t="s">
        <v>8297</v>
      </c>
      <c r="BR455" s="27" t="s">
        <v>7376</v>
      </c>
    </row>
    <row r="456" spans="2:70" ht="15">
      <c r="B456" s="84"/>
      <c r="D456" s="84"/>
      <c r="E456" s="84"/>
      <c r="F456" s="84"/>
      <c r="G456" s="84"/>
      <c r="R456" s="251"/>
      <c r="S456" s="251"/>
      <c r="BD456" s="399">
        <v>453</v>
      </c>
      <c r="BE456" s="399" t="s">
        <v>1866</v>
      </c>
      <c r="BF456" s="251" t="s">
        <v>1867</v>
      </c>
      <c r="BG456" s="399" t="s">
        <v>371</v>
      </c>
      <c r="BH456" s="252">
        <v>28</v>
      </c>
      <c r="BI456" s="251" t="s">
        <v>477</v>
      </c>
      <c r="BJ456" s="251" t="s">
        <v>390</v>
      </c>
      <c r="BK456" s="251" t="s">
        <v>1868</v>
      </c>
      <c r="BL456" s="251" t="s">
        <v>375</v>
      </c>
      <c r="BQ456" s="27" t="s">
        <v>8298</v>
      </c>
      <c r="BR456" s="27" t="s">
        <v>8299</v>
      </c>
    </row>
    <row r="457" spans="2:70" ht="15">
      <c r="B457" s="84"/>
      <c r="D457" s="84"/>
      <c r="E457" s="84"/>
      <c r="F457" s="84"/>
      <c r="G457" s="84"/>
      <c r="R457" s="251"/>
      <c r="S457" s="251"/>
      <c r="BD457" s="399">
        <v>454</v>
      </c>
      <c r="BE457" s="399" t="s">
        <v>1869</v>
      </c>
      <c r="BF457" s="251" t="s">
        <v>1870</v>
      </c>
      <c r="BG457" s="399" t="s">
        <v>371</v>
      </c>
      <c r="BH457" s="252">
        <v>28</v>
      </c>
      <c r="BI457" s="251" t="s">
        <v>491</v>
      </c>
      <c r="BJ457" s="251" t="s">
        <v>407</v>
      </c>
      <c r="BK457" s="251" t="s">
        <v>1871</v>
      </c>
      <c r="BL457" s="251" t="s">
        <v>375</v>
      </c>
      <c r="BQ457" s="27" t="s">
        <v>8300</v>
      </c>
      <c r="BR457" s="27" t="s">
        <v>8301</v>
      </c>
    </row>
    <row r="458" spans="2:70" ht="15">
      <c r="B458" s="84"/>
      <c r="D458" s="84"/>
      <c r="E458" s="84"/>
      <c r="F458" s="84"/>
      <c r="G458" s="84"/>
      <c r="R458" s="251"/>
      <c r="S458" s="251"/>
      <c r="BD458" s="399">
        <v>455</v>
      </c>
      <c r="BE458" s="399" t="s">
        <v>1872</v>
      </c>
      <c r="BF458" s="251" t="s">
        <v>1873</v>
      </c>
      <c r="BG458" s="399" t="s">
        <v>733</v>
      </c>
      <c r="BH458" s="252" t="s">
        <v>734</v>
      </c>
      <c r="BI458" s="251" t="s">
        <v>331</v>
      </c>
      <c r="BJ458" s="251" t="s">
        <v>366</v>
      </c>
      <c r="BK458" s="251" t="s">
        <v>1874</v>
      </c>
      <c r="BL458" s="251" t="s">
        <v>736</v>
      </c>
      <c r="BQ458" s="27" t="s">
        <v>8302</v>
      </c>
      <c r="BR458" s="27" t="s">
        <v>7389</v>
      </c>
    </row>
    <row r="459" spans="2:70" ht="15">
      <c r="B459" s="84"/>
      <c r="D459" s="84"/>
      <c r="E459" s="84"/>
      <c r="F459" s="84"/>
      <c r="G459" s="84"/>
      <c r="R459" s="251"/>
      <c r="S459" s="251"/>
      <c r="BD459" s="399">
        <v>456</v>
      </c>
      <c r="BE459" s="399" t="s">
        <v>1875</v>
      </c>
      <c r="BF459" s="251" t="s">
        <v>1876</v>
      </c>
      <c r="BG459" s="399" t="s">
        <v>435</v>
      </c>
      <c r="BH459" s="252" t="s">
        <v>651</v>
      </c>
      <c r="BI459" s="251" t="s">
        <v>365</v>
      </c>
      <c r="BJ459" s="251" t="s">
        <v>366</v>
      </c>
      <c r="BK459" s="251" t="s">
        <v>1877</v>
      </c>
      <c r="BL459" s="251" t="s">
        <v>439</v>
      </c>
      <c r="BQ459" s="27" t="s">
        <v>8303</v>
      </c>
      <c r="BR459" s="27" t="s">
        <v>7393</v>
      </c>
    </row>
    <row r="460" spans="2:70" ht="15">
      <c r="B460" s="84"/>
      <c r="D460" s="84"/>
      <c r="E460" s="84"/>
      <c r="F460" s="84"/>
      <c r="G460" s="84"/>
      <c r="R460" s="251"/>
      <c r="S460" s="251"/>
      <c r="BD460" s="399">
        <v>457</v>
      </c>
      <c r="BE460" s="399" t="s">
        <v>1878</v>
      </c>
      <c r="BF460" s="251" t="s">
        <v>1879</v>
      </c>
      <c r="BG460" s="399" t="s">
        <v>435</v>
      </c>
      <c r="BH460" s="252" t="s">
        <v>436</v>
      </c>
      <c r="BI460" s="251" t="s">
        <v>396</v>
      </c>
      <c r="BJ460" s="251" t="s">
        <v>366</v>
      </c>
      <c r="BK460" s="251" t="s">
        <v>1880</v>
      </c>
      <c r="BL460" s="251" t="s">
        <v>439</v>
      </c>
      <c r="BQ460" s="27" t="s">
        <v>8304</v>
      </c>
      <c r="BR460" s="27" t="s">
        <v>7397</v>
      </c>
    </row>
    <row r="461" spans="2:70" ht="15">
      <c r="B461" s="84"/>
      <c r="D461" s="84"/>
      <c r="E461" s="84"/>
      <c r="F461" s="84"/>
      <c r="G461" s="84"/>
      <c r="R461" s="251"/>
      <c r="S461" s="251"/>
      <c r="BD461" s="399">
        <v>458</v>
      </c>
      <c r="BE461" s="399" t="s">
        <v>1881</v>
      </c>
      <c r="BF461" s="251" t="s">
        <v>1882</v>
      </c>
      <c r="BG461" s="399" t="s">
        <v>378</v>
      </c>
      <c r="BH461" s="252">
        <v>11</v>
      </c>
      <c r="BI461" s="251" t="s">
        <v>615</v>
      </c>
      <c r="BJ461" s="251" t="s">
        <v>407</v>
      </c>
      <c r="BK461" s="251" t="s">
        <v>1883</v>
      </c>
      <c r="BL461" s="251" t="s">
        <v>382</v>
      </c>
      <c r="BQ461" s="27" t="s">
        <v>8305</v>
      </c>
      <c r="BR461" s="27" t="s">
        <v>8306</v>
      </c>
    </row>
    <row r="462" spans="2:70" ht="15">
      <c r="B462" s="84"/>
      <c r="D462" s="84"/>
      <c r="E462" s="84"/>
      <c r="F462" s="84"/>
      <c r="G462" s="84"/>
      <c r="R462" s="251"/>
      <c r="S462" s="251"/>
      <c r="BD462" s="399">
        <v>459</v>
      </c>
      <c r="BE462" s="399" t="s">
        <v>1884</v>
      </c>
      <c r="BF462" s="251" t="s">
        <v>1885</v>
      </c>
      <c r="BG462" s="399" t="s">
        <v>475</v>
      </c>
      <c r="BH462" s="252" t="s">
        <v>476</v>
      </c>
      <c r="BI462" s="251" t="s">
        <v>465</v>
      </c>
      <c r="BJ462" s="251" t="s">
        <v>413</v>
      </c>
      <c r="BK462" s="251" t="s">
        <v>1886</v>
      </c>
      <c r="BL462" s="251" t="s">
        <v>479</v>
      </c>
      <c r="BQ462" s="27" t="s">
        <v>8307</v>
      </c>
      <c r="BR462" s="27" t="s">
        <v>7473</v>
      </c>
    </row>
    <row r="463" spans="2:70" ht="15">
      <c r="B463" s="84"/>
      <c r="D463" s="84"/>
      <c r="E463" s="84"/>
      <c r="F463" s="84"/>
      <c r="G463" s="84"/>
      <c r="R463" s="251"/>
      <c r="S463" s="251"/>
      <c r="BD463" s="399">
        <v>460</v>
      </c>
      <c r="BE463" s="399" t="s">
        <v>1887</v>
      </c>
      <c r="BF463" s="251" t="s">
        <v>1888</v>
      </c>
      <c r="BG463" s="399" t="s">
        <v>371</v>
      </c>
      <c r="BH463" s="252">
        <v>28</v>
      </c>
      <c r="BI463" s="251" t="s">
        <v>450</v>
      </c>
      <c r="BJ463" s="251" t="s">
        <v>380</v>
      </c>
      <c r="BK463" s="251" t="s">
        <v>1889</v>
      </c>
      <c r="BL463" s="251" t="s">
        <v>375</v>
      </c>
      <c r="BQ463" s="27" t="s">
        <v>8308</v>
      </c>
      <c r="BR463" s="27" t="s">
        <v>8309</v>
      </c>
    </row>
    <row r="464" spans="2:70" ht="15">
      <c r="B464" s="84"/>
      <c r="D464" s="84"/>
      <c r="E464" s="84"/>
      <c r="F464" s="84"/>
      <c r="G464" s="84"/>
      <c r="R464" s="251"/>
      <c r="S464" s="251"/>
      <c r="BD464" s="399">
        <v>461</v>
      </c>
      <c r="BE464" s="399" t="s">
        <v>1890</v>
      </c>
      <c r="BF464" s="251" t="s">
        <v>1891</v>
      </c>
      <c r="BG464" s="399" t="s">
        <v>449</v>
      </c>
      <c r="BH464" s="252">
        <v>43</v>
      </c>
      <c r="BI464" s="251" t="s">
        <v>563</v>
      </c>
      <c r="BJ464" s="251" t="s">
        <v>385</v>
      </c>
      <c r="BK464" s="251" t="s">
        <v>1892</v>
      </c>
      <c r="BL464" s="251" t="s">
        <v>452</v>
      </c>
      <c r="BQ464" s="27" t="s">
        <v>8310</v>
      </c>
      <c r="BR464" s="27" t="s">
        <v>7419</v>
      </c>
    </row>
    <row r="465" spans="2:70" ht="15">
      <c r="B465" s="84"/>
      <c r="D465" s="84"/>
      <c r="E465" s="84"/>
      <c r="F465" s="84"/>
      <c r="G465" s="84"/>
      <c r="R465" s="251"/>
      <c r="S465" s="251"/>
      <c r="BD465" s="399">
        <v>462</v>
      </c>
      <c r="BE465" s="399" t="s">
        <v>1893</v>
      </c>
      <c r="BF465" s="251" t="s">
        <v>1894</v>
      </c>
      <c r="BG465" s="399" t="s">
        <v>423</v>
      </c>
      <c r="BH465" s="252" t="s">
        <v>424</v>
      </c>
      <c r="BI465" s="251" t="s">
        <v>496</v>
      </c>
      <c r="BJ465" s="251" t="s">
        <v>390</v>
      </c>
      <c r="BK465" s="251" t="s">
        <v>1895</v>
      </c>
      <c r="BL465" s="251" t="s">
        <v>426</v>
      </c>
      <c r="BQ465" s="27" t="s">
        <v>8311</v>
      </c>
      <c r="BR465" s="27" t="s">
        <v>8312</v>
      </c>
    </row>
    <row r="466" spans="2:70" ht="15">
      <c r="B466" s="84"/>
      <c r="D466" s="84"/>
      <c r="E466" s="84"/>
      <c r="F466" s="84"/>
      <c r="G466" s="84"/>
      <c r="R466" s="251"/>
      <c r="S466" s="251"/>
      <c r="BD466" s="399">
        <v>463</v>
      </c>
      <c r="BE466" s="399" t="s">
        <v>1896</v>
      </c>
      <c r="BF466" s="251" t="s">
        <v>1897</v>
      </c>
      <c r="BG466" s="399" t="s">
        <v>449</v>
      </c>
      <c r="BH466" s="252">
        <v>43</v>
      </c>
      <c r="BI466" s="251" t="s">
        <v>357</v>
      </c>
      <c r="BJ466" s="251" t="s">
        <v>530</v>
      </c>
      <c r="BK466" s="251" t="s">
        <v>1898</v>
      </c>
      <c r="BL466" s="251" t="s">
        <v>452</v>
      </c>
      <c r="BQ466" s="27" t="s">
        <v>8313</v>
      </c>
      <c r="BR466" s="27" t="s">
        <v>7422</v>
      </c>
    </row>
    <row r="467" spans="2:70" ht="15">
      <c r="B467" s="84"/>
      <c r="D467" s="84"/>
      <c r="E467" s="84"/>
      <c r="F467" s="84"/>
      <c r="G467" s="84"/>
      <c r="R467" s="251"/>
      <c r="S467" s="251"/>
      <c r="BD467" s="399">
        <v>464</v>
      </c>
      <c r="BE467" s="399" t="s">
        <v>1899</v>
      </c>
      <c r="BF467" s="251" t="s">
        <v>1900</v>
      </c>
      <c r="BG467" s="399" t="s">
        <v>475</v>
      </c>
      <c r="BH467" s="252" t="s">
        <v>476</v>
      </c>
      <c r="BI467" s="251" t="s">
        <v>728</v>
      </c>
      <c r="BJ467" s="251" t="s">
        <v>351</v>
      </c>
      <c r="BK467" s="251" t="s">
        <v>1901</v>
      </c>
      <c r="BL467" s="251" t="s">
        <v>479</v>
      </c>
      <c r="BQ467" s="27" t="s">
        <v>8314</v>
      </c>
      <c r="BR467" s="27" t="s">
        <v>7421</v>
      </c>
    </row>
    <row r="468" spans="2:70" ht="15">
      <c r="B468" s="84"/>
      <c r="D468" s="84"/>
      <c r="E468" s="84"/>
      <c r="F468" s="84"/>
      <c r="G468" s="84"/>
      <c r="R468" s="251"/>
      <c r="S468" s="251"/>
      <c r="BD468" s="399">
        <v>465</v>
      </c>
      <c r="BE468" s="399" t="s">
        <v>1902</v>
      </c>
      <c r="BF468" s="251" t="s">
        <v>1903</v>
      </c>
      <c r="BG468" s="399" t="s">
        <v>405</v>
      </c>
      <c r="BH468" s="252" t="s">
        <v>412</v>
      </c>
      <c r="BI468" s="251" t="s">
        <v>365</v>
      </c>
      <c r="BJ468" s="251" t="s">
        <v>407</v>
      </c>
      <c r="BK468" s="251" t="s">
        <v>1904</v>
      </c>
      <c r="BL468" s="251" t="s">
        <v>409</v>
      </c>
      <c r="BQ468" s="27" t="s">
        <v>8315</v>
      </c>
      <c r="BR468" s="27" t="s">
        <v>7420</v>
      </c>
    </row>
    <row r="469" spans="2:70" ht="15">
      <c r="B469" s="84"/>
      <c r="D469" s="84"/>
      <c r="E469" s="84"/>
      <c r="F469" s="84"/>
      <c r="G469" s="84"/>
      <c r="R469" s="251"/>
      <c r="S469" s="251"/>
      <c r="BD469" s="399">
        <v>466</v>
      </c>
      <c r="BE469" s="399" t="s">
        <v>1905</v>
      </c>
      <c r="BF469" s="251" t="s">
        <v>1906</v>
      </c>
      <c r="BG469" s="399" t="s">
        <v>1688</v>
      </c>
      <c r="BH469" s="252">
        <v>50</v>
      </c>
      <c r="BI469" s="251" t="s">
        <v>615</v>
      </c>
      <c r="BJ469" s="251" t="s">
        <v>385</v>
      </c>
      <c r="BK469" s="251" t="s">
        <v>1907</v>
      </c>
      <c r="BL469" s="251" t="s">
        <v>1690</v>
      </c>
      <c r="BQ469" s="27" t="s">
        <v>8316</v>
      </c>
      <c r="BR469" s="27" t="s">
        <v>7437</v>
      </c>
    </row>
    <row r="470" spans="2:70" ht="15">
      <c r="B470" s="84"/>
      <c r="D470" s="84"/>
      <c r="E470" s="84"/>
      <c r="F470" s="84"/>
      <c r="G470" s="84"/>
      <c r="R470" s="251"/>
      <c r="S470" s="251"/>
      <c r="BD470" s="399">
        <v>467</v>
      </c>
      <c r="BE470" s="399" t="s">
        <v>1908</v>
      </c>
      <c r="BF470" s="251" t="s">
        <v>1909</v>
      </c>
      <c r="BG470" s="399" t="s">
        <v>363</v>
      </c>
      <c r="BH470" s="252" t="s">
        <v>364</v>
      </c>
      <c r="BI470" s="251" t="s">
        <v>390</v>
      </c>
      <c r="BJ470" s="251" t="s">
        <v>385</v>
      </c>
      <c r="BK470" s="251" t="s">
        <v>1910</v>
      </c>
      <c r="BL470" s="251" t="s">
        <v>368</v>
      </c>
      <c r="BQ470" s="27" t="s">
        <v>8317</v>
      </c>
      <c r="BR470" s="27" t="s">
        <v>8318</v>
      </c>
    </row>
    <row r="471" spans="2:70" ht="15">
      <c r="B471" s="84"/>
      <c r="D471" s="84"/>
      <c r="E471" s="84"/>
      <c r="F471" s="84"/>
      <c r="G471" s="84"/>
      <c r="R471" s="251"/>
      <c r="S471" s="251"/>
      <c r="BD471" s="399">
        <v>468</v>
      </c>
      <c r="BE471" s="399" t="s">
        <v>1911</v>
      </c>
      <c r="BF471" s="251" t="s">
        <v>1912</v>
      </c>
      <c r="BG471" s="399" t="s">
        <v>602</v>
      </c>
      <c r="BH471" s="252">
        <v>47</v>
      </c>
      <c r="BI471" s="251" t="s">
        <v>357</v>
      </c>
      <c r="BJ471" s="251" t="s">
        <v>351</v>
      </c>
      <c r="BK471" s="251" t="s">
        <v>1913</v>
      </c>
      <c r="BL471" s="251" t="s">
        <v>604</v>
      </c>
      <c r="BQ471" s="27" t="s">
        <v>8319</v>
      </c>
      <c r="BR471" s="27" t="s">
        <v>8320</v>
      </c>
    </row>
    <row r="472" spans="2:70" ht="15">
      <c r="B472" s="84"/>
      <c r="D472" s="84"/>
      <c r="E472" s="84"/>
      <c r="F472" s="84"/>
      <c r="G472" s="84"/>
      <c r="R472" s="251"/>
      <c r="S472" s="251"/>
      <c r="BD472" s="399">
        <v>469</v>
      </c>
      <c r="BE472" s="399" t="s">
        <v>1914</v>
      </c>
      <c r="BF472" s="251" t="s">
        <v>1915</v>
      </c>
      <c r="BG472" s="399" t="s">
        <v>549</v>
      </c>
      <c r="BH472" s="252">
        <v>41</v>
      </c>
      <c r="BI472" s="251" t="s">
        <v>379</v>
      </c>
      <c r="BJ472" s="251" t="s">
        <v>351</v>
      </c>
      <c r="BK472" s="251" t="s">
        <v>1916</v>
      </c>
      <c r="BL472" s="251" t="s">
        <v>551</v>
      </c>
      <c r="BQ472" s="27" t="s">
        <v>8321</v>
      </c>
      <c r="BR472" s="27" t="s">
        <v>8322</v>
      </c>
    </row>
    <row r="473" spans="2:70" ht="15">
      <c r="B473" s="84"/>
      <c r="D473" s="84"/>
      <c r="E473" s="84"/>
      <c r="F473" s="84"/>
      <c r="G473" s="84"/>
      <c r="R473" s="251"/>
      <c r="S473" s="251"/>
      <c r="BD473" s="399">
        <v>470</v>
      </c>
      <c r="BE473" s="399" t="s">
        <v>1917</v>
      </c>
      <c r="BF473" s="251" t="s">
        <v>1918</v>
      </c>
      <c r="BG473" s="399" t="s">
        <v>363</v>
      </c>
      <c r="BH473" s="252">
        <v>8</v>
      </c>
      <c r="BI473" s="251" t="s">
        <v>445</v>
      </c>
      <c r="BJ473" s="251" t="s">
        <v>380</v>
      </c>
      <c r="BK473" s="251" t="s">
        <v>1919</v>
      </c>
      <c r="BL473" s="251" t="s">
        <v>368</v>
      </c>
      <c r="BQ473" s="27" t="s">
        <v>8323</v>
      </c>
      <c r="BR473" s="27" t="s">
        <v>7446</v>
      </c>
    </row>
    <row r="474" spans="2:70" ht="15">
      <c r="B474" s="84"/>
      <c r="D474" s="84"/>
      <c r="E474" s="84"/>
      <c r="F474" s="84"/>
      <c r="G474" s="84"/>
      <c r="R474" s="251"/>
      <c r="S474" s="251"/>
      <c r="BD474" s="399">
        <v>471</v>
      </c>
      <c r="BE474" s="399" t="s">
        <v>1920</v>
      </c>
      <c r="BF474" s="251" t="s">
        <v>1921</v>
      </c>
      <c r="BG474" s="399" t="s">
        <v>363</v>
      </c>
      <c r="BH474" s="252" t="s">
        <v>364</v>
      </c>
      <c r="BI474" s="251" t="s">
        <v>445</v>
      </c>
      <c r="BJ474" s="251" t="s">
        <v>407</v>
      </c>
      <c r="BK474" s="251" t="s">
        <v>1922</v>
      </c>
      <c r="BL474" s="251" t="s">
        <v>368</v>
      </c>
      <c r="BQ474" s="27" t="s">
        <v>8324</v>
      </c>
      <c r="BR474" s="27" t="s">
        <v>8325</v>
      </c>
    </row>
    <row r="475" spans="2:70" ht="15">
      <c r="B475" s="84"/>
      <c r="D475" s="84"/>
      <c r="E475" s="84"/>
      <c r="F475" s="84"/>
      <c r="G475" s="84"/>
      <c r="R475" s="251"/>
      <c r="S475" s="251"/>
      <c r="BD475" s="399">
        <v>472</v>
      </c>
      <c r="BE475" s="399" t="s">
        <v>1923</v>
      </c>
      <c r="BF475" s="251" t="s">
        <v>1924</v>
      </c>
      <c r="BG475" s="399" t="s">
        <v>405</v>
      </c>
      <c r="BH475" s="252" t="s">
        <v>412</v>
      </c>
      <c r="BI475" s="251" t="s">
        <v>563</v>
      </c>
      <c r="BJ475" s="251" t="s">
        <v>351</v>
      </c>
      <c r="BK475" s="251" t="s">
        <v>1925</v>
      </c>
      <c r="BL475" s="251" t="s">
        <v>409</v>
      </c>
      <c r="BQ475" s="27" t="s">
        <v>8326</v>
      </c>
      <c r="BR475" s="27" t="s">
        <v>8327</v>
      </c>
    </row>
    <row r="476" spans="2:70" ht="15">
      <c r="B476" s="84"/>
      <c r="D476" s="84"/>
      <c r="E476" s="84"/>
      <c r="F476" s="84"/>
      <c r="G476" s="84"/>
      <c r="R476" s="251"/>
      <c r="S476" s="251"/>
      <c r="BD476" s="399">
        <v>473</v>
      </c>
      <c r="BE476" s="399" t="s">
        <v>1926</v>
      </c>
      <c r="BF476" s="251" t="s">
        <v>1927</v>
      </c>
      <c r="BG476" s="399" t="s">
        <v>378</v>
      </c>
      <c r="BH476" s="252">
        <v>11</v>
      </c>
      <c r="BI476" s="251" t="s">
        <v>334</v>
      </c>
      <c r="BJ476" s="251" t="s">
        <v>397</v>
      </c>
      <c r="BK476" s="251" t="s">
        <v>1928</v>
      </c>
      <c r="BL476" s="251" t="s">
        <v>382</v>
      </c>
      <c r="BQ476" s="27" t="s">
        <v>8328</v>
      </c>
      <c r="BR476" s="27" t="s">
        <v>8329</v>
      </c>
    </row>
    <row r="477" spans="2:70" ht="15">
      <c r="B477" s="84"/>
      <c r="D477" s="84"/>
      <c r="E477" s="84"/>
      <c r="F477" s="84"/>
      <c r="G477" s="84"/>
      <c r="R477" s="251"/>
      <c r="S477" s="251"/>
      <c r="BD477" s="399">
        <v>474</v>
      </c>
      <c r="BE477" s="399" t="s">
        <v>1929</v>
      </c>
      <c r="BF477" s="251" t="s">
        <v>1930</v>
      </c>
      <c r="BG477" s="399" t="s">
        <v>489</v>
      </c>
      <c r="BH477" s="252" t="s">
        <v>958</v>
      </c>
      <c r="BI477" s="251" t="s">
        <v>334</v>
      </c>
      <c r="BJ477" s="251" t="s">
        <v>380</v>
      </c>
      <c r="BK477" s="251" t="s">
        <v>1931</v>
      </c>
      <c r="BL477" s="251" t="s">
        <v>493</v>
      </c>
      <c r="BQ477" s="27" t="s">
        <v>8330</v>
      </c>
      <c r="BR477" s="27" t="s">
        <v>8331</v>
      </c>
    </row>
    <row r="478" spans="2:70" ht="15">
      <c r="B478" s="84"/>
      <c r="D478" s="84"/>
      <c r="E478" s="84"/>
      <c r="F478" s="84"/>
      <c r="G478" s="84"/>
      <c r="R478" s="251"/>
      <c r="S478" s="251"/>
      <c r="BD478" s="399">
        <v>475</v>
      </c>
      <c r="BE478" s="399" t="s">
        <v>1932</v>
      </c>
      <c r="BF478" s="251" t="s">
        <v>1933</v>
      </c>
      <c r="BG478" s="399" t="s">
        <v>395</v>
      </c>
      <c r="BH478" s="252">
        <v>16</v>
      </c>
      <c r="BI478" s="251" t="s">
        <v>331</v>
      </c>
      <c r="BJ478" s="251" t="s">
        <v>366</v>
      </c>
      <c r="BK478" s="251" t="s">
        <v>1934</v>
      </c>
      <c r="BL478" s="251" t="s">
        <v>399</v>
      </c>
      <c r="BQ478" s="27" t="s">
        <v>8332</v>
      </c>
      <c r="BR478" s="27" t="s">
        <v>8333</v>
      </c>
    </row>
    <row r="479" spans="2:70" ht="15">
      <c r="B479" s="84"/>
      <c r="D479" s="84"/>
      <c r="E479" s="84"/>
      <c r="F479" s="84"/>
      <c r="G479" s="84"/>
      <c r="R479" s="251"/>
      <c r="S479" s="251"/>
      <c r="BD479" s="399">
        <v>476</v>
      </c>
      <c r="BE479" s="399" t="s">
        <v>1935</v>
      </c>
      <c r="BF479" s="251" t="s">
        <v>1936</v>
      </c>
      <c r="BG479" s="399" t="s">
        <v>489</v>
      </c>
      <c r="BH479" s="252" t="s">
        <v>490</v>
      </c>
      <c r="BI479" s="251" t="s">
        <v>563</v>
      </c>
      <c r="BJ479" s="251" t="s">
        <v>407</v>
      </c>
      <c r="BK479" s="251" t="s">
        <v>1937</v>
      </c>
      <c r="BL479" s="251" t="s">
        <v>493</v>
      </c>
      <c r="BQ479" s="27" t="s">
        <v>8334</v>
      </c>
      <c r="BR479" s="27" t="s">
        <v>7264</v>
      </c>
    </row>
    <row r="480" spans="2:70" ht="15">
      <c r="B480" s="84"/>
      <c r="D480" s="84"/>
      <c r="E480" s="84"/>
      <c r="F480" s="84"/>
      <c r="G480" s="84"/>
      <c r="R480" s="251"/>
      <c r="S480" s="251"/>
      <c r="BD480" s="399">
        <v>477</v>
      </c>
      <c r="BE480" s="399" t="s">
        <v>1938</v>
      </c>
      <c r="BF480" s="251" t="s">
        <v>1939</v>
      </c>
      <c r="BG480" s="399" t="s">
        <v>590</v>
      </c>
      <c r="BH480" s="252">
        <v>44</v>
      </c>
      <c r="BI480" s="251" t="s">
        <v>334</v>
      </c>
      <c r="BJ480" s="251" t="s">
        <v>366</v>
      </c>
      <c r="BK480" s="251" t="s">
        <v>1940</v>
      </c>
      <c r="BL480" s="251" t="s">
        <v>592</v>
      </c>
      <c r="BQ480" s="27" t="s">
        <v>8335</v>
      </c>
      <c r="BR480" s="27" t="s">
        <v>8336</v>
      </c>
    </row>
    <row r="481" spans="2:70" ht="15">
      <c r="B481" s="84"/>
      <c r="D481" s="84"/>
      <c r="E481" s="84"/>
      <c r="F481" s="84"/>
      <c r="G481" s="84"/>
      <c r="R481" s="251"/>
      <c r="S481" s="251"/>
      <c r="BD481" s="399">
        <v>478</v>
      </c>
      <c r="BE481" s="399" t="s">
        <v>1941</v>
      </c>
      <c r="BF481" s="251" t="s">
        <v>1942</v>
      </c>
      <c r="BG481" s="399" t="s">
        <v>0</v>
      </c>
      <c r="BH481" s="252">
        <v>48</v>
      </c>
      <c r="BI481" s="251" t="s">
        <v>445</v>
      </c>
      <c r="BJ481" s="251" t="s">
        <v>380</v>
      </c>
      <c r="BK481" s="251" t="s">
        <v>1943</v>
      </c>
      <c r="BL481" s="251" t="s">
        <v>818</v>
      </c>
      <c r="BQ481" s="27" t="s">
        <v>8337</v>
      </c>
      <c r="BR481" s="27" t="s">
        <v>8338</v>
      </c>
    </row>
    <row r="482" spans="2:70" ht="15">
      <c r="B482" s="84"/>
      <c r="D482" s="84"/>
      <c r="E482" s="84"/>
      <c r="F482" s="84"/>
      <c r="G482" s="84"/>
      <c r="R482" s="251"/>
      <c r="S482" s="251"/>
      <c r="BD482" s="399">
        <v>479</v>
      </c>
      <c r="BE482" s="399" t="s">
        <v>1944</v>
      </c>
      <c r="BF482" s="251" t="s">
        <v>1945</v>
      </c>
      <c r="BG482" s="399" t="s">
        <v>435</v>
      </c>
      <c r="BH482" s="252" t="s">
        <v>651</v>
      </c>
      <c r="BI482" s="251" t="s">
        <v>583</v>
      </c>
      <c r="BJ482" s="251" t="s">
        <v>413</v>
      </c>
      <c r="BK482" s="251" t="s">
        <v>1946</v>
      </c>
      <c r="BL482" s="251" t="s">
        <v>439</v>
      </c>
      <c r="BQ482" s="27" t="s">
        <v>8339</v>
      </c>
      <c r="BR482" s="27" t="s">
        <v>8340</v>
      </c>
    </row>
    <row r="483" spans="2:70" ht="15">
      <c r="B483" s="84"/>
      <c r="D483" s="84"/>
      <c r="E483" s="84"/>
      <c r="F483" s="84"/>
      <c r="G483" s="84"/>
      <c r="R483" s="251"/>
      <c r="S483" s="251"/>
      <c r="BD483" s="399">
        <v>480</v>
      </c>
      <c r="BE483" s="399" t="s">
        <v>1947</v>
      </c>
      <c r="BF483" s="251" t="s">
        <v>142</v>
      </c>
      <c r="BG483" s="399" t="s">
        <v>489</v>
      </c>
      <c r="BH483" s="252" t="s">
        <v>958</v>
      </c>
      <c r="BI483" s="251" t="s">
        <v>334</v>
      </c>
      <c r="BJ483" s="251" t="s">
        <v>539</v>
      </c>
      <c r="BK483" s="251" t="s">
        <v>1948</v>
      </c>
      <c r="BL483" s="251" t="s">
        <v>493</v>
      </c>
      <c r="BQ483" s="27" t="s">
        <v>8341</v>
      </c>
      <c r="BR483" s="27" t="s">
        <v>8342</v>
      </c>
    </row>
    <row r="484" spans="2:70" ht="15">
      <c r="B484" s="84"/>
      <c r="D484" s="84"/>
      <c r="E484" s="84"/>
      <c r="F484" s="84"/>
      <c r="G484" s="84"/>
      <c r="R484" s="251"/>
      <c r="S484" s="251"/>
      <c r="BD484" s="399">
        <v>481</v>
      </c>
      <c r="BE484" s="399" t="s">
        <v>1949</v>
      </c>
      <c r="BF484" s="251" t="s">
        <v>1950</v>
      </c>
      <c r="BG484" s="399">
        <v>52</v>
      </c>
      <c r="BH484" s="252">
        <v>52</v>
      </c>
      <c r="BI484" s="251" t="s">
        <v>332</v>
      </c>
      <c r="BJ484" s="251" t="s">
        <v>407</v>
      </c>
      <c r="BK484" s="251" t="s">
        <v>1951</v>
      </c>
      <c r="BL484" s="251" t="s">
        <v>1121</v>
      </c>
      <c r="BQ484" s="27" t="s">
        <v>8343</v>
      </c>
      <c r="BR484" s="27" t="s">
        <v>8344</v>
      </c>
    </row>
    <row r="485" spans="2:70" ht="15">
      <c r="B485" s="84"/>
      <c r="D485" s="84"/>
      <c r="E485" s="84"/>
      <c r="F485" s="84"/>
      <c r="G485" s="84"/>
      <c r="R485" s="251"/>
      <c r="S485" s="251"/>
      <c r="BD485" s="399">
        <v>482</v>
      </c>
      <c r="BE485" s="399" t="s">
        <v>1952</v>
      </c>
      <c r="BF485" s="251" t="s">
        <v>1953</v>
      </c>
      <c r="BG485" s="399" t="s">
        <v>356</v>
      </c>
      <c r="BH485" s="252" t="s">
        <v>1075</v>
      </c>
      <c r="BI485" s="251" t="s">
        <v>332</v>
      </c>
      <c r="BJ485" s="251" t="s">
        <v>380</v>
      </c>
      <c r="BK485" s="251" t="s">
        <v>1954</v>
      </c>
      <c r="BL485" s="251" t="s">
        <v>360</v>
      </c>
      <c r="BQ485" s="27" t="s">
        <v>8345</v>
      </c>
      <c r="BR485" s="27" t="s">
        <v>8346</v>
      </c>
    </row>
    <row r="486" spans="2:70" ht="15">
      <c r="B486" s="84"/>
      <c r="D486" s="84"/>
      <c r="E486" s="84"/>
      <c r="F486" s="84"/>
      <c r="G486" s="84"/>
      <c r="R486" s="251"/>
      <c r="S486" s="251"/>
      <c r="BD486" s="399">
        <v>483</v>
      </c>
      <c r="BE486" s="399" t="s">
        <v>1955</v>
      </c>
      <c r="BF486" s="251" t="s">
        <v>1956</v>
      </c>
      <c r="BG486" s="399" t="s">
        <v>739</v>
      </c>
      <c r="BH486" s="252">
        <v>45</v>
      </c>
      <c r="BI486" s="251" t="s">
        <v>332</v>
      </c>
      <c r="BJ486" s="251" t="s">
        <v>366</v>
      </c>
      <c r="BK486" s="251" t="s">
        <v>1957</v>
      </c>
      <c r="BL486" s="251" t="s">
        <v>742</v>
      </c>
      <c r="BQ486" s="27" t="s">
        <v>8347</v>
      </c>
      <c r="BR486" s="27" t="s">
        <v>8348</v>
      </c>
    </row>
    <row r="487" spans="2:70" ht="15">
      <c r="B487" s="84"/>
      <c r="D487" s="84"/>
      <c r="E487" s="84"/>
      <c r="F487" s="84"/>
      <c r="G487" s="84"/>
      <c r="R487" s="251"/>
      <c r="S487" s="251"/>
      <c r="BD487" s="399">
        <v>484</v>
      </c>
      <c r="BE487" s="399" t="s">
        <v>1958</v>
      </c>
      <c r="BF487" s="251" t="s">
        <v>1959</v>
      </c>
      <c r="BG487" s="399" t="s">
        <v>395</v>
      </c>
      <c r="BH487" s="252">
        <v>16</v>
      </c>
      <c r="BI487" s="251" t="s">
        <v>728</v>
      </c>
      <c r="BJ487" s="251" t="s">
        <v>351</v>
      </c>
      <c r="BK487" s="251" t="s">
        <v>1960</v>
      </c>
      <c r="BL487" s="251" t="s">
        <v>399</v>
      </c>
      <c r="BQ487" s="27" t="s">
        <v>8349</v>
      </c>
      <c r="BR487" s="27" t="s">
        <v>7398</v>
      </c>
    </row>
    <row r="488" spans="2:70" ht="15">
      <c r="B488" s="84"/>
      <c r="D488" s="84"/>
      <c r="E488" s="84"/>
      <c r="F488" s="84"/>
      <c r="G488" s="84"/>
      <c r="R488" s="251"/>
      <c r="S488" s="251"/>
      <c r="BD488" s="399">
        <v>485</v>
      </c>
      <c r="BE488" s="399" t="s">
        <v>1961</v>
      </c>
      <c r="BF488" s="251" t="s">
        <v>1962</v>
      </c>
      <c r="BG488" s="399" t="s">
        <v>405</v>
      </c>
      <c r="BH488" s="252" t="s">
        <v>1241</v>
      </c>
      <c r="BI488" s="251" t="s">
        <v>450</v>
      </c>
      <c r="BJ488" s="251" t="s">
        <v>397</v>
      </c>
      <c r="BK488" s="251" t="s">
        <v>1963</v>
      </c>
      <c r="BL488" s="251" t="s">
        <v>409</v>
      </c>
      <c r="BQ488" s="27" t="s">
        <v>8350</v>
      </c>
      <c r="BR488" s="27" t="s">
        <v>8351</v>
      </c>
    </row>
    <row r="489" spans="2:70" ht="15">
      <c r="B489" s="84"/>
      <c r="D489" s="84"/>
      <c r="E489" s="84"/>
      <c r="F489" s="84"/>
      <c r="G489" s="84"/>
      <c r="R489" s="251"/>
      <c r="S489" s="251"/>
      <c r="BD489" s="399">
        <v>486</v>
      </c>
      <c r="BE489" s="399" t="s">
        <v>1964</v>
      </c>
      <c r="BF489" s="251" t="s">
        <v>1965</v>
      </c>
      <c r="BG489" s="399" t="s">
        <v>566</v>
      </c>
      <c r="BH489" s="252" t="s">
        <v>567</v>
      </c>
      <c r="BI489" s="251" t="s">
        <v>397</v>
      </c>
      <c r="BJ489" s="251" t="s">
        <v>1966</v>
      </c>
      <c r="BK489" s="251" t="s">
        <v>1967</v>
      </c>
      <c r="BL489" s="251" t="s">
        <v>569</v>
      </c>
      <c r="BQ489" s="27" t="s">
        <v>8352</v>
      </c>
      <c r="BR489" s="27" t="s">
        <v>8353</v>
      </c>
    </row>
    <row r="490" spans="2:70" ht="15">
      <c r="B490" s="84"/>
      <c r="D490" s="84"/>
      <c r="E490" s="84"/>
      <c r="F490" s="84"/>
      <c r="G490" s="84"/>
      <c r="R490" s="251"/>
      <c r="S490" s="251"/>
      <c r="BD490" s="399">
        <v>487</v>
      </c>
      <c r="BE490" s="399" t="s">
        <v>1968</v>
      </c>
      <c r="BF490" s="251" t="s">
        <v>1969</v>
      </c>
      <c r="BG490" s="399" t="s">
        <v>395</v>
      </c>
      <c r="BH490" s="252">
        <v>16</v>
      </c>
      <c r="BI490" s="251" t="s">
        <v>365</v>
      </c>
      <c r="BJ490" s="251" t="s">
        <v>366</v>
      </c>
      <c r="BK490" s="251" t="s">
        <v>1970</v>
      </c>
      <c r="BL490" s="251" t="s">
        <v>399</v>
      </c>
      <c r="BQ490" s="27" t="s">
        <v>8354</v>
      </c>
      <c r="BR490" s="27" t="s">
        <v>8355</v>
      </c>
    </row>
    <row r="491" spans="2:70" ht="15">
      <c r="B491" s="84"/>
      <c r="D491" s="84"/>
      <c r="E491" s="84"/>
      <c r="F491" s="84"/>
      <c r="G491" s="84"/>
      <c r="R491" s="251"/>
      <c r="S491" s="251"/>
      <c r="BD491" s="399">
        <v>488</v>
      </c>
      <c r="BE491" s="399" t="s">
        <v>1971</v>
      </c>
      <c r="BF491" s="251" t="s">
        <v>1972</v>
      </c>
      <c r="BG491" s="399" t="s">
        <v>733</v>
      </c>
      <c r="BH491" s="252" t="s">
        <v>734</v>
      </c>
      <c r="BI491" s="251" t="s">
        <v>332</v>
      </c>
      <c r="BJ491" s="251" t="s">
        <v>390</v>
      </c>
      <c r="BK491" s="251" t="s">
        <v>1973</v>
      </c>
      <c r="BL491" s="251" t="s">
        <v>736</v>
      </c>
      <c r="BQ491" s="27" t="s">
        <v>8356</v>
      </c>
      <c r="BR491" s="27" t="s">
        <v>7431</v>
      </c>
    </row>
    <row r="492" spans="2:70" ht="15">
      <c r="B492" s="84"/>
      <c r="D492" s="84"/>
      <c r="E492" s="84"/>
      <c r="F492" s="84"/>
      <c r="G492" s="84"/>
      <c r="R492" s="251"/>
      <c r="S492" s="251"/>
      <c r="BD492" s="399">
        <v>489</v>
      </c>
      <c r="BE492" s="399" t="s">
        <v>1974</v>
      </c>
      <c r="BF492" s="251" t="s">
        <v>1975</v>
      </c>
      <c r="BG492" s="399" t="s">
        <v>371</v>
      </c>
      <c r="BH492" s="252">
        <v>28</v>
      </c>
      <c r="BI492" s="251" t="s">
        <v>332</v>
      </c>
      <c r="BJ492" s="251" t="s">
        <v>390</v>
      </c>
      <c r="BK492" s="251" t="s">
        <v>1976</v>
      </c>
      <c r="BL492" s="251" t="s">
        <v>375</v>
      </c>
      <c r="BQ492" s="27" t="s">
        <v>8357</v>
      </c>
      <c r="BR492" s="27" t="s">
        <v>8358</v>
      </c>
    </row>
    <row r="493" spans="2:70" ht="15">
      <c r="B493" s="84"/>
      <c r="D493" s="84"/>
      <c r="E493" s="84"/>
      <c r="F493" s="84"/>
      <c r="G493" s="84"/>
      <c r="R493" s="251"/>
      <c r="S493" s="251"/>
      <c r="BD493" s="399">
        <v>490</v>
      </c>
      <c r="BE493" s="399" t="s">
        <v>1977</v>
      </c>
      <c r="BF493" s="251" t="s">
        <v>1978</v>
      </c>
      <c r="BG493" s="399" t="s">
        <v>614</v>
      </c>
      <c r="BH493" s="252">
        <v>38</v>
      </c>
      <c r="BI493" s="251" t="s">
        <v>563</v>
      </c>
      <c r="BJ493" s="251" t="s">
        <v>380</v>
      </c>
      <c r="BK493" s="251" t="s">
        <v>1979</v>
      </c>
      <c r="BL493" s="251" t="s">
        <v>617</v>
      </c>
      <c r="BQ493" s="27" t="s">
        <v>8359</v>
      </c>
      <c r="BR493" s="27" t="s">
        <v>8360</v>
      </c>
    </row>
    <row r="494" spans="2:70" ht="15">
      <c r="B494" s="84"/>
      <c r="D494" s="84"/>
      <c r="E494" s="84"/>
      <c r="F494" s="84"/>
      <c r="G494" s="84"/>
      <c r="R494" s="251"/>
      <c r="S494" s="251"/>
      <c r="BD494" s="399">
        <v>491</v>
      </c>
      <c r="BE494" s="399" t="s">
        <v>1980</v>
      </c>
      <c r="BF494" s="251" t="s">
        <v>1981</v>
      </c>
      <c r="BG494" s="399" t="s">
        <v>435</v>
      </c>
      <c r="BH494" s="252" t="s">
        <v>436</v>
      </c>
      <c r="BI494" s="251" t="s">
        <v>1982</v>
      </c>
      <c r="BJ494" s="251" t="s">
        <v>385</v>
      </c>
      <c r="BK494" s="251" t="s">
        <v>1983</v>
      </c>
      <c r="BL494" s="251" t="s">
        <v>439</v>
      </c>
      <c r="BQ494" s="27" t="s">
        <v>8361</v>
      </c>
      <c r="BR494" s="27" t="s">
        <v>7449</v>
      </c>
    </row>
    <row r="495" spans="2:70" ht="15">
      <c r="B495" s="84"/>
      <c r="D495" s="84"/>
      <c r="E495" s="84"/>
      <c r="F495" s="84"/>
      <c r="G495" s="84"/>
      <c r="R495" s="251"/>
      <c r="S495" s="251"/>
      <c r="BD495" s="399">
        <v>492</v>
      </c>
      <c r="BE495" s="399" t="s">
        <v>1984</v>
      </c>
      <c r="BF495" s="251" t="s">
        <v>1985</v>
      </c>
      <c r="BG495" s="399" t="s">
        <v>429</v>
      </c>
      <c r="BH495" s="252" t="s">
        <v>430</v>
      </c>
      <c r="BI495" s="251" t="s">
        <v>465</v>
      </c>
      <c r="BJ495" s="251" t="s">
        <v>413</v>
      </c>
      <c r="BK495" s="251" t="s">
        <v>1986</v>
      </c>
      <c r="BL495" s="251" t="s">
        <v>432</v>
      </c>
      <c r="BQ495" s="27" t="s">
        <v>8362</v>
      </c>
      <c r="BR495" s="27" t="s">
        <v>8363</v>
      </c>
    </row>
    <row r="496" spans="2:70" ht="15">
      <c r="B496" s="84"/>
      <c r="D496" s="84"/>
      <c r="E496" s="84"/>
      <c r="F496" s="84"/>
      <c r="G496" s="84"/>
      <c r="R496" s="251"/>
      <c r="S496" s="251"/>
      <c r="BD496" s="399">
        <v>493</v>
      </c>
      <c r="BE496" s="399" t="s">
        <v>1987</v>
      </c>
      <c r="BF496" s="251" t="s">
        <v>1988</v>
      </c>
      <c r="BG496" s="399" t="s">
        <v>475</v>
      </c>
      <c r="BH496" s="252" t="s">
        <v>534</v>
      </c>
      <c r="BI496" s="251" t="s">
        <v>334</v>
      </c>
      <c r="BJ496" s="251" t="s">
        <v>351</v>
      </c>
      <c r="BK496" s="251" t="s">
        <v>1989</v>
      </c>
      <c r="BL496" s="251" t="s">
        <v>479</v>
      </c>
      <c r="BQ496" s="27" t="s">
        <v>8364</v>
      </c>
      <c r="BR496" s="27" t="s">
        <v>8365</v>
      </c>
    </row>
    <row r="497" spans="2:70" ht="15">
      <c r="B497" s="84"/>
      <c r="D497" s="84"/>
      <c r="E497" s="84"/>
      <c r="F497" s="84"/>
      <c r="G497" s="84"/>
      <c r="R497" s="251"/>
      <c r="S497" s="251"/>
      <c r="BD497" s="399">
        <v>494</v>
      </c>
      <c r="BE497" s="399" t="s">
        <v>1990</v>
      </c>
      <c r="BF497" s="251" t="s">
        <v>1991</v>
      </c>
      <c r="BG497" s="399" t="s">
        <v>371</v>
      </c>
      <c r="BH497" s="252">
        <v>28</v>
      </c>
      <c r="BI497" s="251" t="s">
        <v>456</v>
      </c>
      <c r="BJ497" s="251" t="s">
        <v>413</v>
      </c>
      <c r="BK497" s="251" t="s">
        <v>1992</v>
      </c>
      <c r="BL497" s="251" t="s">
        <v>375</v>
      </c>
      <c r="BQ497" s="27" t="s">
        <v>8366</v>
      </c>
      <c r="BR497" s="27" t="s">
        <v>7340</v>
      </c>
    </row>
    <row r="498" spans="2:70" ht="15">
      <c r="B498" s="84"/>
      <c r="D498" s="84"/>
      <c r="E498" s="84"/>
      <c r="F498" s="84"/>
      <c r="G498" s="84"/>
      <c r="R498" s="251"/>
      <c r="S498" s="251"/>
      <c r="BD498" s="399">
        <v>495</v>
      </c>
      <c r="BE498" s="399" t="s">
        <v>1993</v>
      </c>
      <c r="BF498" s="251" t="s">
        <v>1994</v>
      </c>
      <c r="BG498" s="399" t="s">
        <v>566</v>
      </c>
      <c r="BH498" s="252" t="s">
        <v>1004</v>
      </c>
      <c r="BI498" s="251" t="s">
        <v>332</v>
      </c>
      <c r="BJ498" s="251" t="s">
        <v>380</v>
      </c>
      <c r="BK498" s="251" t="s">
        <v>1995</v>
      </c>
      <c r="BL498" s="251" t="s">
        <v>569</v>
      </c>
      <c r="BQ498" s="27" t="s">
        <v>8367</v>
      </c>
      <c r="BR498" s="27" t="s">
        <v>8368</v>
      </c>
    </row>
    <row r="499" spans="2:70" ht="15">
      <c r="B499" s="84"/>
      <c r="D499" s="84"/>
      <c r="E499" s="84"/>
      <c r="F499" s="84"/>
      <c r="G499" s="84"/>
      <c r="R499" s="251"/>
      <c r="S499" s="251"/>
      <c r="BD499" s="399">
        <v>496</v>
      </c>
      <c r="BE499" s="399" t="s">
        <v>1996</v>
      </c>
      <c r="BF499" s="251" t="s">
        <v>1997</v>
      </c>
      <c r="BG499" s="399" t="s">
        <v>435</v>
      </c>
      <c r="BH499" s="252" t="s">
        <v>436</v>
      </c>
      <c r="BI499" s="251" t="s">
        <v>728</v>
      </c>
      <c r="BJ499" s="251" t="s">
        <v>380</v>
      </c>
      <c r="BK499" s="251" t="s">
        <v>1998</v>
      </c>
      <c r="BL499" s="251" t="s">
        <v>439</v>
      </c>
      <c r="BQ499" s="27" t="s">
        <v>8369</v>
      </c>
      <c r="BR499" s="27" t="s">
        <v>8370</v>
      </c>
    </row>
    <row r="500" spans="2:70" ht="15">
      <c r="B500" s="84"/>
      <c r="D500" s="84"/>
      <c r="E500" s="84"/>
      <c r="F500" s="84"/>
      <c r="G500" s="84"/>
      <c r="R500" s="251"/>
      <c r="S500" s="251"/>
      <c r="BD500" s="399">
        <v>497</v>
      </c>
      <c r="BE500" s="399" t="s">
        <v>1999</v>
      </c>
      <c r="BF500" s="251" t="s">
        <v>2000</v>
      </c>
      <c r="BG500" s="399" t="s">
        <v>423</v>
      </c>
      <c r="BH500" s="252" t="s">
        <v>424</v>
      </c>
      <c r="BI500" s="251" t="s">
        <v>390</v>
      </c>
      <c r="BJ500" s="251" t="s">
        <v>380</v>
      </c>
      <c r="BK500" s="251" t="s">
        <v>2001</v>
      </c>
      <c r="BL500" s="251" t="s">
        <v>426</v>
      </c>
      <c r="BQ500" s="27" t="s">
        <v>8371</v>
      </c>
      <c r="BR500" s="27" t="s">
        <v>7401</v>
      </c>
    </row>
    <row r="501" spans="2:70" ht="15">
      <c r="B501" s="84"/>
      <c r="D501" s="84"/>
      <c r="E501" s="84"/>
      <c r="F501" s="84"/>
      <c r="G501" s="84"/>
      <c r="R501" s="251"/>
      <c r="S501" s="251"/>
      <c r="BD501" s="399">
        <v>498</v>
      </c>
      <c r="BE501" s="399" t="s">
        <v>2002</v>
      </c>
      <c r="BF501" s="251" t="s">
        <v>2003</v>
      </c>
      <c r="BG501" s="399" t="s">
        <v>405</v>
      </c>
      <c r="BH501" s="252" t="s">
        <v>760</v>
      </c>
      <c r="BI501" s="251" t="s">
        <v>331</v>
      </c>
      <c r="BJ501" s="251" t="s">
        <v>778</v>
      </c>
      <c r="BK501" s="251" t="s">
        <v>2004</v>
      </c>
      <c r="BL501" s="251" t="s">
        <v>409</v>
      </c>
      <c r="BQ501" s="27" t="s">
        <v>8372</v>
      </c>
      <c r="BR501" s="27" t="s">
        <v>7435</v>
      </c>
    </row>
    <row r="502" spans="2:70" ht="15">
      <c r="B502" s="84"/>
      <c r="D502" s="84"/>
      <c r="E502" s="84"/>
      <c r="F502" s="84"/>
      <c r="G502" s="84"/>
      <c r="R502" s="251"/>
      <c r="S502" s="251"/>
      <c r="BD502" s="399">
        <v>499</v>
      </c>
      <c r="BE502" s="399" t="s">
        <v>2005</v>
      </c>
      <c r="BF502" s="251" t="s">
        <v>2006</v>
      </c>
      <c r="BG502" s="399" t="s">
        <v>405</v>
      </c>
      <c r="BH502" s="252" t="s">
        <v>760</v>
      </c>
      <c r="BI502" s="251" t="s">
        <v>615</v>
      </c>
      <c r="BJ502" s="251" t="s">
        <v>385</v>
      </c>
      <c r="BK502" s="251" t="s">
        <v>2007</v>
      </c>
      <c r="BL502" s="251" t="s">
        <v>409</v>
      </c>
      <c r="BQ502" s="27" t="s">
        <v>8373</v>
      </c>
      <c r="BR502" s="27" t="s">
        <v>7445</v>
      </c>
    </row>
    <row r="503" spans="2:70" ht="15">
      <c r="B503" s="84"/>
      <c r="D503" s="84"/>
      <c r="E503" s="84"/>
      <c r="F503" s="84"/>
      <c r="G503" s="84"/>
      <c r="R503" s="251"/>
      <c r="S503" s="251"/>
      <c r="BD503" s="399">
        <v>500</v>
      </c>
      <c r="BE503" s="399" t="s">
        <v>2008</v>
      </c>
      <c r="BF503" s="251" t="s">
        <v>2009</v>
      </c>
      <c r="BG503" s="399" t="s">
        <v>469</v>
      </c>
      <c r="BH503" s="252" t="s">
        <v>470</v>
      </c>
      <c r="BI503" s="251" t="s">
        <v>390</v>
      </c>
      <c r="BJ503" s="251" t="s">
        <v>385</v>
      </c>
      <c r="BK503" s="251" t="s">
        <v>2010</v>
      </c>
      <c r="BL503" s="251" t="s">
        <v>472</v>
      </c>
      <c r="BQ503" s="27" t="s">
        <v>8374</v>
      </c>
      <c r="BR503" s="27" t="s">
        <v>8375</v>
      </c>
    </row>
    <row r="504" spans="2:70" ht="15">
      <c r="B504" s="84"/>
      <c r="D504" s="84"/>
      <c r="E504" s="84"/>
      <c r="F504" s="84"/>
      <c r="G504" s="84"/>
      <c r="R504" s="251"/>
      <c r="S504" s="251"/>
      <c r="BD504" s="399">
        <v>501</v>
      </c>
      <c r="BE504" s="399" t="s">
        <v>2011</v>
      </c>
      <c r="BF504" s="251" t="s">
        <v>2012</v>
      </c>
      <c r="BG504" s="399" t="s">
        <v>395</v>
      </c>
      <c r="BH504" s="252">
        <v>16</v>
      </c>
      <c r="BI504" s="251" t="s">
        <v>333</v>
      </c>
      <c r="BJ504" s="251" t="s">
        <v>351</v>
      </c>
      <c r="BK504" s="251" t="s">
        <v>2013</v>
      </c>
      <c r="BL504" s="251" t="s">
        <v>399</v>
      </c>
      <c r="BQ504" s="27" t="s">
        <v>8376</v>
      </c>
      <c r="BR504" s="27" t="s">
        <v>7265</v>
      </c>
    </row>
    <row r="505" spans="2:70" ht="15">
      <c r="B505" s="84"/>
      <c r="D505" s="84"/>
      <c r="E505" s="84"/>
      <c r="F505" s="84"/>
      <c r="G505" s="84"/>
      <c r="R505" s="251"/>
      <c r="S505" s="251"/>
      <c r="BD505" s="399">
        <v>502</v>
      </c>
      <c r="BE505" s="399" t="s">
        <v>2014</v>
      </c>
      <c r="BF505" s="251" t="s">
        <v>2015</v>
      </c>
      <c r="BG505" s="399" t="s">
        <v>363</v>
      </c>
      <c r="BH505" s="252" t="s">
        <v>575</v>
      </c>
      <c r="BI505" s="251" t="s">
        <v>333</v>
      </c>
      <c r="BJ505" s="251" t="s">
        <v>380</v>
      </c>
      <c r="BK505" s="251" t="s">
        <v>2016</v>
      </c>
      <c r="BL505" s="251" t="s">
        <v>368</v>
      </c>
      <c r="BQ505" s="27" t="s">
        <v>8377</v>
      </c>
      <c r="BR505" s="27" t="s">
        <v>7271</v>
      </c>
    </row>
    <row r="506" spans="2:70" ht="15">
      <c r="B506" s="84"/>
      <c r="D506" s="84"/>
      <c r="E506" s="84"/>
      <c r="F506" s="84"/>
      <c r="G506" s="84"/>
      <c r="R506" s="251"/>
      <c r="S506" s="251"/>
      <c r="BD506" s="399">
        <v>503</v>
      </c>
      <c r="BE506" s="399" t="s">
        <v>2017</v>
      </c>
      <c r="BF506" s="251" t="s">
        <v>2018</v>
      </c>
      <c r="BG506" s="399" t="s">
        <v>469</v>
      </c>
      <c r="BH506" s="252" t="s">
        <v>662</v>
      </c>
      <c r="BI506" s="251" t="s">
        <v>379</v>
      </c>
      <c r="BJ506" s="251" t="s">
        <v>385</v>
      </c>
      <c r="BK506" s="251" t="s">
        <v>2019</v>
      </c>
      <c r="BL506" s="251" t="s">
        <v>472</v>
      </c>
      <c r="BQ506" s="27" t="s">
        <v>8378</v>
      </c>
      <c r="BR506" s="27" t="s">
        <v>7314</v>
      </c>
    </row>
    <row r="507" spans="2:70" ht="15">
      <c r="B507" s="84"/>
      <c r="D507" s="84"/>
      <c r="E507" s="84"/>
      <c r="F507" s="84"/>
      <c r="G507" s="84"/>
      <c r="R507" s="251"/>
      <c r="S507" s="251"/>
      <c r="BD507" s="399">
        <v>504</v>
      </c>
      <c r="BE507" s="399" t="s">
        <v>2020</v>
      </c>
      <c r="BF507" s="251" t="s">
        <v>2021</v>
      </c>
      <c r="BG507" s="399" t="s">
        <v>435</v>
      </c>
      <c r="BH507" s="252" t="s">
        <v>436</v>
      </c>
      <c r="BI507" s="251" t="s">
        <v>331</v>
      </c>
      <c r="BJ507" s="251" t="s">
        <v>366</v>
      </c>
      <c r="BK507" s="251" t="s">
        <v>2022</v>
      </c>
      <c r="BL507" s="251" t="s">
        <v>439</v>
      </c>
      <c r="BQ507" s="27" t="s">
        <v>8379</v>
      </c>
      <c r="BR507" s="27" t="s">
        <v>8380</v>
      </c>
    </row>
    <row r="508" spans="2:70" ht="15">
      <c r="B508" s="84"/>
      <c r="D508" s="84"/>
      <c r="E508" s="84"/>
      <c r="F508" s="84"/>
      <c r="G508" s="84"/>
      <c r="R508" s="251"/>
      <c r="S508" s="251"/>
      <c r="BD508" s="399">
        <v>505</v>
      </c>
      <c r="BE508" s="399" t="s">
        <v>2023</v>
      </c>
      <c r="BF508" s="251" t="s">
        <v>2024</v>
      </c>
      <c r="BG508" s="399" t="s">
        <v>378</v>
      </c>
      <c r="BH508" s="252">
        <v>11</v>
      </c>
      <c r="BI508" s="251" t="s">
        <v>331</v>
      </c>
      <c r="BJ508" s="251" t="s">
        <v>385</v>
      </c>
      <c r="BK508" s="251" t="s">
        <v>2025</v>
      </c>
      <c r="BL508" s="251" t="s">
        <v>382</v>
      </c>
      <c r="BQ508" s="27" t="s">
        <v>8381</v>
      </c>
      <c r="BR508" s="27" t="s">
        <v>8382</v>
      </c>
    </row>
    <row r="509" spans="2:70" ht="15">
      <c r="B509" s="84"/>
      <c r="D509" s="84"/>
      <c r="E509" s="84"/>
      <c r="F509" s="84"/>
      <c r="G509" s="84"/>
      <c r="R509" s="251"/>
      <c r="S509" s="251"/>
      <c r="BD509" s="399">
        <v>506</v>
      </c>
      <c r="BE509" s="399" t="s">
        <v>2026</v>
      </c>
      <c r="BF509" s="251" t="s">
        <v>2027</v>
      </c>
      <c r="BG509" s="399" t="s">
        <v>566</v>
      </c>
      <c r="BH509" s="252" t="s">
        <v>1004</v>
      </c>
      <c r="BI509" s="251" t="s">
        <v>413</v>
      </c>
      <c r="BJ509" s="251" t="s">
        <v>413</v>
      </c>
      <c r="BK509" s="251" t="s">
        <v>2028</v>
      </c>
      <c r="BL509" s="251" t="s">
        <v>569</v>
      </c>
      <c r="BQ509" s="27" t="s">
        <v>8383</v>
      </c>
      <c r="BR509" s="27" t="s">
        <v>7349</v>
      </c>
    </row>
    <row r="510" spans="2:70" ht="15">
      <c r="B510" s="84"/>
      <c r="D510" s="84"/>
      <c r="E510" s="84"/>
      <c r="F510" s="84"/>
      <c r="G510" s="84"/>
      <c r="R510" s="251"/>
      <c r="S510" s="251"/>
      <c r="BD510" s="399">
        <v>507</v>
      </c>
      <c r="BE510" s="399" t="s">
        <v>2029</v>
      </c>
      <c r="BF510" s="251" t="s">
        <v>2030</v>
      </c>
      <c r="BG510" s="399" t="s">
        <v>590</v>
      </c>
      <c r="BH510" s="252" t="s">
        <v>2031</v>
      </c>
      <c r="BI510" s="251" t="s">
        <v>1420</v>
      </c>
      <c r="BJ510" s="251" t="s">
        <v>2032</v>
      </c>
      <c r="BK510" s="251" t="s">
        <v>2033</v>
      </c>
      <c r="BL510" s="251" t="s">
        <v>592</v>
      </c>
      <c r="BQ510" s="27" t="s">
        <v>8384</v>
      </c>
      <c r="BR510" s="27" t="s">
        <v>8385</v>
      </c>
    </row>
    <row r="511" spans="2:70" ht="15">
      <c r="B511" s="84"/>
      <c r="D511" s="84"/>
      <c r="E511" s="84"/>
      <c r="F511" s="84"/>
      <c r="G511" s="84"/>
      <c r="R511" s="251"/>
      <c r="S511" s="251"/>
      <c r="BD511" s="399">
        <v>508</v>
      </c>
      <c r="BE511" s="399" t="s">
        <v>2034</v>
      </c>
      <c r="BF511" s="251" t="s">
        <v>2035</v>
      </c>
      <c r="BG511" s="399" t="s">
        <v>777</v>
      </c>
      <c r="BH511" s="252">
        <v>21</v>
      </c>
      <c r="BI511" s="251" t="s">
        <v>350</v>
      </c>
      <c r="BJ511" s="251" t="s">
        <v>366</v>
      </c>
      <c r="BK511" s="251" t="s">
        <v>2036</v>
      </c>
      <c r="BL511" s="251" t="s">
        <v>780</v>
      </c>
      <c r="BQ511" s="27" t="s">
        <v>8386</v>
      </c>
      <c r="BR511" s="27" t="s">
        <v>7412</v>
      </c>
    </row>
    <row r="512" spans="2:70" ht="15">
      <c r="B512" s="84"/>
      <c r="D512" s="84"/>
      <c r="E512" s="84"/>
      <c r="F512" s="84"/>
      <c r="G512" s="84"/>
      <c r="R512" s="251"/>
      <c r="S512" s="251"/>
      <c r="BD512" s="399">
        <v>509</v>
      </c>
      <c r="BE512" s="399" t="s">
        <v>2037</v>
      </c>
      <c r="BF512" s="251" t="s">
        <v>2038</v>
      </c>
      <c r="BG512" s="399" t="s">
        <v>455</v>
      </c>
      <c r="BH512" s="252">
        <v>35</v>
      </c>
      <c r="BI512" s="251" t="s">
        <v>365</v>
      </c>
      <c r="BJ512" s="251" t="s">
        <v>366</v>
      </c>
      <c r="BK512" s="251" t="s">
        <v>2039</v>
      </c>
      <c r="BL512" s="251" t="s">
        <v>458</v>
      </c>
      <c r="BQ512" s="27" t="s">
        <v>8387</v>
      </c>
      <c r="BR512" s="27" t="s">
        <v>8388</v>
      </c>
    </row>
    <row r="513" spans="2:70" ht="15">
      <c r="B513" s="84"/>
      <c r="D513" s="84"/>
      <c r="E513" s="84"/>
      <c r="F513" s="84"/>
      <c r="G513" s="84"/>
      <c r="R513" s="251"/>
      <c r="S513" s="251"/>
      <c r="BD513" s="399">
        <v>510</v>
      </c>
      <c r="BE513" s="399" t="s">
        <v>2040</v>
      </c>
      <c r="BF513" s="251" t="s">
        <v>2041</v>
      </c>
      <c r="BG513" s="399" t="s">
        <v>395</v>
      </c>
      <c r="BH513" s="252">
        <v>16</v>
      </c>
      <c r="BI513" s="251" t="s">
        <v>334</v>
      </c>
      <c r="BJ513" s="251" t="s">
        <v>539</v>
      </c>
      <c r="BK513" s="251" t="s">
        <v>2042</v>
      </c>
      <c r="BL513" s="251" t="s">
        <v>399</v>
      </c>
      <c r="BQ513" s="27" t="s">
        <v>8389</v>
      </c>
      <c r="BR513" s="27" t="s">
        <v>7368</v>
      </c>
    </row>
    <row r="514" spans="2:70" ht="15">
      <c r="B514" s="84"/>
      <c r="D514" s="84"/>
      <c r="E514" s="84"/>
      <c r="F514" s="84"/>
      <c r="G514" s="84"/>
      <c r="R514" s="251"/>
      <c r="S514" s="251"/>
      <c r="BD514" s="399">
        <v>511</v>
      </c>
      <c r="BE514" s="399" t="s">
        <v>2043</v>
      </c>
      <c r="BF514" s="251" t="s">
        <v>2044</v>
      </c>
      <c r="BG514" s="399" t="s">
        <v>489</v>
      </c>
      <c r="BH514" s="252" t="s">
        <v>490</v>
      </c>
      <c r="BI514" s="251" t="s">
        <v>331</v>
      </c>
      <c r="BJ514" s="251" t="s">
        <v>380</v>
      </c>
      <c r="BK514" s="251" t="s">
        <v>2045</v>
      </c>
      <c r="BL514" s="251" t="s">
        <v>493</v>
      </c>
      <c r="BQ514" s="27" t="s">
        <v>8390</v>
      </c>
      <c r="BR514" s="27" t="s">
        <v>7439</v>
      </c>
    </row>
    <row r="515" spans="2:70" ht="15">
      <c r="B515" s="84"/>
      <c r="D515" s="84"/>
      <c r="E515" s="84"/>
      <c r="F515" s="84"/>
      <c r="G515" s="84"/>
      <c r="R515" s="251"/>
      <c r="S515" s="251"/>
      <c r="BD515" s="399">
        <v>512</v>
      </c>
      <c r="BE515" s="399" t="s">
        <v>2046</v>
      </c>
      <c r="BF515" s="251" t="s">
        <v>2047</v>
      </c>
      <c r="BG515" s="399" t="s">
        <v>469</v>
      </c>
      <c r="BH515" s="252" t="s">
        <v>470</v>
      </c>
      <c r="BI515" s="251" t="s">
        <v>365</v>
      </c>
      <c r="BJ515" s="251" t="s">
        <v>351</v>
      </c>
      <c r="BK515" s="251" t="s">
        <v>2048</v>
      </c>
      <c r="BL515" s="251" t="s">
        <v>472</v>
      </c>
      <c r="BQ515" s="27" t="s">
        <v>8391</v>
      </c>
      <c r="BR515" s="27" t="s">
        <v>8392</v>
      </c>
    </row>
    <row r="516" spans="2:70" ht="15">
      <c r="B516" s="84"/>
      <c r="D516" s="84"/>
      <c r="E516" s="84"/>
      <c r="F516" s="84"/>
      <c r="G516" s="84"/>
      <c r="R516" s="251"/>
      <c r="S516" s="251"/>
      <c r="BD516" s="399">
        <v>513</v>
      </c>
      <c r="BE516" s="399" t="s">
        <v>2049</v>
      </c>
      <c r="BF516" s="251" t="s">
        <v>2050</v>
      </c>
      <c r="BG516" s="399" t="s">
        <v>455</v>
      </c>
      <c r="BH516" s="252">
        <v>35</v>
      </c>
      <c r="BI516" s="251" t="s">
        <v>445</v>
      </c>
      <c r="BJ516" s="251" t="s">
        <v>397</v>
      </c>
      <c r="BK516" s="251" t="s">
        <v>2051</v>
      </c>
      <c r="BL516" s="251" t="s">
        <v>458</v>
      </c>
      <c r="BQ516" s="27" t="s">
        <v>8393</v>
      </c>
      <c r="BR516" s="27" t="s">
        <v>8394</v>
      </c>
    </row>
    <row r="517" spans="2:70" ht="15">
      <c r="B517" s="84"/>
      <c r="D517" s="84"/>
      <c r="E517" s="84"/>
      <c r="F517" s="84"/>
      <c r="G517" s="84"/>
      <c r="R517" s="251"/>
      <c r="S517" s="251"/>
      <c r="BD517" s="399">
        <v>514</v>
      </c>
      <c r="BE517" s="399" t="s">
        <v>2052</v>
      </c>
      <c r="BF517" s="251" t="s">
        <v>2053</v>
      </c>
      <c r="BG517" s="399" t="s">
        <v>429</v>
      </c>
      <c r="BH517" s="252" t="s">
        <v>430</v>
      </c>
      <c r="BI517" s="251" t="s">
        <v>635</v>
      </c>
      <c r="BJ517" s="251" t="s">
        <v>413</v>
      </c>
      <c r="BK517" s="251" t="s">
        <v>2054</v>
      </c>
      <c r="BL517" s="251" t="s">
        <v>432</v>
      </c>
      <c r="BQ517" s="27" t="s">
        <v>8395</v>
      </c>
      <c r="BR517" s="27" t="s">
        <v>8396</v>
      </c>
    </row>
    <row r="518" spans="2:70" ht="15">
      <c r="B518" s="84"/>
      <c r="D518" s="84"/>
      <c r="E518" s="84"/>
      <c r="F518" s="84"/>
      <c r="G518" s="84"/>
      <c r="R518" s="251"/>
      <c r="S518" s="251"/>
      <c r="BD518" s="399">
        <v>515</v>
      </c>
      <c r="BE518" s="399" t="s">
        <v>2055</v>
      </c>
      <c r="BF518" s="251" t="s">
        <v>2056</v>
      </c>
      <c r="BG518" s="399" t="s">
        <v>423</v>
      </c>
      <c r="BH518" s="252" t="s">
        <v>424</v>
      </c>
      <c r="BI518" s="251" t="s">
        <v>563</v>
      </c>
      <c r="BJ518" s="251" t="s">
        <v>380</v>
      </c>
      <c r="BK518" s="251" t="s">
        <v>2057</v>
      </c>
      <c r="BL518" s="251" t="s">
        <v>426</v>
      </c>
      <c r="BQ518" s="27" t="s">
        <v>8397</v>
      </c>
      <c r="BR518" s="27" t="s">
        <v>7478</v>
      </c>
    </row>
    <row r="519" spans="2:70" ht="15">
      <c r="B519" s="84"/>
      <c r="D519" s="84"/>
      <c r="E519" s="84"/>
      <c r="F519" s="84"/>
      <c r="G519" s="84"/>
      <c r="R519" s="251"/>
      <c r="S519" s="251"/>
      <c r="BD519" s="399">
        <v>516</v>
      </c>
      <c r="BE519" s="399" t="s">
        <v>2058</v>
      </c>
      <c r="BF519" s="251" t="s">
        <v>2059</v>
      </c>
      <c r="BG519" s="399" t="s">
        <v>469</v>
      </c>
      <c r="BH519" s="252" t="s">
        <v>470</v>
      </c>
      <c r="BI519" s="251" t="s">
        <v>563</v>
      </c>
      <c r="BJ519" s="251" t="s">
        <v>539</v>
      </c>
      <c r="BK519" s="251" t="s">
        <v>2060</v>
      </c>
      <c r="BL519" s="251" t="s">
        <v>472</v>
      </c>
      <c r="BQ519" s="27" t="s">
        <v>8398</v>
      </c>
      <c r="BR519" s="27" t="s">
        <v>7487</v>
      </c>
    </row>
    <row r="520" spans="2:70" ht="15">
      <c r="B520" s="84"/>
      <c r="D520" s="84"/>
      <c r="E520" s="84"/>
      <c r="F520" s="84"/>
      <c r="G520" s="84"/>
      <c r="R520" s="251"/>
      <c r="S520" s="251"/>
      <c r="BD520" s="399">
        <v>517</v>
      </c>
      <c r="BE520" s="399" t="s">
        <v>2061</v>
      </c>
      <c r="BF520" s="251" t="s">
        <v>2062</v>
      </c>
      <c r="BG520" s="399" t="s">
        <v>363</v>
      </c>
      <c r="BH520" s="252" t="s">
        <v>364</v>
      </c>
      <c r="BI520" s="251" t="s">
        <v>332</v>
      </c>
      <c r="BJ520" s="251" t="s">
        <v>407</v>
      </c>
      <c r="BK520" s="251" t="s">
        <v>2063</v>
      </c>
      <c r="BL520" s="251" t="s">
        <v>368</v>
      </c>
      <c r="BQ520" s="27" t="s">
        <v>8399</v>
      </c>
      <c r="BR520" s="27" t="s">
        <v>7463</v>
      </c>
    </row>
    <row r="521" spans="2:70" ht="15">
      <c r="B521" s="84"/>
      <c r="D521" s="84"/>
      <c r="E521" s="84"/>
      <c r="F521" s="84"/>
      <c r="G521" s="84"/>
      <c r="R521" s="251"/>
      <c r="S521" s="251"/>
      <c r="BD521" s="399">
        <v>518</v>
      </c>
      <c r="BE521" s="399" t="s">
        <v>2064</v>
      </c>
      <c r="BF521" s="251" t="s">
        <v>2065</v>
      </c>
      <c r="BG521" s="399" t="s">
        <v>435</v>
      </c>
      <c r="BH521" s="252" t="s">
        <v>651</v>
      </c>
      <c r="BI521" s="251" t="s">
        <v>333</v>
      </c>
      <c r="BJ521" s="251" t="s">
        <v>380</v>
      </c>
      <c r="BK521" s="251" t="s">
        <v>2066</v>
      </c>
      <c r="BL521" s="251" t="s">
        <v>439</v>
      </c>
      <c r="BQ521" s="27" t="s">
        <v>8400</v>
      </c>
      <c r="BR521" s="27" t="s">
        <v>7270</v>
      </c>
    </row>
    <row r="522" spans="2:70" ht="15">
      <c r="B522" s="84"/>
      <c r="D522" s="84"/>
      <c r="E522" s="84"/>
      <c r="F522" s="84"/>
      <c r="G522" s="84"/>
      <c r="R522" s="251"/>
      <c r="S522" s="251"/>
      <c r="BD522" s="399">
        <v>519</v>
      </c>
      <c r="BE522" s="399" t="s">
        <v>2067</v>
      </c>
      <c r="BF522" s="251" t="s">
        <v>2068</v>
      </c>
      <c r="BG522" s="399" t="s">
        <v>469</v>
      </c>
      <c r="BH522" s="252" t="s">
        <v>662</v>
      </c>
      <c r="BI522" s="251" t="s">
        <v>615</v>
      </c>
      <c r="BJ522" s="251" t="s">
        <v>397</v>
      </c>
      <c r="BK522" s="251" t="s">
        <v>2069</v>
      </c>
      <c r="BL522" s="251" t="s">
        <v>472</v>
      </c>
      <c r="BQ522" s="27" t="s">
        <v>8401</v>
      </c>
      <c r="BR522" s="27" t="s">
        <v>8402</v>
      </c>
    </row>
    <row r="523" spans="2:70" ht="15">
      <c r="B523" s="84"/>
      <c r="D523" s="84"/>
      <c r="E523" s="84"/>
      <c r="F523" s="84"/>
      <c r="G523" s="84"/>
      <c r="R523" s="251"/>
      <c r="S523" s="251"/>
      <c r="BD523" s="399">
        <v>520</v>
      </c>
      <c r="BE523" s="399" t="s">
        <v>2070</v>
      </c>
      <c r="BF523" s="251" t="s">
        <v>2071</v>
      </c>
      <c r="BG523" s="399" t="s">
        <v>519</v>
      </c>
      <c r="BH523" s="252">
        <v>30</v>
      </c>
      <c r="BI523" s="251" t="s">
        <v>477</v>
      </c>
      <c r="BJ523" s="251" t="s">
        <v>380</v>
      </c>
      <c r="BK523" s="251" t="s">
        <v>2072</v>
      </c>
      <c r="BL523" s="251" t="s">
        <v>521</v>
      </c>
      <c r="BQ523" s="27" t="s">
        <v>8403</v>
      </c>
      <c r="BR523" s="27" t="s">
        <v>7335</v>
      </c>
    </row>
    <row r="524" spans="2:70" ht="15">
      <c r="B524" s="84"/>
      <c r="D524" s="84"/>
      <c r="E524" s="84"/>
      <c r="F524" s="84"/>
      <c r="G524" s="84"/>
      <c r="R524" s="251"/>
      <c r="S524" s="251"/>
      <c r="BD524" s="399">
        <v>521</v>
      </c>
      <c r="BE524" s="399" t="s">
        <v>2073</v>
      </c>
      <c r="BF524" s="251" t="s">
        <v>41</v>
      </c>
      <c r="BG524" s="399" t="s">
        <v>469</v>
      </c>
      <c r="BH524" s="252" t="s">
        <v>470</v>
      </c>
      <c r="BI524" s="251" t="s">
        <v>332</v>
      </c>
      <c r="BJ524" s="251" t="s">
        <v>366</v>
      </c>
      <c r="BK524" s="251" t="s">
        <v>2074</v>
      </c>
      <c r="BL524" s="251" t="s">
        <v>472</v>
      </c>
      <c r="BQ524" s="27" t="s">
        <v>8404</v>
      </c>
      <c r="BR524" s="27" t="s">
        <v>7289</v>
      </c>
    </row>
    <row r="525" spans="2:70" ht="15">
      <c r="B525" s="84"/>
      <c r="D525" s="84"/>
      <c r="E525" s="84"/>
      <c r="F525" s="84"/>
      <c r="G525" s="84"/>
      <c r="R525" s="251"/>
      <c r="S525" s="251"/>
      <c r="BD525" s="399">
        <v>522</v>
      </c>
      <c r="BE525" s="399" t="s">
        <v>2075</v>
      </c>
      <c r="BF525" s="251" t="s">
        <v>2076</v>
      </c>
      <c r="BG525" s="399" t="s">
        <v>733</v>
      </c>
      <c r="BH525" s="252" t="s">
        <v>734</v>
      </c>
      <c r="BI525" s="251" t="s">
        <v>357</v>
      </c>
      <c r="BJ525" s="251" t="s">
        <v>351</v>
      </c>
      <c r="BK525" s="251" t="s">
        <v>2077</v>
      </c>
      <c r="BL525" s="251" t="s">
        <v>736</v>
      </c>
      <c r="BQ525" s="27" t="s">
        <v>8405</v>
      </c>
      <c r="BR525" s="27" t="s">
        <v>8406</v>
      </c>
    </row>
    <row r="526" spans="2:70" ht="15">
      <c r="B526" s="84"/>
      <c r="D526" s="84"/>
      <c r="E526" s="84"/>
      <c r="F526" s="84"/>
      <c r="G526" s="84"/>
      <c r="R526" s="251"/>
      <c r="S526" s="251"/>
      <c r="BD526" s="399">
        <v>523</v>
      </c>
      <c r="BE526" s="399" t="s">
        <v>2078</v>
      </c>
      <c r="BF526" s="251" t="s">
        <v>2079</v>
      </c>
      <c r="BG526" s="399" t="s">
        <v>429</v>
      </c>
      <c r="BH526" s="252" t="s">
        <v>430</v>
      </c>
      <c r="BI526" s="251" t="s">
        <v>615</v>
      </c>
      <c r="BJ526" s="251" t="s">
        <v>351</v>
      </c>
      <c r="BK526" s="251" t="s">
        <v>2080</v>
      </c>
      <c r="BL526" s="251" t="s">
        <v>432</v>
      </c>
      <c r="BQ526" s="27" t="s">
        <v>8407</v>
      </c>
      <c r="BR526" s="27" t="s">
        <v>8408</v>
      </c>
    </row>
    <row r="527" spans="2:70" ht="15">
      <c r="B527" s="84"/>
      <c r="D527" s="84"/>
      <c r="E527" s="84"/>
      <c r="F527" s="84"/>
      <c r="G527" s="84"/>
      <c r="R527" s="251"/>
      <c r="S527" s="251"/>
      <c r="BD527" s="399">
        <v>524</v>
      </c>
      <c r="BE527" s="399" t="s">
        <v>2081</v>
      </c>
      <c r="BF527" s="251" t="s">
        <v>2082</v>
      </c>
      <c r="BG527" s="399" t="s">
        <v>395</v>
      </c>
      <c r="BH527" s="252">
        <v>16</v>
      </c>
      <c r="BI527" s="251" t="s">
        <v>728</v>
      </c>
      <c r="BJ527" s="251" t="s">
        <v>380</v>
      </c>
      <c r="BK527" s="251" t="s">
        <v>2083</v>
      </c>
      <c r="BL527" s="251" t="s">
        <v>399</v>
      </c>
      <c r="BQ527" s="27" t="s">
        <v>8409</v>
      </c>
      <c r="BR527" s="27" t="s">
        <v>8410</v>
      </c>
    </row>
    <row r="528" spans="2:70" ht="15">
      <c r="B528" s="84"/>
      <c r="D528" s="84"/>
      <c r="E528" s="84"/>
      <c r="F528" s="84"/>
      <c r="G528" s="84"/>
      <c r="R528" s="251"/>
      <c r="S528" s="251"/>
      <c r="BD528" s="399">
        <v>525</v>
      </c>
      <c r="BE528" s="399" t="s">
        <v>2084</v>
      </c>
      <c r="BF528" s="251" t="s">
        <v>2085</v>
      </c>
      <c r="BG528" s="399" t="s">
        <v>777</v>
      </c>
      <c r="BH528" s="252">
        <v>21</v>
      </c>
      <c r="BI528" s="251" t="s">
        <v>332</v>
      </c>
      <c r="BJ528" s="251" t="s">
        <v>351</v>
      </c>
      <c r="BK528" s="251" t="s">
        <v>2086</v>
      </c>
      <c r="BL528" s="251" t="s">
        <v>780</v>
      </c>
      <c r="BQ528" s="27" t="s">
        <v>8411</v>
      </c>
      <c r="BR528" s="27" t="s">
        <v>7336</v>
      </c>
    </row>
    <row r="529" spans="2:70" ht="15">
      <c r="B529" s="84"/>
      <c r="D529" s="84"/>
      <c r="E529" s="84"/>
      <c r="F529" s="84"/>
      <c r="G529" s="84"/>
      <c r="R529" s="251"/>
      <c r="S529" s="251"/>
      <c r="BD529" s="399">
        <v>526</v>
      </c>
      <c r="BE529" s="399" t="s">
        <v>2087</v>
      </c>
      <c r="BF529" s="251" t="s">
        <v>2088</v>
      </c>
      <c r="BG529" s="399" t="s">
        <v>519</v>
      </c>
      <c r="BH529" s="252">
        <v>30</v>
      </c>
      <c r="BI529" s="251" t="s">
        <v>798</v>
      </c>
      <c r="BJ529" s="251" t="s">
        <v>413</v>
      </c>
      <c r="BK529" s="251" t="s">
        <v>2089</v>
      </c>
      <c r="BL529" s="251" t="s">
        <v>521</v>
      </c>
      <c r="BQ529" s="27" t="s">
        <v>8412</v>
      </c>
      <c r="BR529" s="27" t="s">
        <v>7471</v>
      </c>
    </row>
    <row r="530" spans="2:70" ht="15">
      <c r="B530" s="84"/>
      <c r="D530" s="84"/>
      <c r="E530" s="84"/>
      <c r="F530" s="84"/>
      <c r="G530" s="84"/>
      <c r="R530" s="251"/>
      <c r="S530" s="251"/>
      <c r="BD530" s="399">
        <v>527</v>
      </c>
      <c r="BE530" s="399" t="s">
        <v>2090</v>
      </c>
      <c r="BF530" s="251" t="s">
        <v>2091</v>
      </c>
      <c r="BG530" s="399" t="s">
        <v>435</v>
      </c>
      <c r="BH530" s="252" t="s">
        <v>681</v>
      </c>
      <c r="BI530" s="251" t="s">
        <v>2092</v>
      </c>
      <c r="BJ530" s="251" t="s">
        <v>539</v>
      </c>
      <c r="BK530" s="251" t="s">
        <v>2093</v>
      </c>
      <c r="BL530" s="251" t="s">
        <v>439</v>
      </c>
      <c r="BQ530" s="27" t="s">
        <v>8413</v>
      </c>
      <c r="BR530" s="27" t="s">
        <v>8414</v>
      </c>
    </row>
    <row r="531" spans="2:70" ht="15">
      <c r="B531" s="84"/>
      <c r="D531" s="84"/>
      <c r="E531" s="84"/>
      <c r="F531" s="84"/>
      <c r="G531" s="84"/>
      <c r="R531" s="251"/>
      <c r="S531" s="251"/>
      <c r="BD531" s="399">
        <v>528</v>
      </c>
      <c r="BE531" s="399" t="s">
        <v>2094</v>
      </c>
      <c r="BF531" s="251" t="s">
        <v>2095</v>
      </c>
      <c r="BG531" s="399" t="s">
        <v>363</v>
      </c>
      <c r="BH531" s="252" t="s">
        <v>575</v>
      </c>
      <c r="BI531" s="251" t="s">
        <v>563</v>
      </c>
      <c r="BJ531" s="251" t="s">
        <v>385</v>
      </c>
      <c r="BK531" s="251" t="s">
        <v>2096</v>
      </c>
      <c r="BL531" s="251" t="s">
        <v>368</v>
      </c>
      <c r="BQ531" s="27" t="s">
        <v>8415</v>
      </c>
      <c r="BR531" s="27" t="s">
        <v>7490</v>
      </c>
    </row>
    <row r="532" spans="2:70" ht="15">
      <c r="B532" s="84"/>
      <c r="D532" s="84"/>
      <c r="E532" s="84"/>
      <c r="F532" s="84"/>
      <c r="G532" s="84"/>
      <c r="R532" s="251"/>
      <c r="S532" s="251"/>
      <c r="BD532" s="399">
        <v>529</v>
      </c>
      <c r="BE532" s="399" t="s">
        <v>2097</v>
      </c>
      <c r="BF532" s="251" t="s">
        <v>2098</v>
      </c>
      <c r="BG532" s="399" t="s">
        <v>395</v>
      </c>
      <c r="BH532" s="252">
        <v>16</v>
      </c>
      <c r="BI532" s="251" t="s">
        <v>332</v>
      </c>
      <c r="BJ532" s="251" t="s">
        <v>351</v>
      </c>
      <c r="BK532" s="251" t="s">
        <v>2099</v>
      </c>
      <c r="BL532" s="251" t="s">
        <v>399</v>
      </c>
      <c r="BQ532" s="27" t="s">
        <v>8416</v>
      </c>
      <c r="BR532" s="27" t="s">
        <v>7337</v>
      </c>
    </row>
    <row r="533" spans="2:70" ht="15">
      <c r="B533" s="84"/>
      <c r="D533" s="84"/>
      <c r="E533" s="84"/>
      <c r="F533" s="84"/>
      <c r="G533" s="84"/>
      <c r="R533" s="251"/>
      <c r="S533" s="251"/>
      <c r="BD533" s="399">
        <v>530</v>
      </c>
      <c r="BE533" s="399" t="s">
        <v>2100</v>
      </c>
      <c r="BF533" s="251" t="s">
        <v>2101</v>
      </c>
      <c r="BG533" s="399" t="s">
        <v>378</v>
      </c>
      <c r="BH533" s="252">
        <v>11</v>
      </c>
      <c r="BI533" s="251" t="s">
        <v>390</v>
      </c>
      <c r="BJ533" s="251" t="s">
        <v>380</v>
      </c>
      <c r="BK533" s="251" t="s">
        <v>2102</v>
      </c>
      <c r="BL533" s="251" t="s">
        <v>382</v>
      </c>
      <c r="BQ533" s="27" t="s">
        <v>8417</v>
      </c>
      <c r="BR533" s="27" t="s">
        <v>8418</v>
      </c>
    </row>
    <row r="534" spans="2:70" ht="15">
      <c r="B534" s="84"/>
      <c r="D534" s="84"/>
      <c r="E534" s="84"/>
      <c r="F534" s="84"/>
      <c r="G534" s="84"/>
      <c r="R534" s="251"/>
      <c r="S534" s="251"/>
      <c r="BD534" s="399">
        <v>531</v>
      </c>
      <c r="BE534" s="399" t="s">
        <v>1434</v>
      </c>
      <c r="BF534" s="251" t="s">
        <v>2103</v>
      </c>
      <c r="BG534" s="399" t="s">
        <v>363</v>
      </c>
      <c r="BH534" s="252" t="s">
        <v>364</v>
      </c>
      <c r="BI534" s="251" t="s">
        <v>450</v>
      </c>
      <c r="BJ534" s="251" t="s">
        <v>366</v>
      </c>
      <c r="BK534" s="251" t="s">
        <v>2104</v>
      </c>
      <c r="BL534" s="251" t="s">
        <v>368</v>
      </c>
      <c r="BQ534" s="27" t="s">
        <v>8419</v>
      </c>
      <c r="BR534" s="27" t="s">
        <v>8420</v>
      </c>
    </row>
    <row r="535" spans="2:70" ht="15">
      <c r="B535" s="84"/>
      <c r="D535" s="84"/>
      <c r="E535" s="84"/>
      <c r="F535" s="84"/>
      <c r="G535" s="84"/>
      <c r="R535" s="251"/>
      <c r="S535" s="251"/>
      <c r="BD535" s="399">
        <v>532</v>
      </c>
      <c r="BE535" s="399" t="s">
        <v>2105</v>
      </c>
      <c r="BF535" s="251" t="s">
        <v>2106</v>
      </c>
      <c r="BG535" s="399" t="s">
        <v>405</v>
      </c>
      <c r="BH535" s="252" t="s">
        <v>830</v>
      </c>
      <c r="BI535" s="251" t="s">
        <v>365</v>
      </c>
      <c r="BJ535" s="251" t="s">
        <v>390</v>
      </c>
      <c r="BK535" s="251" t="s">
        <v>2107</v>
      </c>
      <c r="BL535" s="251" t="s">
        <v>409</v>
      </c>
      <c r="BQ535" s="27" t="s">
        <v>8421</v>
      </c>
      <c r="BR535" s="27" t="s">
        <v>8422</v>
      </c>
    </row>
    <row r="536" spans="2:70" ht="15">
      <c r="B536" s="84"/>
      <c r="D536" s="84"/>
      <c r="E536" s="84"/>
      <c r="F536" s="84"/>
      <c r="G536" s="84"/>
      <c r="R536" s="251"/>
      <c r="S536" s="251"/>
      <c r="BD536" s="399">
        <v>533</v>
      </c>
      <c r="BE536" s="399" t="s">
        <v>2108</v>
      </c>
      <c r="BF536" s="251" t="s">
        <v>2109</v>
      </c>
      <c r="BG536" s="399" t="s">
        <v>423</v>
      </c>
      <c r="BH536" s="252" t="s">
        <v>424</v>
      </c>
      <c r="BI536" s="251" t="s">
        <v>332</v>
      </c>
      <c r="BJ536" s="251" t="s">
        <v>380</v>
      </c>
      <c r="BK536" s="251" t="s">
        <v>2110</v>
      </c>
      <c r="BL536" s="251" t="s">
        <v>426</v>
      </c>
      <c r="BQ536" s="27" t="s">
        <v>8423</v>
      </c>
      <c r="BR536" s="27" t="s">
        <v>7326</v>
      </c>
    </row>
    <row r="537" spans="2:70" ht="15">
      <c r="B537" s="84"/>
      <c r="D537" s="84"/>
      <c r="E537" s="84"/>
      <c r="F537" s="84"/>
      <c r="G537" s="84"/>
      <c r="R537" s="251"/>
      <c r="S537" s="251"/>
      <c r="BD537" s="399">
        <v>534</v>
      </c>
      <c r="BE537" s="399" t="s">
        <v>2111</v>
      </c>
      <c r="BF537" s="251" t="s">
        <v>2112</v>
      </c>
      <c r="BG537" s="399" t="s">
        <v>519</v>
      </c>
      <c r="BH537" s="252">
        <v>30</v>
      </c>
      <c r="BI537" s="251" t="s">
        <v>461</v>
      </c>
      <c r="BJ537" s="251" t="s">
        <v>413</v>
      </c>
      <c r="BK537" s="251" t="s">
        <v>2113</v>
      </c>
      <c r="BL537" s="251" t="s">
        <v>521</v>
      </c>
      <c r="BQ537" s="27" t="s">
        <v>8424</v>
      </c>
      <c r="BR537" s="27" t="s">
        <v>8425</v>
      </c>
    </row>
    <row r="538" spans="2:70" ht="15">
      <c r="B538" s="84"/>
      <c r="D538" s="84"/>
      <c r="E538" s="84"/>
      <c r="F538" s="84"/>
      <c r="G538" s="84"/>
      <c r="R538" s="251"/>
      <c r="S538" s="251"/>
      <c r="BD538" s="399">
        <v>535</v>
      </c>
      <c r="BE538" s="399" t="s">
        <v>2114</v>
      </c>
      <c r="BF538" s="251" t="s">
        <v>2115</v>
      </c>
      <c r="BG538" s="399" t="s">
        <v>435</v>
      </c>
      <c r="BH538" s="252" t="s">
        <v>651</v>
      </c>
      <c r="BI538" s="251" t="s">
        <v>331</v>
      </c>
      <c r="BJ538" s="251" t="s">
        <v>380</v>
      </c>
      <c r="BK538" s="251" t="s">
        <v>2116</v>
      </c>
      <c r="BL538" s="251" t="s">
        <v>439</v>
      </c>
      <c r="BQ538" s="27" t="s">
        <v>8426</v>
      </c>
      <c r="BR538" s="27" t="s">
        <v>7373</v>
      </c>
    </row>
    <row r="539" spans="2:70" ht="15">
      <c r="B539" s="84"/>
      <c r="D539" s="84"/>
      <c r="E539" s="84"/>
      <c r="F539" s="84"/>
      <c r="G539" s="84"/>
      <c r="R539" s="251"/>
      <c r="S539" s="251"/>
      <c r="BD539" s="399">
        <v>536</v>
      </c>
      <c r="BE539" s="399" t="s">
        <v>2117</v>
      </c>
      <c r="BF539" s="251" t="s">
        <v>2118</v>
      </c>
      <c r="BG539" s="399" t="s">
        <v>566</v>
      </c>
      <c r="BH539" s="252" t="s">
        <v>567</v>
      </c>
      <c r="BI539" s="251" t="s">
        <v>333</v>
      </c>
      <c r="BJ539" s="251" t="s">
        <v>380</v>
      </c>
      <c r="BK539" s="251" t="s">
        <v>2119</v>
      </c>
      <c r="BL539" s="251" t="s">
        <v>569</v>
      </c>
      <c r="BQ539" s="27" t="s">
        <v>8427</v>
      </c>
      <c r="BR539" s="27" t="s">
        <v>8428</v>
      </c>
    </row>
    <row r="540" spans="2:70" ht="15">
      <c r="B540" s="84"/>
      <c r="D540" s="84"/>
      <c r="E540" s="84"/>
      <c r="F540" s="84"/>
      <c r="G540" s="84"/>
      <c r="R540" s="251"/>
      <c r="S540" s="251"/>
      <c r="BD540" s="399">
        <v>537</v>
      </c>
      <c r="BE540" s="399" t="s">
        <v>2120</v>
      </c>
      <c r="BF540" s="251" t="s">
        <v>2121</v>
      </c>
      <c r="BG540" s="399" t="s">
        <v>566</v>
      </c>
      <c r="BH540" s="252" t="s">
        <v>567</v>
      </c>
      <c r="BI540" s="251" t="s">
        <v>615</v>
      </c>
      <c r="BJ540" s="251" t="s">
        <v>366</v>
      </c>
      <c r="BK540" s="251" t="s">
        <v>2122</v>
      </c>
      <c r="BL540" s="251" t="s">
        <v>569</v>
      </c>
      <c r="BQ540" s="27" t="s">
        <v>8429</v>
      </c>
      <c r="BR540" s="27" t="s">
        <v>8430</v>
      </c>
    </row>
    <row r="541" spans="2:70" ht="15">
      <c r="B541" s="84"/>
      <c r="D541" s="84"/>
      <c r="E541" s="84"/>
      <c r="F541" s="84"/>
      <c r="G541" s="84"/>
      <c r="R541" s="251"/>
      <c r="S541" s="251"/>
      <c r="BD541" s="399">
        <v>538</v>
      </c>
      <c r="BE541" s="399" t="s">
        <v>2123</v>
      </c>
      <c r="BF541" s="251" t="s">
        <v>2124</v>
      </c>
      <c r="BG541" s="399">
        <v>51</v>
      </c>
      <c r="BH541" s="252" t="s">
        <v>2125</v>
      </c>
      <c r="BI541" s="251" t="s">
        <v>334</v>
      </c>
      <c r="BJ541" s="251" t="s">
        <v>380</v>
      </c>
      <c r="BK541" s="251" t="s">
        <v>2126</v>
      </c>
      <c r="BL541" s="251" t="s">
        <v>730</v>
      </c>
      <c r="BQ541" s="27" t="s">
        <v>8431</v>
      </c>
      <c r="BR541" s="27" t="s">
        <v>7392</v>
      </c>
    </row>
    <row r="542" spans="2:70" ht="15">
      <c r="B542" s="84"/>
      <c r="D542" s="84"/>
      <c r="E542" s="84"/>
      <c r="F542" s="84"/>
      <c r="G542" s="84"/>
      <c r="R542" s="251"/>
      <c r="S542" s="251"/>
      <c r="BD542" s="399">
        <v>539</v>
      </c>
      <c r="BE542" s="399" t="s">
        <v>2127</v>
      </c>
      <c r="BF542" s="251" t="s">
        <v>2128</v>
      </c>
      <c r="BG542" s="399" t="s">
        <v>363</v>
      </c>
      <c r="BH542" s="252" t="s">
        <v>364</v>
      </c>
      <c r="BI542" s="251" t="s">
        <v>477</v>
      </c>
      <c r="BJ542" s="251" t="s">
        <v>390</v>
      </c>
      <c r="BK542" s="251" t="s">
        <v>2129</v>
      </c>
      <c r="BL542" s="251" t="s">
        <v>368</v>
      </c>
      <c r="BQ542" s="27" t="s">
        <v>8432</v>
      </c>
      <c r="BR542" s="27" t="s">
        <v>7391</v>
      </c>
    </row>
    <row r="543" spans="2:70" ht="15">
      <c r="B543" s="84"/>
      <c r="D543" s="84"/>
      <c r="E543" s="84"/>
      <c r="F543" s="84"/>
      <c r="G543" s="84"/>
      <c r="R543" s="251"/>
      <c r="S543" s="251"/>
      <c r="BD543" s="399">
        <v>540</v>
      </c>
      <c r="BE543" s="399" t="s">
        <v>2130</v>
      </c>
      <c r="BF543" s="251" t="s">
        <v>2131</v>
      </c>
      <c r="BG543" s="399" t="s">
        <v>469</v>
      </c>
      <c r="BH543" s="252" t="s">
        <v>470</v>
      </c>
      <c r="BI543" s="251" t="s">
        <v>357</v>
      </c>
      <c r="BJ543" s="251" t="s">
        <v>397</v>
      </c>
      <c r="BK543" s="251" t="s">
        <v>2132</v>
      </c>
      <c r="BL543" s="251" t="s">
        <v>472</v>
      </c>
      <c r="BQ543" s="27" t="s">
        <v>8433</v>
      </c>
      <c r="BR543" s="27" t="s">
        <v>7465</v>
      </c>
    </row>
    <row r="544" spans="2:70" ht="15">
      <c r="B544" s="84"/>
      <c r="D544" s="84"/>
      <c r="E544" s="84"/>
      <c r="F544" s="84"/>
      <c r="G544" s="84"/>
      <c r="R544" s="251"/>
      <c r="S544" s="251"/>
      <c r="BD544" s="399">
        <v>541</v>
      </c>
      <c r="BE544" s="399" t="s">
        <v>2133</v>
      </c>
      <c r="BF544" s="251" t="s">
        <v>2134</v>
      </c>
      <c r="BG544" s="399" t="s">
        <v>469</v>
      </c>
      <c r="BH544" s="252" t="s">
        <v>662</v>
      </c>
      <c r="BI544" s="251" t="s">
        <v>334</v>
      </c>
      <c r="BJ544" s="251" t="s">
        <v>366</v>
      </c>
      <c r="BK544" s="251" t="s">
        <v>2135</v>
      </c>
      <c r="BL544" s="251" t="s">
        <v>472</v>
      </c>
      <c r="BQ544" s="27" t="s">
        <v>8434</v>
      </c>
      <c r="BR544" s="27" t="s">
        <v>7460</v>
      </c>
    </row>
    <row r="545" spans="2:70" ht="15">
      <c r="B545" s="84"/>
      <c r="D545" s="84"/>
      <c r="E545" s="84"/>
      <c r="F545" s="84"/>
      <c r="G545" s="84"/>
      <c r="R545" s="251"/>
      <c r="S545" s="251"/>
      <c r="BD545" s="399">
        <v>542</v>
      </c>
      <c r="BE545" s="399" t="s">
        <v>2136</v>
      </c>
      <c r="BF545" s="251" t="s">
        <v>2137</v>
      </c>
      <c r="BG545" s="399" t="s">
        <v>777</v>
      </c>
      <c r="BH545" s="252">
        <v>21</v>
      </c>
      <c r="BI545" s="251" t="s">
        <v>456</v>
      </c>
      <c r="BJ545" s="251" t="s">
        <v>407</v>
      </c>
      <c r="BK545" s="251" t="s">
        <v>2138</v>
      </c>
      <c r="BL545" s="251" t="s">
        <v>780</v>
      </c>
      <c r="BQ545" s="27" t="s">
        <v>8435</v>
      </c>
      <c r="BR545" s="27" t="s">
        <v>8436</v>
      </c>
    </row>
    <row r="546" spans="2:70" ht="15">
      <c r="B546" s="84"/>
      <c r="D546" s="84"/>
      <c r="E546" s="84"/>
      <c r="F546" s="84"/>
      <c r="G546" s="84"/>
      <c r="R546" s="251"/>
      <c r="S546" s="251"/>
      <c r="BD546" s="399">
        <v>543</v>
      </c>
      <c r="BE546" s="399" t="s">
        <v>2139</v>
      </c>
      <c r="BF546" s="251" t="s">
        <v>2140</v>
      </c>
      <c r="BG546" s="399" t="s">
        <v>349</v>
      </c>
      <c r="BH546" s="252">
        <v>17</v>
      </c>
      <c r="BI546" s="251" t="s">
        <v>728</v>
      </c>
      <c r="BJ546" s="251" t="s">
        <v>385</v>
      </c>
      <c r="BK546" s="251" t="s">
        <v>2141</v>
      </c>
      <c r="BL546" s="251" t="s">
        <v>353</v>
      </c>
      <c r="BQ546" s="27" t="s">
        <v>8437</v>
      </c>
      <c r="BR546" s="27" t="s">
        <v>7488</v>
      </c>
    </row>
    <row r="547" spans="2:70" ht="15">
      <c r="B547" s="84"/>
      <c r="D547" s="84"/>
      <c r="E547" s="84"/>
      <c r="F547" s="84"/>
      <c r="G547" s="84"/>
      <c r="R547" s="251"/>
      <c r="S547" s="251"/>
      <c r="BD547" s="399">
        <v>544</v>
      </c>
      <c r="BE547" s="399" t="s">
        <v>2142</v>
      </c>
      <c r="BF547" s="251" t="s">
        <v>2143</v>
      </c>
      <c r="BG547" s="399" t="s">
        <v>623</v>
      </c>
      <c r="BH547" s="252" t="s">
        <v>624</v>
      </c>
      <c r="BI547" s="251" t="s">
        <v>379</v>
      </c>
      <c r="BJ547" s="251" t="s">
        <v>380</v>
      </c>
      <c r="BK547" s="251" t="s">
        <v>2144</v>
      </c>
      <c r="BL547" s="251" t="s">
        <v>626</v>
      </c>
      <c r="BQ547" s="27" t="s">
        <v>8438</v>
      </c>
      <c r="BR547" s="27" t="s">
        <v>8439</v>
      </c>
    </row>
    <row r="548" spans="2:70" ht="15">
      <c r="B548" s="84"/>
      <c r="D548" s="84"/>
      <c r="E548" s="84"/>
      <c r="F548" s="84"/>
      <c r="G548" s="84"/>
      <c r="R548" s="251"/>
      <c r="S548" s="251"/>
      <c r="BD548" s="399">
        <v>545</v>
      </c>
      <c r="BE548" s="399" t="s">
        <v>2145</v>
      </c>
      <c r="BF548" s="251" t="s">
        <v>2146</v>
      </c>
      <c r="BG548" s="399" t="s">
        <v>455</v>
      </c>
      <c r="BH548" s="252">
        <v>35</v>
      </c>
      <c r="BI548" s="251" t="s">
        <v>333</v>
      </c>
      <c r="BJ548" s="251" t="s">
        <v>380</v>
      </c>
      <c r="BK548" s="251" t="s">
        <v>2147</v>
      </c>
      <c r="BL548" s="251" t="s">
        <v>458</v>
      </c>
      <c r="BQ548" s="27" t="s">
        <v>8283</v>
      </c>
      <c r="BR548" s="27" t="s">
        <v>8284</v>
      </c>
    </row>
    <row r="549" spans="2:70" ht="15">
      <c r="B549" s="84"/>
      <c r="D549" s="84"/>
      <c r="E549" s="84"/>
      <c r="F549" s="84"/>
      <c r="G549" s="84"/>
      <c r="R549" s="251"/>
      <c r="S549" s="251"/>
      <c r="BD549" s="399">
        <v>546</v>
      </c>
      <c r="BE549" s="399" t="s">
        <v>2148</v>
      </c>
      <c r="BF549" s="251" t="s">
        <v>2149</v>
      </c>
      <c r="BG549" s="399" t="s">
        <v>566</v>
      </c>
      <c r="BH549" s="252" t="s">
        <v>567</v>
      </c>
      <c r="BI549" s="251" t="s">
        <v>379</v>
      </c>
      <c r="BJ549" s="251" t="s">
        <v>351</v>
      </c>
      <c r="BK549" s="251" t="s">
        <v>2150</v>
      </c>
      <c r="BL549" s="251" t="s">
        <v>569</v>
      </c>
      <c r="BQ549" s="27" t="s">
        <v>8285</v>
      </c>
      <c r="BR549" s="27" t="s">
        <v>8286</v>
      </c>
    </row>
    <row r="550" spans="2:70" ht="15">
      <c r="B550" s="84"/>
      <c r="D550" s="84"/>
      <c r="E550" s="84"/>
      <c r="F550" s="84"/>
      <c r="G550" s="84"/>
      <c r="R550" s="251"/>
      <c r="S550" s="251"/>
      <c r="BD550" s="399">
        <v>547</v>
      </c>
      <c r="BE550" s="399" t="s">
        <v>2151</v>
      </c>
      <c r="BF550" s="251" t="s">
        <v>2152</v>
      </c>
      <c r="BG550" s="399" t="s">
        <v>371</v>
      </c>
      <c r="BH550" s="252">
        <v>28</v>
      </c>
      <c r="BI550" s="251" t="s">
        <v>445</v>
      </c>
      <c r="BJ550" s="251" t="s">
        <v>366</v>
      </c>
      <c r="BK550" s="251" t="s">
        <v>2153</v>
      </c>
      <c r="BL550" s="251" t="s">
        <v>375</v>
      </c>
      <c r="BQ550" s="27" t="s">
        <v>8287</v>
      </c>
      <c r="BR550" s="27" t="s">
        <v>8288</v>
      </c>
    </row>
    <row r="551" spans="2:70" ht="15">
      <c r="B551" s="84"/>
      <c r="D551" s="84"/>
      <c r="E551" s="84"/>
      <c r="F551" s="84"/>
      <c r="G551" s="84"/>
      <c r="R551" s="251"/>
      <c r="S551" s="251"/>
      <c r="BD551" s="399">
        <v>548</v>
      </c>
      <c r="BE551" s="399" t="s">
        <v>2154</v>
      </c>
      <c r="BF551" s="251" t="s">
        <v>2155</v>
      </c>
      <c r="BG551" s="399" t="s">
        <v>469</v>
      </c>
      <c r="BH551" s="252" t="s">
        <v>470</v>
      </c>
      <c r="BI551" s="251" t="s">
        <v>477</v>
      </c>
      <c r="BJ551" s="251" t="s">
        <v>390</v>
      </c>
      <c r="BK551" s="251" t="s">
        <v>2156</v>
      </c>
      <c r="BL551" s="251" t="s">
        <v>472</v>
      </c>
      <c r="BQ551" s="27" t="s">
        <v>8289</v>
      </c>
      <c r="BR551" s="27" t="s">
        <v>8290</v>
      </c>
    </row>
    <row r="552" spans="2:70" ht="15">
      <c r="B552" s="84"/>
      <c r="D552" s="84"/>
      <c r="E552" s="84"/>
      <c r="F552" s="84"/>
      <c r="G552" s="84"/>
      <c r="R552" s="251"/>
      <c r="S552" s="251"/>
      <c r="BD552" s="399">
        <v>549</v>
      </c>
      <c r="BE552" s="399" t="s">
        <v>2157</v>
      </c>
      <c r="BF552" s="251" t="s">
        <v>2158</v>
      </c>
      <c r="BG552" s="399" t="s">
        <v>395</v>
      </c>
      <c r="BH552" s="252">
        <v>16</v>
      </c>
      <c r="BI552" s="251" t="s">
        <v>2159</v>
      </c>
      <c r="BJ552" s="251" t="s">
        <v>2032</v>
      </c>
      <c r="BK552" s="251" t="s">
        <v>2160</v>
      </c>
      <c r="BL552" s="251" t="s">
        <v>399</v>
      </c>
      <c r="BQ552" s="27" t="s">
        <v>8291</v>
      </c>
      <c r="BR552" s="27" t="s">
        <v>8292</v>
      </c>
    </row>
    <row r="553" spans="2:70" ht="15">
      <c r="B553" s="84"/>
      <c r="D553" s="84"/>
      <c r="E553" s="84"/>
      <c r="F553" s="84"/>
      <c r="G553" s="84"/>
      <c r="R553" s="251"/>
      <c r="S553" s="251"/>
      <c r="BD553" s="399">
        <v>550</v>
      </c>
      <c r="BE553" s="399" t="s">
        <v>2161</v>
      </c>
      <c r="BF553" s="251" t="s">
        <v>2162</v>
      </c>
      <c r="BG553" s="399" t="s">
        <v>519</v>
      </c>
      <c r="BH553" s="252">
        <v>30</v>
      </c>
      <c r="BI553" s="251" t="s">
        <v>477</v>
      </c>
      <c r="BJ553" s="251" t="s">
        <v>385</v>
      </c>
      <c r="BK553" s="251" t="s">
        <v>2163</v>
      </c>
      <c r="BL553" s="251" t="s">
        <v>521</v>
      </c>
      <c r="BQ553" s="27" t="s">
        <v>8293</v>
      </c>
      <c r="BR553" s="27" t="s">
        <v>8294</v>
      </c>
    </row>
    <row r="554" spans="2:70" ht="15">
      <c r="B554" s="84"/>
      <c r="D554" s="84"/>
      <c r="E554" s="84"/>
      <c r="F554" s="84"/>
      <c r="G554" s="84"/>
      <c r="R554" s="251"/>
      <c r="S554" s="251"/>
      <c r="BD554" s="399">
        <v>551</v>
      </c>
      <c r="BE554" s="399" t="s">
        <v>2164</v>
      </c>
      <c r="BF554" s="251" t="s">
        <v>2165</v>
      </c>
      <c r="BG554" s="399" t="s">
        <v>349</v>
      </c>
      <c r="BH554" s="252">
        <v>17</v>
      </c>
      <c r="BI554" s="251" t="s">
        <v>491</v>
      </c>
      <c r="BJ554" s="251" t="s">
        <v>407</v>
      </c>
      <c r="BK554" s="251" t="s">
        <v>2166</v>
      </c>
      <c r="BL554" s="251" t="s">
        <v>353</v>
      </c>
      <c r="BQ554" s="27" t="s">
        <v>8295</v>
      </c>
      <c r="BR554" s="27" t="s">
        <v>8296</v>
      </c>
    </row>
    <row r="555" spans="2:70" ht="15">
      <c r="B555" s="84"/>
      <c r="D555" s="84"/>
      <c r="E555" s="84"/>
      <c r="F555" s="84"/>
      <c r="G555" s="84"/>
      <c r="R555" s="251"/>
      <c r="S555" s="251"/>
      <c r="BD555" s="399">
        <v>552</v>
      </c>
      <c r="BE555" s="399" t="s">
        <v>2167</v>
      </c>
      <c r="BF555" s="251" t="s">
        <v>2168</v>
      </c>
      <c r="BG555" s="399" t="s">
        <v>449</v>
      </c>
      <c r="BH555" s="252">
        <v>43</v>
      </c>
      <c r="BI555" s="251" t="s">
        <v>331</v>
      </c>
      <c r="BJ555" s="251" t="s">
        <v>385</v>
      </c>
      <c r="BK555" s="251" t="s">
        <v>2169</v>
      </c>
      <c r="BL555" s="251" t="s">
        <v>452</v>
      </c>
      <c r="BQ555" s="27" t="s">
        <v>8297</v>
      </c>
      <c r="BR555" s="27" t="s">
        <v>7376</v>
      </c>
    </row>
    <row r="556" spans="2:70" ht="15">
      <c r="B556" s="84"/>
      <c r="D556" s="84"/>
      <c r="E556" s="84"/>
      <c r="F556" s="84"/>
      <c r="G556" s="84"/>
      <c r="R556" s="251"/>
      <c r="S556" s="251"/>
      <c r="BD556" s="399">
        <v>553</v>
      </c>
      <c r="BE556" s="399" t="s">
        <v>2170</v>
      </c>
      <c r="BF556" s="251" t="s">
        <v>2171</v>
      </c>
      <c r="BG556" s="399" t="s">
        <v>623</v>
      </c>
      <c r="BH556" s="252">
        <v>40</v>
      </c>
      <c r="BI556" s="251" t="s">
        <v>331</v>
      </c>
      <c r="BJ556" s="251" t="s">
        <v>397</v>
      </c>
      <c r="BK556" s="251" t="s">
        <v>2172</v>
      </c>
      <c r="BL556" s="251" t="s">
        <v>626</v>
      </c>
      <c r="BQ556" s="27" t="s">
        <v>8298</v>
      </c>
      <c r="BR556" s="27" t="s">
        <v>8299</v>
      </c>
    </row>
    <row r="557" spans="2:70" ht="15">
      <c r="B557" s="84"/>
      <c r="D557" s="84"/>
      <c r="E557" s="84"/>
      <c r="F557" s="84"/>
      <c r="G557" s="84"/>
      <c r="R557" s="251"/>
      <c r="S557" s="251"/>
      <c r="BD557" s="399">
        <v>554</v>
      </c>
      <c r="BE557" s="399" t="s">
        <v>2173</v>
      </c>
      <c r="BF557" s="251" t="s">
        <v>2174</v>
      </c>
      <c r="BG557" s="399" t="s">
        <v>356</v>
      </c>
      <c r="BH557" s="252">
        <v>18</v>
      </c>
      <c r="BI557" s="251" t="s">
        <v>334</v>
      </c>
      <c r="BJ557" s="251" t="s">
        <v>380</v>
      </c>
      <c r="BK557" s="251" t="s">
        <v>2175</v>
      </c>
      <c r="BL557" s="251" t="s">
        <v>360</v>
      </c>
      <c r="BQ557" s="27" t="s">
        <v>8300</v>
      </c>
      <c r="BR557" s="27" t="s">
        <v>8301</v>
      </c>
    </row>
    <row r="558" spans="2:70" ht="15">
      <c r="B558" s="84"/>
      <c r="D558" s="84"/>
      <c r="E558" s="84"/>
      <c r="F558" s="84"/>
      <c r="G558" s="84"/>
      <c r="R558" s="251"/>
      <c r="S558" s="251"/>
      <c r="BD558" s="399">
        <v>555</v>
      </c>
      <c r="BE558" s="399" t="s">
        <v>2176</v>
      </c>
      <c r="BF558" s="251" t="s">
        <v>2177</v>
      </c>
      <c r="BG558" s="399" t="s">
        <v>475</v>
      </c>
      <c r="BH558" s="252" t="s">
        <v>510</v>
      </c>
      <c r="BI558" s="251" t="s">
        <v>334</v>
      </c>
      <c r="BJ558" s="251" t="s">
        <v>539</v>
      </c>
      <c r="BK558" s="251" t="s">
        <v>2178</v>
      </c>
      <c r="BL558" s="251" t="s">
        <v>479</v>
      </c>
      <c r="BQ558" s="27" t="s">
        <v>8302</v>
      </c>
      <c r="BR558" s="27" t="s">
        <v>7389</v>
      </c>
    </row>
    <row r="559" spans="2:70" ht="15">
      <c r="B559" s="84"/>
      <c r="D559" s="84"/>
      <c r="E559" s="84"/>
      <c r="F559" s="84"/>
      <c r="G559" s="84"/>
      <c r="R559" s="251"/>
      <c r="S559" s="251"/>
      <c r="BD559" s="399">
        <v>556</v>
      </c>
      <c r="BE559" s="399" t="s">
        <v>2179</v>
      </c>
      <c r="BF559" s="251" t="s">
        <v>2180</v>
      </c>
      <c r="BG559" s="399" t="s">
        <v>519</v>
      </c>
      <c r="BH559" s="252">
        <v>30</v>
      </c>
      <c r="BI559" s="251" t="s">
        <v>331</v>
      </c>
      <c r="BJ559" s="251" t="s">
        <v>407</v>
      </c>
      <c r="BK559" s="251" t="s">
        <v>2181</v>
      </c>
      <c r="BL559" s="251" t="s">
        <v>521</v>
      </c>
      <c r="BQ559" s="27" t="s">
        <v>8303</v>
      </c>
      <c r="BR559" s="27" t="s">
        <v>7393</v>
      </c>
    </row>
    <row r="560" spans="2:70" ht="15">
      <c r="B560" s="84"/>
      <c r="D560" s="84"/>
      <c r="E560" s="84"/>
      <c r="F560" s="84"/>
      <c r="G560" s="84"/>
      <c r="R560" s="251"/>
      <c r="S560" s="251"/>
      <c r="BD560" s="399">
        <v>557</v>
      </c>
      <c r="BE560" s="399" t="s">
        <v>2182</v>
      </c>
      <c r="BF560" s="251" t="s">
        <v>2183</v>
      </c>
      <c r="BG560" s="399" t="s">
        <v>429</v>
      </c>
      <c r="BH560" s="252" t="s">
        <v>430</v>
      </c>
      <c r="BI560" s="251" t="s">
        <v>445</v>
      </c>
      <c r="BJ560" s="251" t="s">
        <v>397</v>
      </c>
      <c r="BK560" s="251" t="s">
        <v>2184</v>
      </c>
      <c r="BL560" s="251" t="s">
        <v>432</v>
      </c>
      <c r="BQ560" s="27" t="s">
        <v>8304</v>
      </c>
      <c r="BR560" s="27" t="s">
        <v>7397</v>
      </c>
    </row>
    <row r="561" spans="2:70" ht="15">
      <c r="B561" s="84"/>
      <c r="D561" s="84"/>
      <c r="E561" s="84"/>
      <c r="F561" s="84"/>
      <c r="G561" s="84"/>
      <c r="R561" s="251"/>
      <c r="S561" s="251"/>
      <c r="BD561" s="399">
        <v>558</v>
      </c>
      <c r="BE561" s="399" t="s">
        <v>2185</v>
      </c>
      <c r="BF561" s="251" t="s">
        <v>2186</v>
      </c>
      <c r="BG561" s="399" t="s">
        <v>566</v>
      </c>
      <c r="BH561" s="252" t="s">
        <v>567</v>
      </c>
      <c r="BI561" s="251" t="s">
        <v>798</v>
      </c>
      <c r="BJ561" s="251" t="s">
        <v>413</v>
      </c>
      <c r="BK561" s="251" t="s">
        <v>2187</v>
      </c>
      <c r="BL561" s="251" t="s">
        <v>569</v>
      </c>
      <c r="BQ561" s="27" t="s">
        <v>8305</v>
      </c>
      <c r="BR561" s="27" t="s">
        <v>8306</v>
      </c>
    </row>
    <row r="562" spans="2:70" ht="15">
      <c r="B562" s="84"/>
      <c r="D562" s="84"/>
      <c r="E562" s="84"/>
      <c r="F562" s="84"/>
      <c r="G562" s="84"/>
      <c r="R562" s="251"/>
      <c r="S562" s="251"/>
      <c r="BD562" s="399">
        <v>559</v>
      </c>
      <c r="BE562" s="399" t="s">
        <v>2188</v>
      </c>
      <c r="BF562" s="251" t="s">
        <v>2189</v>
      </c>
      <c r="BG562" s="399" t="s">
        <v>371</v>
      </c>
      <c r="BH562" s="252">
        <v>28</v>
      </c>
      <c r="BI562" s="251" t="s">
        <v>379</v>
      </c>
      <c r="BJ562" s="251" t="s">
        <v>385</v>
      </c>
      <c r="BK562" s="251" t="s">
        <v>2190</v>
      </c>
      <c r="BL562" s="251" t="s">
        <v>375</v>
      </c>
      <c r="BQ562" s="27" t="s">
        <v>8307</v>
      </c>
      <c r="BR562" s="27" t="s">
        <v>7473</v>
      </c>
    </row>
    <row r="563" spans="2:70" ht="15">
      <c r="B563" s="84"/>
      <c r="D563" s="84"/>
      <c r="E563" s="84"/>
      <c r="F563" s="84"/>
      <c r="G563" s="84"/>
      <c r="R563" s="251"/>
      <c r="S563" s="251"/>
      <c r="BD563" s="399">
        <v>560</v>
      </c>
      <c r="BE563" s="399" t="s">
        <v>2191</v>
      </c>
      <c r="BF563" s="251" t="s">
        <v>2192</v>
      </c>
      <c r="BG563" s="399" t="s">
        <v>590</v>
      </c>
      <c r="BH563" s="252" t="s">
        <v>2031</v>
      </c>
      <c r="BI563" s="251" t="s">
        <v>450</v>
      </c>
      <c r="BJ563" s="251" t="s">
        <v>539</v>
      </c>
      <c r="BK563" s="251" t="s">
        <v>2193</v>
      </c>
      <c r="BL563" s="251" t="s">
        <v>592</v>
      </c>
      <c r="BQ563" s="27" t="s">
        <v>8308</v>
      </c>
      <c r="BR563" s="27" t="s">
        <v>8309</v>
      </c>
    </row>
    <row r="564" spans="2:70" ht="15">
      <c r="B564" s="84"/>
      <c r="D564" s="84"/>
      <c r="E564" s="84"/>
      <c r="F564" s="84"/>
      <c r="G564" s="84"/>
      <c r="R564" s="251"/>
      <c r="S564" s="251"/>
      <c r="BD564" s="399">
        <v>561</v>
      </c>
      <c r="BE564" s="399" t="s">
        <v>2194</v>
      </c>
      <c r="BF564" s="251" t="s">
        <v>2195</v>
      </c>
      <c r="BG564" s="399" t="s">
        <v>378</v>
      </c>
      <c r="BH564" s="252">
        <v>11</v>
      </c>
      <c r="BI564" s="251" t="s">
        <v>334</v>
      </c>
      <c r="BJ564" s="251" t="s">
        <v>380</v>
      </c>
      <c r="BK564" s="251" t="s">
        <v>2196</v>
      </c>
      <c r="BL564" s="251" t="s">
        <v>382</v>
      </c>
      <c r="BQ564" s="27" t="s">
        <v>8310</v>
      </c>
      <c r="BR564" s="27" t="s">
        <v>7419</v>
      </c>
    </row>
    <row r="565" spans="2:70" ht="15">
      <c r="B565" s="84"/>
      <c r="D565" s="84"/>
      <c r="E565" s="84"/>
      <c r="F565" s="84"/>
      <c r="G565" s="84"/>
      <c r="R565" s="251"/>
      <c r="S565" s="251"/>
      <c r="BD565" s="399">
        <v>562</v>
      </c>
      <c r="BE565" s="399" t="s">
        <v>2197</v>
      </c>
      <c r="BF565" s="251" t="s">
        <v>2198</v>
      </c>
      <c r="BG565" s="399" t="s">
        <v>733</v>
      </c>
      <c r="BH565" s="252" t="s">
        <v>734</v>
      </c>
      <c r="BI565" s="251" t="s">
        <v>379</v>
      </c>
      <c r="BJ565" s="251" t="s">
        <v>397</v>
      </c>
      <c r="BK565" s="251" t="s">
        <v>2199</v>
      </c>
      <c r="BL565" s="251" t="s">
        <v>736</v>
      </c>
      <c r="BQ565" s="27" t="s">
        <v>8311</v>
      </c>
      <c r="BR565" s="27" t="s">
        <v>8312</v>
      </c>
    </row>
    <row r="566" spans="2:70" ht="15">
      <c r="B566" s="84"/>
      <c r="D566" s="84"/>
      <c r="E566" s="84"/>
      <c r="F566" s="84"/>
      <c r="G566" s="84"/>
      <c r="R566" s="251"/>
      <c r="S566" s="251"/>
      <c r="BD566" s="399">
        <v>563</v>
      </c>
      <c r="BE566" s="399" t="s">
        <v>2200</v>
      </c>
      <c r="BF566" s="251" t="s">
        <v>2201</v>
      </c>
      <c r="BG566" s="399" t="s">
        <v>423</v>
      </c>
      <c r="BH566" s="252" t="s">
        <v>424</v>
      </c>
      <c r="BI566" s="251" t="s">
        <v>331</v>
      </c>
      <c r="BJ566" s="251" t="s">
        <v>366</v>
      </c>
      <c r="BK566" s="251" t="s">
        <v>2202</v>
      </c>
      <c r="BL566" s="251" t="s">
        <v>426</v>
      </c>
      <c r="BQ566" s="27" t="s">
        <v>8313</v>
      </c>
      <c r="BR566" s="27" t="s">
        <v>7422</v>
      </c>
    </row>
    <row r="567" spans="2:70" ht="15">
      <c r="B567" s="84"/>
      <c r="D567" s="84"/>
      <c r="E567" s="84"/>
      <c r="F567" s="84"/>
      <c r="G567" s="84"/>
      <c r="R567" s="251"/>
      <c r="S567" s="251"/>
      <c r="BD567" s="399">
        <v>564</v>
      </c>
      <c r="BE567" s="399" t="s">
        <v>1067</v>
      </c>
      <c r="BF567" s="251" t="s">
        <v>2203</v>
      </c>
      <c r="BG567" s="399" t="s">
        <v>363</v>
      </c>
      <c r="BH567" s="252">
        <v>8</v>
      </c>
      <c r="BI567" s="251" t="s">
        <v>379</v>
      </c>
      <c r="BJ567" s="251" t="s">
        <v>380</v>
      </c>
      <c r="BK567" s="251" t="s">
        <v>2204</v>
      </c>
      <c r="BL567" s="251" t="s">
        <v>368</v>
      </c>
      <c r="BQ567" s="27" t="s">
        <v>8314</v>
      </c>
      <c r="BR567" s="27" t="s">
        <v>7421</v>
      </c>
    </row>
    <row r="568" spans="2:70" ht="15">
      <c r="B568" s="84"/>
      <c r="D568" s="84"/>
      <c r="E568" s="84"/>
      <c r="F568" s="84"/>
      <c r="G568" s="84"/>
      <c r="R568" s="251"/>
      <c r="S568" s="251"/>
      <c r="BD568" s="399">
        <v>565</v>
      </c>
      <c r="BE568" s="399" t="s">
        <v>2205</v>
      </c>
      <c r="BF568" s="251" t="s">
        <v>2206</v>
      </c>
      <c r="BG568" s="399" t="s">
        <v>363</v>
      </c>
      <c r="BH568" s="252" t="s">
        <v>364</v>
      </c>
      <c r="BI568" s="251" t="s">
        <v>450</v>
      </c>
      <c r="BJ568" s="251" t="s">
        <v>407</v>
      </c>
      <c r="BK568" s="251" t="s">
        <v>2207</v>
      </c>
      <c r="BL568" s="251" t="s">
        <v>368</v>
      </c>
      <c r="BQ568" s="27" t="s">
        <v>8315</v>
      </c>
      <c r="BR568" s="27" t="s">
        <v>7420</v>
      </c>
    </row>
    <row r="569" spans="2:70" ht="15">
      <c r="B569" s="84"/>
      <c r="D569" s="84"/>
      <c r="E569" s="84"/>
      <c r="F569" s="84"/>
      <c r="G569" s="84"/>
      <c r="R569" s="251"/>
      <c r="S569" s="251"/>
      <c r="BD569" s="399">
        <v>566</v>
      </c>
      <c r="BE569" s="399" t="s">
        <v>2208</v>
      </c>
      <c r="BF569" s="251" t="s">
        <v>2209</v>
      </c>
      <c r="BG569" s="399" t="s">
        <v>349</v>
      </c>
      <c r="BH569" s="252">
        <v>17</v>
      </c>
      <c r="BI569" s="251" t="s">
        <v>563</v>
      </c>
      <c r="BJ569" s="251" t="s">
        <v>366</v>
      </c>
      <c r="BK569" s="251" t="s">
        <v>2210</v>
      </c>
      <c r="BL569" s="251" t="s">
        <v>353</v>
      </c>
      <c r="BQ569" s="27" t="s">
        <v>8316</v>
      </c>
      <c r="BR569" s="27" t="s">
        <v>7437</v>
      </c>
    </row>
    <row r="570" spans="2:70" ht="15">
      <c r="B570" s="84"/>
      <c r="D570" s="84"/>
      <c r="E570" s="84"/>
      <c r="F570" s="84"/>
      <c r="G570" s="84"/>
      <c r="R570" s="251"/>
      <c r="S570" s="251"/>
      <c r="BD570" s="399">
        <v>567</v>
      </c>
      <c r="BE570" s="399" t="s">
        <v>2211</v>
      </c>
      <c r="BF570" s="251" t="s">
        <v>2212</v>
      </c>
      <c r="BG570" s="399" t="s">
        <v>405</v>
      </c>
      <c r="BH570" s="252" t="s">
        <v>412</v>
      </c>
      <c r="BI570" s="251" t="s">
        <v>1179</v>
      </c>
      <c r="BJ570" s="251" t="s">
        <v>351</v>
      </c>
      <c r="BK570" s="251" t="s">
        <v>2213</v>
      </c>
      <c r="BL570" s="251" t="s">
        <v>409</v>
      </c>
      <c r="BQ570" s="27" t="s">
        <v>8317</v>
      </c>
      <c r="BR570" s="27" t="s">
        <v>8318</v>
      </c>
    </row>
    <row r="571" spans="2:70" ht="15">
      <c r="B571" s="84"/>
      <c r="D571" s="84"/>
      <c r="E571" s="84"/>
      <c r="F571" s="84"/>
      <c r="G571" s="84"/>
      <c r="R571" s="251"/>
      <c r="S571" s="251"/>
      <c r="BD571" s="399">
        <v>568</v>
      </c>
      <c r="BE571" s="399" t="s">
        <v>2214</v>
      </c>
      <c r="BF571" s="251" t="s">
        <v>2215</v>
      </c>
      <c r="BG571" s="399" t="s">
        <v>469</v>
      </c>
      <c r="BH571" s="252" t="s">
        <v>470</v>
      </c>
      <c r="BI571" s="251" t="s">
        <v>2216</v>
      </c>
      <c r="BJ571" s="251" t="s">
        <v>413</v>
      </c>
      <c r="BK571" s="251" t="s">
        <v>2217</v>
      </c>
      <c r="BL571" s="251" t="s">
        <v>472</v>
      </c>
      <c r="BQ571" s="27" t="s">
        <v>8319</v>
      </c>
      <c r="BR571" s="27" t="s">
        <v>8320</v>
      </c>
    </row>
    <row r="572" spans="2:70" ht="15">
      <c r="B572" s="84"/>
      <c r="D572" s="84"/>
      <c r="E572" s="84"/>
      <c r="F572" s="84"/>
      <c r="G572" s="84"/>
      <c r="R572" s="251"/>
      <c r="S572" s="251"/>
      <c r="BD572" s="399">
        <v>569</v>
      </c>
      <c r="BE572" s="399" t="s">
        <v>2218</v>
      </c>
      <c r="BF572" s="251" t="s">
        <v>2219</v>
      </c>
      <c r="BG572" s="399" t="s">
        <v>733</v>
      </c>
      <c r="BH572" s="252">
        <v>42</v>
      </c>
      <c r="BI572" s="251" t="s">
        <v>379</v>
      </c>
      <c r="BJ572" s="251" t="s">
        <v>351</v>
      </c>
      <c r="BK572" s="251" t="s">
        <v>2220</v>
      </c>
      <c r="BL572" s="251" t="s">
        <v>736</v>
      </c>
      <c r="BQ572" s="27" t="s">
        <v>8321</v>
      </c>
      <c r="BR572" s="27" t="s">
        <v>8322</v>
      </c>
    </row>
    <row r="573" spans="2:70" ht="15">
      <c r="B573" s="84"/>
      <c r="D573" s="84"/>
      <c r="E573" s="84"/>
      <c r="F573" s="84"/>
      <c r="G573" s="84"/>
      <c r="R573" s="251"/>
      <c r="S573" s="251"/>
      <c r="BD573" s="399">
        <v>570</v>
      </c>
      <c r="BE573" s="399" t="s">
        <v>2221</v>
      </c>
      <c r="BF573" s="251" t="s">
        <v>2222</v>
      </c>
      <c r="BG573" s="399" t="s">
        <v>455</v>
      </c>
      <c r="BH573" s="252">
        <v>35</v>
      </c>
      <c r="BI573" s="251" t="s">
        <v>465</v>
      </c>
      <c r="BJ573" s="251" t="s">
        <v>413</v>
      </c>
      <c r="BK573" s="251" t="s">
        <v>2223</v>
      </c>
      <c r="BL573" s="251" t="s">
        <v>458</v>
      </c>
      <c r="BQ573" s="27" t="s">
        <v>8323</v>
      </c>
      <c r="BR573" s="27" t="s">
        <v>7446</v>
      </c>
    </row>
    <row r="574" spans="2:70" ht="15">
      <c r="B574" s="84"/>
      <c r="D574" s="84"/>
      <c r="E574" s="84"/>
      <c r="F574" s="84"/>
      <c r="G574" s="84"/>
      <c r="R574" s="251"/>
      <c r="S574" s="251"/>
      <c r="BD574" s="399">
        <v>571</v>
      </c>
      <c r="BE574" s="399" t="s">
        <v>2224</v>
      </c>
      <c r="BF574" s="251" t="s">
        <v>2225</v>
      </c>
      <c r="BG574" s="399" t="s">
        <v>405</v>
      </c>
      <c r="BH574" s="252" t="s">
        <v>528</v>
      </c>
      <c r="BI574" s="251" t="s">
        <v>450</v>
      </c>
      <c r="BJ574" s="251" t="s">
        <v>385</v>
      </c>
      <c r="BK574" s="251" t="s">
        <v>2226</v>
      </c>
      <c r="BL574" s="251" t="s">
        <v>409</v>
      </c>
      <c r="BQ574" s="27" t="s">
        <v>8324</v>
      </c>
      <c r="BR574" s="27" t="s">
        <v>8325</v>
      </c>
    </row>
    <row r="575" spans="2:70" ht="15">
      <c r="B575" s="84"/>
      <c r="D575" s="84"/>
      <c r="E575" s="84"/>
      <c r="F575" s="84"/>
      <c r="G575" s="84"/>
      <c r="R575" s="251"/>
      <c r="S575" s="251"/>
      <c r="BD575" s="399">
        <v>572</v>
      </c>
      <c r="BE575" s="399" t="s">
        <v>2227</v>
      </c>
      <c r="BF575" s="251" t="s">
        <v>2228</v>
      </c>
      <c r="BG575" s="399" t="s">
        <v>371</v>
      </c>
      <c r="BH575" s="252">
        <v>28</v>
      </c>
      <c r="BI575" s="251" t="s">
        <v>333</v>
      </c>
      <c r="BJ575" s="251" t="s">
        <v>539</v>
      </c>
      <c r="BK575" s="251" t="s">
        <v>2229</v>
      </c>
      <c r="BL575" s="251" t="s">
        <v>375</v>
      </c>
      <c r="BQ575" s="27" t="s">
        <v>8326</v>
      </c>
      <c r="BR575" s="27" t="s">
        <v>8327</v>
      </c>
    </row>
    <row r="576" spans="2:70" ht="15">
      <c r="B576" s="84"/>
      <c r="D576" s="84"/>
      <c r="E576" s="84"/>
      <c r="F576" s="84"/>
      <c r="G576" s="84"/>
      <c r="R576" s="251"/>
      <c r="S576" s="251"/>
      <c r="BD576" s="399">
        <v>573</v>
      </c>
      <c r="BE576" s="399" t="s">
        <v>2230</v>
      </c>
      <c r="BF576" s="251" t="s">
        <v>2231</v>
      </c>
      <c r="BG576" s="399" t="s">
        <v>405</v>
      </c>
      <c r="BH576" s="252" t="s">
        <v>830</v>
      </c>
      <c r="BI576" s="251" t="s">
        <v>333</v>
      </c>
      <c r="BJ576" s="251" t="s">
        <v>390</v>
      </c>
      <c r="BK576" s="251" t="s">
        <v>2232</v>
      </c>
      <c r="BL576" s="251" t="s">
        <v>409</v>
      </c>
      <c r="BQ576" s="27" t="s">
        <v>8328</v>
      </c>
      <c r="BR576" s="27" t="s">
        <v>8329</v>
      </c>
    </row>
    <row r="577" spans="2:70" ht="15">
      <c r="B577" s="84"/>
      <c r="D577" s="84"/>
      <c r="E577" s="84"/>
      <c r="F577" s="84"/>
      <c r="G577" s="84"/>
      <c r="R577" s="251"/>
      <c r="S577" s="251"/>
      <c r="BD577" s="399">
        <v>574</v>
      </c>
      <c r="BE577" s="399" t="s">
        <v>2233</v>
      </c>
      <c r="BF577" s="251" t="s">
        <v>2234</v>
      </c>
      <c r="BG577" s="399" t="s">
        <v>475</v>
      </c>
      <c r="BH577" s="252" t="s">
        <v>510</v>
      </c>
      <c r="BI577" s="251" t="s">
        <v>334</v>
      </c>
      <c r="BJ577" s="251" t="s">
        <v>385</v>
      </c>
      <c r="BK577" s="251" t="s">
        <v>2235</v>
      </c>
      <c r="BL577" s="251" t="s">
        <v>479</v>
      </c>
      <c r="BQ577" s="27" t="s">
        <v>8330</v>
      </c>
      <c r="BR577" s="27" t="s">
        <v>8331</v>
      </c>
    </row>
    <row r="578" spans="2:70" ht="15">
      <c r="B578" s="84"/>
      <c r="D578" s="84"/>
      <c r="E578" s="84"/>
      <c r="F578" s="84"/>
      <c r="G578" s="84"/>
      <c r="R578" s="251"/>
      <c r="S578" s="251"/>
      <c r="BD578" s="399">
        <v>575</v>
      </c>
      <c r="BE578" s="399" t="s">
        <v>2236</v>
      </c>
      <c r="BF578" s="251" t="s">
        <v>2237</v>
      </c>
      <c r="BG578" s="399" t="s">
        <v>623</v>
      </c>
      <c r="BH578" s="252">
        <v>40</v>
      </c>
      <c r="BI578" s="251" t="s">
        <v>379</v>
      </c>
      <c r="BJ578" s="251" t="s">
        <v>407</v>
      </c>
      <c r="BK578" s="251" t="s">
        <v>2238</v>
      </c>
      <c r="BL578" s="251" t="s">
        <v>626</v>
      </c>
      <c r="BQ578" s="27" t="s">
        <v>8440</v>
      </c>
      <c r="BR578" s="27" t="s">
        <v>8441</v>
      </c>
    </row>
    <row r="579" spans="2:70" ht="15">
      <c r="B579" s="84"/>
      <c r="D579" s="84"/>
      <c r="E579" s="84"/>
      <c r="F579" s="84"/>
      <c r="G579" s="84"/>
      <c r="R579" s="251"/>
      <c r="S579" s="251"/>
      <c r="BD579" s="399">
        <v>576</v>
      </c>
      <c r="BE579" s="399" t="s">
        <v>2239</v>
      </c>
      <c r="BF579" s="251" t="s">
        <v>2240</v>
      </c>
      <c r="BG579" s="399" t="s">
        <v>395</v>
      </c>
      <c r="BH579" s="252">
        <v>16</v>
      </c>
      <c r="BI579" s="251" t="s">
        <v>331</v>
      </c>
      <c r="BJ579" s="251" t="s">
        <v>385</v>
      </c>
      <c r="BK579" s="251" t="s">
        <v>2241</v>
      </c>
      <c r="BL579" s="251" t="s">
        <v>399</v>
      </c>
      <c r="BQ579" s="27" t="s">
        <v>8442</v>
      </c>
      <c r="BR579" s="27" t="s">
        <v>8443</v>
      </c>
    </row>
    <row r="580" spans="2:70" ht="15">
      <c r="B580" s="84"/>
      <c r="D580" s="84"/>
      <c r="E580" s="84"/>
      <c r="F580" s="84"/>
      <c r="G580" s="84"/>
      <c r="R580" s="251"/>
      <c r="S580" s="251"/>
      <c r="BD580" s="399">
        <v>577</v>
      </c>
      <c r="BE580" s="399" t="s">
        <v>2242</v>
      </c>
      <c r="BF580" s="251" t="s">
        <v>2243</v>
      </c>
      <c r="BG580" s="399" t="s">
        <v>475</v>
      </c>
      <c r="BH580" s="252" t="s">
        <v>534</v>
      </c>
      <c r="BI580" s="251" t="s">
        <v>333</v>
      </c>
      <c r="BJ580" s="251" t="s">
        <v>1855</v>
      </c>
      <c r="BK580" s="251" t="s">
        <v>2244</v>
      </c>
      <c r="BL580" s="251" t="s">
        <v>479</v>
      </c>
      <c r="BQ580" s="27" t="s">
        <v>8369</v>
      </c>
      <c r="BR580" s="27" t="s">
        <v>8370</v>
      </c>
    </row>
    <row r="581" spans="2:70" ht="15">
      <c r="B581" s="84"/>
      <c r="D581" s="84"/>
      <c r="E581" s="84"/>
      <c r="F581" s="84"/>
      <c r="G581" s="84"/>
      <c r="R581" s="251"/>
      <c r="S581" s="251"/>
      <c r="BD581" s="399">
        <v>578</v>
      </c>
      <c r="BE581" s="399" t="s">
        <v>2245</v>
      </c>
      <c r="BF581" s="251" t="s">
        <v>2246</v>
      </c>
      <c r="BG581" s="399" t="s">
        <v>489</v>
      </c>
      <c r="BH581" s="252" t="s">
        <v>958</v>
      </c>
      <c r="BI581" s="251" t="s">
        <v>379</v>
      </c>
      <c r="BJ581" s="251" t="s">
        <v>380</v>
      </c>
      <c r="BK581" s="251" t="s">
        <v>2247</v>
      </c>
      <c r="BL581" s="251" t="s">
        <v>493</v>
      </c>
      <c r="BQ581" s="27" t="s">
        <v>8444</v>
      </c>
      <c r="BR581" s="27" t="s">
        <v>8445</v>
      </c>
    </row>
    <row r="582" spans="2:70" ht="15">
      <c r="B582" s="84"/>
      <c r="D582" s="84"/>
      <c r="E582" s="84"/>
      <c r="F582" s="84"/>
      <c r="G582" s="84"/>
      <c r="R582" s="251"/>
      <c r="S582" s="251"/>
      <c r="BD582" s="399">
        <v>579</v>
      </c>
      <c r="BE582" s="399" t="s">
        <v>2248</v>
      </c>
      <c r="BF582" s="251" t="s">
        <v>2249</v>
      </c>
      <c r="BG582" s="399">
        <v>51</v>
      </c>
      <c r="BH582" s="252">
        <v>51</v>
      </c>
      <c r="BI582" s="251" t="s">
        <v>615</v>
      </c>
      <c r="BJ582" s="251" t="s">
        <v>385</v>
      </c>
      <c r="BK582" s="251" t="s">
        <v>2250</v>
      </c>
      <c r="BL582" s="251" t="s">
        <v>730</v>
      </c>
      <c r="BQ582" s="27" t="s">
        <v>8446</v>
      </c>
      <c r="BR582" s="27" t="s">
        <v>8447</v>
      </c>
    </row>
    <row r="583" spans="2:70" ht="15">
      <c r="B583" s="84"/>
      <c r="D583" s="84"/>
      <c r="E583" s="84"/>
      <c r="F583" s="84"/>
      <c r="G583" s="84"/>
      <c r="R583" s="251"/>
      <c r="S583" s="251"/>
      <c r="BD583" s="399">
        <v>580</v>
      </c>
      <c r="BE583" s="399" t="s">
        <v>2251</v>
      </c>
      <c r="BF583" s="251" t="s">
        <v>2252</v>
      </c>
      <c r="BG583" s="399" t="s">
        <v>435</v>
      </c>
      <c r="BH583" s="252" t="s">
        <v>436</v>
      </c>
      <c r="BI583" s="251" t="s">
        <v>728</v>
      </c>
      <c r="BJ583" s="251" t="s">
        <v>351</v>
      </c>
      <c r="BK583" s="251" t="s">
        <v>2253</v>
      </c>
      <c r="BL583" s="251" t="s">
        <v>439</v>
      </c>
      <c r="BQ583" s="27" t="s">
        <v>8448</v>
      </c>
      <c r="BR583" s="27" t="s">
        <v>8449</v>
      </c>
    </row>
    <row r="584" spans="2:70" ht="15">
      <c r="B584" s="84"/>
      <c r="D584" s="84"/>
      <c r="E584" s="84"/>
      <c r="F584" s="84"/>
      <c r="G584" s="84"/>
      <c r="R584" s="251"/>
      <c r="S584" s="251"/>
      <c r="BD584" s="399">
        <v>581</v>
      </c>
      <c r="BE584" s="399" t="s">
        <v>2254</v>
      </c>
      <c r="BF584" s="251" t="s">
        <v>2255</v>
      </c>
      <c r="BG584" s="399" t="s">
        <v>435</v>
      </c>
      <c r="BH584" s="252" t="s">
        <v>681</v>
      </c>
      <c r="BI584" s="251" t="s">
        <v>2256</v>
      </c>
      <c r="BJ584" s="251" t="s">
        <v>351</v>
      </c>
      <c r="BK584" s="251" t="s">
        <v>2257</v>
      </c>
      <c r="BL584" s="251" t="s">
        <v>439</v>
      </c>
      <c r="BQ584" s="27" t="s">
        <v>8450</v>
      </c>
      <c r="BR584" s="27" t="s">
        <v>8451</v>
      </c>
    </row>
    <row r="585" spans="2:70" ht="15">
      <c r="B585" s="84"/>
      <c r="D585" s="84"/>
      <c r="E585" s="84"/>
      <c r="F585" s="84"/>
      <c r="G585" s="84"/>
      <c r="R585" s="251"/>
      <c r="S585" s="251"/>
      <c r="BD585" s="399">
        <v>582</v>
      </c>
      <c r="BE585" s="399" t="s">
        <v>2258</v>
      </c>
      <c r="BF585" s="251" t="s">
        <v>2259</v>
      </c>
      <c r="BG585" s="399" t="s">
        <v>469</v>
      </c>
      <c r="BH585" s="252" t="s">
        <v>470</v>
      </c>
      <c r="BI585" s="251" t="s">
        <v>563</v>
      </c>
      <c r="BJ585" s="251" t="s">
        <v>407</v>
      </c>
      <c r="BK585" s="251" t="s">
        <v>2260</v>
      </c>
      <c r="BL585" s="251" t="s">
        <v>472</v>
      </c>
      <c r="BQ585" s="27" t="s">
        <v>8452</v>
      </c>
      <c r="BR585" s="27" t="s">
        <v>8453</v>
      </c>
    </row>
    <row r="586" spans="2:70" ht="15">
      <c r="B586" s="84"/>
      <c r="D586" s="84"/>
      <c r="E586" s="84"/>
      <c r="F586" s="84"/>
      <c r="G586" s="84"/>
      <c r="R586" s="251"/>
      <c r="S586" s="251"/>
      <c r="BD586" s="399">
        <v>583</v>
      </c>
      <c r="BE586" s="399" t="s">
        <v>2261</v>
      </c>
      <c r="BF586" s="251" t="s">
        <v>2262</v>
      </c>
      <c r="BG586" s="399" t="s">
        <v>733</v>
      </c>
      <c r="BH586" s="252" t="s">
        <v>734</v>
      </c>
      <c r="BI586" s="251" t="s">
        <v>563</v>
      </c>
      <c r="BJ586" s="251" t="s">
        <v>397</v>
      </c>
      <c r="BK586" s="251" t="s">
        <v>2263</v>
      </c>
      <c r="BL586" s="251" t="s">
        <v>736</v>
      </c>
      <c r="BQ586" s="27" t="s">
        <v>8454</v>
      </c>
      <c r="BR586" s="27" t="s">
        <v>8455</v>
      </c>
    </row>
    <row r="587" spans="2:70" ht="15">
      <c r="B587" s="84"/>
      <c r="D587" s="84"/>
      <c r="E587" s="84"/>
      <c r="F587" s="84"/>
      <c r="G587" s="84"/>
      <c r="R587" s="251"/>
      <c r="S587" s="251"/>
      <c r="BD587" s="399">
        <v>584</v>
      </c>
      <c r="BE587" s="399" t="s">
        <v>2264</v>
      </c>
      <c r="BF587" s="251" t="s">
        <v>2265</v>
      </c>
      <c r="BG587" s="399" t="s">
        <v>371</v>
      </c>
      <c r="BH587" s="252">
        <v>28</v>
      </c>
      <c r="BI587" s="251" t="s">
        <v>334</v>
      </c>
      <c r="BJ587" s="251" t="s">
        <v>351</v>
      </c>
      <c r="BK587" s="251" t="s">
        <v>2266</v>
      </c>
      <c r="BL587" s="251" t="s">
        <v>375</v>
      </c>
      <c r="BQ587" s="27" t="s">
        <v>8456</v>
      </c>
      <c r="BR587" s="27" t="s">
        <v>8457</v>
      </c>
    </row>
    <row r="588" spans="2:70" ht="15">
      <c r="B588" s="84"/>
      <c r="D588" s="84"/>
      <c r="E588" s="84"/>
      <c r="F588" s="84"/>
      <c r="G588" s="84"/>
      <c r="R588" s="251"/>
      <c r="S588" s="251"/>
      <c r="BD588" s="399">
        <v>585</v>
      </c>
      <c r="BE588" s="399" t="s">
        <v>2267</v>
      </c>
      <c r="BF588" s="251" t="s">
        <v>2268</v>
      </c>
      <c r="BG588" s="399" t="s">
        <v>405</v>
      </c>
      <c r="BH588" s="252" t="s">
        <v>528</v>
      </c>
      <c r="BI588" s="251" t="s">
        <v>798</v>
      </c>
      <c r="BJ588" s="251" t="s">
        <v>530</v>
      </c>
      <c r="BK588" s="251" t="s">
        <v>2269</v>
      </c>
      <c r="BL588" s="251" t="s">
        <v>409</v>
      </c>
      <c r="BQ588" s="27" t="s">
        <v>8458</v>
      </c>
      <c r="BR588" s="27" t="s">
        <v>8459</v>
      </c>
    </row>
    <row r="589" spans="2:70" ht="15">
      <c r="B589" s="84"/>
      <c r="D589" s="84"/>
      <c r="E589" s="84"/>
      <c r="F589" s="84"/>
      <c r="G589" s="84"/>
      <c r="R589" s="251"/>
      <c r="S589" s="251"/>
      <c r="BD589" s="399">
        <v>586</v>
      </c>
      <c r="BE589" s="399" t="s">
        <v>2270</v>
      </c>
      <c r="BF589" s="251" t="s">
        <v>2271</v>
      </c>
      <c r="BG589" s="399" t="s">
        <v>475</v>
      </c>
      <c r="BH589" s="252" t="s">
        <v>510</v>
      </c>
      <c r="BI589" s="251" t="s">
        <v>2272</v>
      </c>
      <c r="BJ589" s="251" t="s">
        <v>413</v>
      </c>
      <c r="BK589" s="251" t="s">
        <v>2273</v>
      </c>
      <c r="BL589" s="251" t="s">
        <v>479</v>
      </c>
      <c r="BQ589" s="27" t="s">
        <v>8460</v>
      </c>
      <c r="BR589" s="27" t="s">
        <v>8461</v>
      </c>
    </row>
    <row r="590" spans="2:70" ht="15">
      <c r="B590" s="84"/>
      <c r="D590" s="84"/>
      <c r="E590" s="84"/>
      <c r="F590" s="84"/>
      <c r="G590" s="84"/>
      <c r="R590" s="251"/>
      <c r="S590" s="251"/>
      <c r="BD590" s="399">
        <v>587</v>
      </c>
      <c r="BE590" s="399" t="s">
        <v>2274</v>
      </c>
      <c r="BF590" s="251" t="s">
        <v>2275</v>
      </c>
      <c r="BG590" s="399" t="s">
        <v>423</v>
      </c>
      <c r="BH590" s="252" t="s">
        <v>424</v>
      </c>
      <c r="BI590" s="251" t="s">
        <v>445</v>
      </c>
      <c r="BJ590" s="251" t="s">
        <v>351</v>
      </c>
      <c r="BK590" s="251" t="s">
        <v>2276</v>
      </c>
      <c r="BL590" s="251" t="s">
        <v>426</v>
      </c>
      <c r="BQ590" s="27" t="s">
        <v>8462</v>
      </c>
      <c r="BR590" s="27" t="s">
        <v>8463</v>
      </c>
    </row>
    <row r="591" spans="2:70" ht="15">
      <c r="B591" s="84"/>
      <c r="D591" s="84"/>
      <c r="E591" s="84"/>
      <c r="F591" s="84"/>
      <c r="G591" s="84"/>
      <c r="R591" s="251"/>
      <c r="S591" s="251"/>
      <c r="BD591" s="399">
        <v>588</v>
      </c>
      <c r="BE591" s="399" t="s">
        <v>2277</v>
      </c>
      <c r="BF591" s="251" t="s">
        <v>2278</v>
      </c>
      <c r="BG591" s="399" t="s">
        <v>378</v>
      </c>
      <c r="BH591" s="252">
        <v>11</v>
      </c>
      <c r="BI591" s="251" t="s">
        <v>365</v>
      </c>
      <c r="BJ591" s="251" t="s">
        <v>351</v>
      </c>
      <c r="BK591" s="251" t="s">
        <v>2279</v>
      </c>
      <c r="BL591" s="251" t="s">
        <v>382</v>
      </c>
      <c r="BQ591" s="27" t="s">
        <v>8464</v>
      </c>
      <c r="BR591" s="27" t="s">
        <v>8465</v>
      </c>
    </row>
    <row r="592" spans="2:70" ht="15">
      <c r="B592" s="84"/>
      <c r="D592" s="84"/>
      <c r="E592" s="84"/>
      <c r="F592" s="84"/>
      <c r="G592" s="84"/>
      <c r="R592" s="251"/>
      <c r="S592" s="251"/>
      <c r="BD592" s="399">
        <v>589</v>
      </c>
      <c r="BE592" s="399" t="s">
        <v>2280</v>
      </c>
      <c r="BF592" s="251" t="s">
        <v>2281</v>
      </c>
      <c r="BG592" s="399" t="s">
        <v>389</v>
      </c>
      <c r="BH592" s="252">
        <v>39</v>
      </c>
      <c r="BI592" s="251" t="s">
        <v>450</v>
      </c>
      <c r="BJ592" s="251" t="s">
        <v>413</v>
      </c>
      <c r="BK592" s="251" t="s">
        <v>2282</v>
      </c>
      <c r="BL592" s="251" t="s">
        <v>392</v>
      </c>
      <c r="BQ592" s="27" t="s">
        <v>8466</v>
      </c>
      <c r="BR592" s="27" t="s">
        <v>8467</v>
      </c>
    </row>
    <row r="593" spans="2:70" ht="15">
      <c r="B593" s="84"/>
      <c r="D593" s="84"/>
      <c r="E593" s="84"/>
      <c r="F593" s="84"/>
      <c r="G593" s="84"/>
      <c r="R593" s="251"/>
      <c r="S593" s="251"/>
      <c r="BD593" s="399">
        <v>590</v>
      </c>
      <c r="BE593" s="399" t="s">
        <v>2283</v>
      </c>
      <c r="BF593" s="251" t="s">
        <v>2284</v>
      </c>
      <c r="BG593" s="399" t="s">
        <v>405</v>
      </c>
      <c r="BH593" s="252" t="s">
        <v>528</v>
      </c>
      <c r="BI593" s="251" t="s">
        <v>477</v>
      </c>
      <c r="BJ593" s="251" t="s">
        <v>385</v>
      </c>
      <c r="BK593" s="251" t="s">
        <v>2285</v>
      </c>
      <c r="BL593" s="251" t="s">
        <v>409</v>
      </c>
      <c r="BQ593" s="27" t="s">
        <v>8468</v>
      </c>
      <c r="BR593" s="27" t="s">
        <v>8469</v>
      </c>
    </row>
    <row r="594" spans="2:70" ht="15">
      <c r="B594" s="84"/>
      <c r="D594" s="84"/>
      <c r="E594" s="84"/>
      <c r="F594" s="84"/>
      <c r="G594" s="84"/>
      <c r="R594" s="251"/>
      <c r="S594" s="251"/>
      <c r="BD594" s="399">
        <v>591</v>
      </c>
      <c r="BE594" s="399" t="s">
        <v>1246</v>
      </c>
      <c r="BF594" s="251" t="s">
        <v>2286</v>
      </c>
      <c r="BG594" s="399" t="s">
        <v>363</v>
      </c>
      <c r="BH594" s="252" t="s">
        <v>575</v>
      </c>
      <c r="BI594" s="251" t="s">
        <v>332</v>
      </c>
      <c r="BJ594" s="251" t="s">
        <v>390</v>
      </c>
      <c r="BK594" s="251" t="s">
        <v>2287</v>
      </c>
      <c r="BL594" s="251" t="s">
        <v>368</v>
      </c>
      <c r="BQ594" s="27" t="s">
        <v>8470</v>
      </c>
      <c r="BR594" s="27" t="s">
        <v>8471</v>
      </c>
    </row>
    <row r="595" spans="2:70" ht="15">
      <c r="B595" s="84"/>
      <c r="D595" s="84"/>
      <c r="E595" s="84"/>
      <c r="F595" s="84"/>
      <c r="G595" s="84"/>
      <c r="R595" s="251"/>
      <c r="S595" s="251"/>
      <c r="BD595" s="399">
        <v>592</v>
      </c>
      <c r="BE595" s="399" t="s">
        <v>2288</v>
      </c>
      <c r="BF595" s="251" t="s">
        <v>2289</v>
      </c>
      <c r="BG595" s="399" t="s">
        <v>1688</v>
      </c>
      <c r="BH595" s="252">
        <v>50</v>
      </c>
      <c r="BI595" s="251" t="s">
        <v>334</v>
      </c>
      <c r="BJ595" s="251" t="s">
        <v>380</v>
      </c>
      <c r="BK595" s="251" t="s">
        <v>2290</v>
      </c>
      <c r="BL595" s="251" t="s">
        <v>1690</v>
      </c>
      <c r="BQ595" s="27" t="s">
        <v>8472</v>
      </c>
      <c r="BR595" s="27" t="s">
        <v>8473</v>
      </c>
    </row>
    <row r="596" spans="2:70" ht="15">
      <c r="B596" s="84"/>
      <c r="D596" s="84"/>
      <c r="E596" s="84"/>
      <c r="F596" s="84"/>
      <c r="G596" s="84"/>
      <c r="R596" s="251"/>
      <c r="S596" s="251"/>
      <c r="BD596" s="399">
        <v>593</v>
      </c>
      <c r="BE596" s="399" t="s">
        <v>2291</v>
      </c>
      <c r="BF596" s="251" t="s">
        <v>2292</v>
      </c>
      <c r="BG596" s="399" t="s">
        <v>733</v>
      </c>
      <c r="BH596" s="252">
        <v>42</v>
      </c>
      <c r="BI596" s="251" t="s">
        <v>350</v>
      </c>
      <c r="BJ596" s="251" t="s">
        <v>366</v>
      </c>
      <c r="BK596" s="251" t="s">
        <v>2293</v>
      </c>
      <c r="BL596" s="251" t="s">
        <v>736</v>
      </c>
      <c r="BQ596" s="27" t="s">
        <v>8448</v>
      </c>
      <c r="BR596" s="27" t="s">
        <v>8449</v>
      </c>
    </row>
    <row r="597" spans="2:70" ht="15">
      <c r="B597" s="84"/>
      <c r="D597" s="84"/>
      <c r="E597" s="84"/>
      <c r="F597" s="84"/>
      <c r="G597" s="84"/>
      <c r="R597" s="251"/>
      <c r="S597" s="251"/>
      <c r="BD597" s="399">
        <v>594</v>
      </c>
      <c r="BE597" s="399" t="s">
        <v>2294</v>
      </c>
      <c r="BF597" s="251" t="s">
        <v>2295</v>
      </c>
      <c r="BG597" s="399" t="s">
        <v>371</v>
      </c>
      <c r="BH597" s="252" t="s">
        <v>2296</v>
      </c>
      <c r="BI597" s="251" t="s">
        <v>333</v>
      </c>
      <c r="BJ597" s="251" t="s">
        <v>380</v>
      </c>
      <c r="BK597" s="251" t="s">
        <v>2297</v>
      </c>
      <c r="BL597" s="251" t="s">
        <v>375</v>
      </c>
      <c r="BQ597" s="27" t="s">
        <v>8474</v>
      </c>
      <c r="BR597" s="27" t="s">
        <v>8475</v>
      </c>
    </row>
    <row r="598" spans="2:70" ht="15">
      <c r="B598" s="84"/>
      <c r="D598" s="84"/>
      <c r="E598" s="84"/>
      <c r="F598" s="84"/>
      <c r="G598" s="84"/>
      <c r="R598" s="251"/>
      <c r="S598" s="251"/>
      <c r="BD598" s="399">
        <v>595</v>
      </c>
      <c r="BE598" s="399" t="s">
        <v>2298</v>
      </c>
      <c r="BF598" s="251" t="s">
        <v>2299</v>
      </c>
      <c r="BG598" s="399" t="s">
        <v>395</v>
      </c>
      <c r="BH598" s="252">
        <v>16</v>
      </c>
      <c r="BI598" s="251" t="s">
        <v>331</v>
      </c>
      <c r="BJ598" s="251" t="s">
        <v>397</v>
      </c>
      <c r="BK598" s="251" t="s">
        <v>2300</v>
      </c>
      <c r="BL598" s="251" t="s">
        <v>399</v>
      </c>
      <c r="BQ598" s="27" t="s">
        <v>8476</v>
      </c>
      <c r="BR598" s="27" t="s">
        <v>8477</v>
      </c>
    </row>
    <row r="599" spans="2:70" ht="15">
      <c r="B599" s="84"/>
      <c r="D599" s="84"/>
      <c r="E599" s="84"/>
      <c r="F599" s="84"/>
      <c r="G599" s="84"/>
      <c r="R599" s="251"/>
      <c r="S599" s="251"/>
      <c r="BD599" s="399">
        <v>596</v>
      </c>
      <c r="BE599" s="399" t="s">
        <v>2301</v>
      </c>
      <c r="BF599" s="251" t="s">
        <v>2302</v>
      </c>
      <c r="BG599" s="399" t="s">
        <v>363</v>
      </c>
      <c r="BH599" s="252" t="s">
        <v>364</v>
      </c>
      <c r="BI599" s="251" t="s">
        <v>334</v>
      </c>
      <c r="BJ599" s="251" t="s">
        <v>366</v>
      </c>
      <c r="BK599" s="251" t="s">
        <v>2303</v>
      </c>
      <c r="BL599" s="251" t="s">
        <v>368</v>
      </c>
      <c r="BQ599" s="27" t="s">
        <v>8478</v>
      </c>
      <c r="BR599" s="27" t="s">
        <v>8479</v>
      </c>
    </row>
    <row r="600" spans="2:70" ht="15">
      <c r="B600" s="84"/>
      <c r="D600" s="84"/>
      <c r="E600" s="84"/>
      <c r="F600" s="84"/>
      <c r="G600" s="84"/>
      <c r="R600" s="251"/>
      <c r="S600" s="251"/>
      <c r="BD600" s="399">
        <v>597</v>
      </c>
      <c r="BE600" s="399" t="s">
        <v>2304</v>
      </c>
      <c r="BF600" s="251" t="s">
        <v>2305</v>
      </c>
      <c r="BG600" s="399" t="s">
        <v>378</v>
      </c>
      <c r="BH600" s="252">
        <v>11</v>
      </c>
      <c r="BI600" s="251" t="s">
        <v>563</v>
      </c>
      <c r="BJ600" s="251" t="s">
        <v>407</v>
      </c>
      <c r="BK600" s="251" t="s">
        <v>2306</v>
      </c>
      <c r="BL600" s="251" t="s">
        <v>382</v>
      </c>
      <c r="BQ600" s="27" t="s">
        <v>8480</v>
      </c>
      <c r="BR600" s="27" t="s">
        <v>8481</v>
      </c>
    </row>
    <row r="601" spans="2:70" ht="15">
      <c r="B601" s="84"/>
      <c r="D601" s="84"/>
      <c r="E601" s="84"/>
      <c r="F601" s="84"/>
      <c r="G601" s="84"/>
      <c r="R601" s="251"/>
      <c r="S601" s="251"/>
      <c r="BD601" s="399">
        <v>598</v>
      </c>
      <c r="BE601" s="399" t="s">
        <v>2307</v>
      </c>
      <c r="BF601" s="251" t="s">
        <v>2308</v>
      </c>
      <c r="BG601" s="399" t="s">
        <v>405</v>
      </c>
      <c r="BH601" s="252" t="s">
        <v>643</v>
      </c>
      <c r="BI601" s="251" t="s">
        <v>331</v>
      </c>
      <c r="BJ601" s="251" t="s">
        <v>380</v>
      </c>
      <c r="BK601" s="251" t="s">
        <v>2309</v>
      </c>
      <c r="BL601" s="251" t="s">
        <v>409</v>
      </c>
      <c r="BQ601" s="27" t="s">
        <v>8482</v>
      </c>
      <c r="BR601" s="27" t="s">
        <v>8483</v>
      </c>
    </row>
    <row r="602" spans="2:70" ht="15">
      <c r="B602" s="84"/>
      <c r="D602" s="84"/>
      <c r="E602" s="84"/>
      <c r="F602" s="84"/>
      <c r="G602" s="84"/>
      <c r="R602" s="251"/>
      <c r="S602" s="251"/>
      <c r="BD602" s="399">
        <v>599</v>
      </c>
      <c r="BE602" s="399" t="s">
        <v>2310</v>
      </c>
      <c r="BF602" s="251" t="s">
        <v>2311</v>
      </c>
      <c r="BG602" s="399" t="s">
        <v>363</v>
      </c>
      <c r="BH602" s="252" t="s">
        <v>364</v>
      </c>
      <c r="BI602" s="251" t="s">
        <v>647</v>
      </c>
      <c r="BJ602" s="251" t="s">
        <v>366</v>
      </c>
      <c r="BK602" s="251" t="s">
        <v>2312</v>
      </c>
      <c r="BL602" s="251" t="s">
        <v>368</v>
      </c>
      <c r="BQ602" s="27" t="s">
        <v>8484</v>
      </c>
      <c r="BR602" s="27" t="s">
        <v>8485</v>
      </c>
    </row>
    <row r="603" spans="2:70" ht="15">
      <c r="B603" s="84"/>
      <c r="D603" s="84"/>
      <c r="E603" s="84"/>
      <c r="F603" s="84"/>
      <c r="G603" s="84"/>
      <c r="R603" s="251"/>
      <c r="S603" s="251"/>
      <c r="BD603" s="399">
        <v>600</v>
      </c>
      <c r="BE603" s="399" t="s">
        <v>2313</v>
      </c>
      <c r="BF603" s="251" t="s">
        <v>2314</v>
      </c>
      <c r="BG603" s="399" t="s">
        <v>363</v>
      </c>
      <c r="BH603" s="252" t="s">
        <v>364</v>
      </c>
      <c r="BI603" s="251" t="s">
        <v>396</v>
      </c>
      <c r="BJ603" s="251" t="s">
        <v>380</v>
      </c>
      <c r="BK603" s="251" t="s">
        <v>2315</v>
      </c>
      <c r="BL603" s="251" t="s">
        <v>368</v>
      </c>
      <c r="BQ603" s="27" t="s">
        <v>8486</v>
      </c>
      <c r="BR603" s="27" t="s">
        <v>8487</v>
      </c>
    </row>
    <row r="604" spans="2:70" ht="15">
      <c r="B604" s="84"/>
      <c r="D604" s="84"/>
      <c r="E604" s="84"/>
      <c r="F604" s="84"/>
      <c r="G604" s="84"/>
      <c r="R604" s="251"/>
      <c r="S604" s="251"/>
      <c r="BD604" s="399">
        <v>601</v>
      </c>
      <c r="BE604" s="399" t="s">
        <v>2316</v>
      </c>
      <c r="BF604" s="251" t="s">
        <v>2317</v>
      </c>
      <c r="BG604" s="399" t="s">
        <v>429</v>
      </c>
      <c r="BH604" s="252" t="s">
        <v>430</v>
      </c>
      <c r="BI604" s="251" t="s">
        <v>350</v>
      </c>
      <c r="BJ604" s="251" t="s">
        <v>380</v>
      </c>
      <c r="BK604" s="251" t="s">
        <v>2318</v>
      </c>
      <c r="BL604" s="251" t="s">
        <v>432</v>
      </c>
      <c r="BQ604" s="27" t="s">
        <v>8488</v>
      </c>
      <c r="BR604" s="27" t="s">
        <v>8489</v>
      </c>
    </row>
    <row r="605" spans="2:70" ht="15">
      <c r="B605" s="84"/>
      <c r="D605" s="84"/>
      <c r="E605" s="84"/>
      <c r="F605" s="84"/>
      <c r="G605" s="84"/>
      <c r="R605" s="251"/>
      <c r="S605" s="251"/>
      <c r="BD605" s="399">
        <v>602</v>
      </c>
      <c r="BE605" s="399" t="s">
        <v>2319</v>
      </c>
      <c r="BF605" s="251" t="s">
        <v>2320</v>
      </c>
      <c r="BG605" s="399" t="s">
        <v>429</v>
      </c>
      <c r="BH605" s="252" t="s">
        <v>430</v>
      </c>
      <c r="BI605" s="251" t="s">
        <v>372</v>
      </c>
      <c r="BJ605" s="251" t="s">
        <v>413</v>
      </c>
      <c r="BK605" s="251" t="s">
        <v>2321</v>
      </c>
      <c r="BL605" s="251" t="s">
        <v>432</v>
      </c>
      <c r="BQ605" s="27" t="s">
        <v>8490</v>
      </c>
      <c r="BR605" s="27" t="s">
        <v>8491</v>
      </c>
    </row>
    <row r="606" spans="2:70" ht="15">
      <c r="B606" s="84"/>
      <c r="D606" s="84"/>
      <c r="E606" s="84"/>
      <c r="F606" s="84"/>
      <c r="G606" s="84"/>
      <c r="R606" s="251"/>
      <c r="S606" s="251"/>
      <c r="BD606" s="399">
        <v>603</v>
      </c>
      <c r="BE606" s="399" t="s">
        <v>2322</v>
      </c>
      <c r="BF606" s="251" t="s">
        <v>2323</v>
      </c>
      <c r="BG606" s="399" t="s">
        <v>469</v>
      </c>
      <c r="BH606" s="252" t="s">
        <v>470</v>
      </c>
      <c r="BI606" s="251" t="s">
        <v>1638</v>
      </c>
      <c r="BJ606" s="251" t="s">
        <v>390</v>
      </c>
      <c r="BK606" s="251" t="s">
        <v>2324</v>
      </c>
      <c r="BL606" s="251" t="s">
        <v>472</v>
      </c>
      <c r="BQ606" s="27" t="s">
        <v>8492</v>
      </c>
      <c r="BR606" s="27" t="s">
        <v>7382</v>
      </c>
    </row>
    <row r="607" spans="2:70" ht="15">
      <c r="B607" s="84"/>
      <c r="D607" s="84"/>
      <c r="E607" s="84"/>
      <c r="F607" s="84"/>
      <c r="G607" s="84"/>
      <c r="R607" s="251"/>
      <c r="S607" s="251"/>
      <c r="BD607" s="399">
        <v>604</v>
      </c>
      <c r="BE607" s="399" t="s">
        <v>2325</v>
      </c>
      <c r="BF607" s="251" t="s">
        <v>2326</v>
      </c>
      <c r="BG607" s="399" t="s">
        <v>519</v>
      </c>
      <c r="BH607" s="252">
        <v>30</v>
      </c>
      <c r="BI607" s="251" t="s">
        <v>379</v>
      </c>
      <c r="BJ607" s="251" t="s">
        <v>385</v>
      </c>
      <c r="BK607" s="251" t="s">
        <v>2327</v>
      </c>
      <c r="BL607" s="251" t="s">
        <v>521</v>
      </c>
      <c r="BQ607" s="27" t="s">
        <v>8493</v>
      </c>
      <c r="BR607" s="27" t="s">
        <v>8494</v>
      </c>
    </row>
    <row r="608" spans="2:70" ht="15">
      <c r="B608" s="84"/>
      <c r="D608" s="84"/>
      <c r="E608" s="84"/>
      <c r="F608" s="84"/>
      <c r="G608" s="84"/>
      <c r="R608" s="251"/>
      <c r="S608" s="251"/>
      <c r="BD608" s="399">
        <v>605</v>
      </c>
      <c r="BE608" s="399" t="s">
        <v>2328</v>
      </c>
      <c r="BF608" s="251" t="s">
        <v>2329</v>
      </c>
      <c r="BG608" s="399" t="s">
        <v>363</v>
      </c>
      <c r="BH608" s="252" t="s">
        <v>575</v>
      </c>
      <c r="BI608" s="251" t="s">
        <v>477</v>
      </c>
      <c r="BJ608" s="251" t="s">
        <v>380</v>
      </c>
      <c r="BK608" s="251" t="s">
        <v>2330</v>
      </c>
      <c r="BL608" s="251" t="s">
        <v>368</v>
      </c>
      <c r="BQ608" s="27" t="s">
        <v>8495</v>
      </c>
      <c r="BR608" s="27" t="s">
        <v>8496</v>
      </c>
    </row>
    <row r="609" spans="2:70" ht="15">
      <c r="B609" s="84"/>
      <c r="D609" s="84"/>
      <c r="E609" s="84"/>
      <c r="F609" s="84"/>
      <c r="G609" s="84"/>
      <c r="R609" s="251"/>
      <c r="S609" s="251"/>
      <c r="BD609" s="399">
        <v>606</v>
      </c>
      <c r="BE609" s="399" t="s">
        <v>2331</v>
      </c>
      <c r="BF609" s="251" t="s">
        <v>2332</v>
      </c>
      <c r="BG609" s="399" t="s">
        <v>0</v>
      </c>
      <c r="BH609" s="252">
        <v>48</v>
      </c>
      <c r="BI609" s="251" t="s">
        <v>331</v>
      </c>
      <c r="BJ609" s="251" t="s">
        <v>2333</v>
      </c>
      <c r="BK609" s="251" t="s">
        <v>2334</v>
      </c>
      <c r="BL609" s="251" t="s">
        <v>818</v>
      </c>
      <c r="BQ609" s="27" t="s">
        <v>8497</v>
      </c>
      <c r="BR609" s="27" t="s">
        <v>8498</v>
      </c>
    </row>
    <row r="610" spans="2:70" ht="15">
      <c r="B610" s="84"/>
      <c r="D610" s="84"/>
      <c r="E610" s="84"/>
      <c r="F610" s="84"/>
      <c r="G610" s="84"/>
      <c r="R610" s="251"/>
      <c r="S610" s="251"/>
      <c r="BD610" s="399">
        <v>607</v>
      </c>
      <c r="BE610" s="399" t="s">
        <v>2335</v>
      </c>
      <c r="BF610" s="251" t="s">
        <v>2336</v>
      </c>
      <c r="BG610" s="399" t="s">
        <v>469</v>
      </c>
      <c r="BH610" s="252" t="s">
        <v>662</v>
      </c>
      <c r="BI610" s="251" t="s">
        <v>333</v>
      </c>
      <c r="BJ610" s="251" t="s">
        <v>385</v>
      </c>
      <c r="BK610" s="251" t="s">
        <v>2337</v>
      </c>
      <c r="BL610" s="251" t="s">
        <v>472</v>
      </c>
      <c r="BQ610" s="27" t="s">
        <v>8499</v>
      </c>
      <c r="BR610" s="27" t="s">
        <v>7258</v>
      </c>
    </row>
    <row r="611" spans="2:70" ht="15">
      <c r="B611" s="84"/>
      <c r="D611" s="84"/>
      <c r="E611" s="84"/>
      <c r="F611" s="84"/>
      <c r="G611" s="84"/>
      <c r="R611" s="251"/>
      <c r="S611" s="251"/>
      <c r="BD611" s="399">
        <v>608</v>
      </c>
      <c r="BE611" s="399" t="s">
        <v>2338</v>
      </c>
      <c r="BF611" s="251" t="s">
        <v>2339</v>
      </c>
      <c r="BG611" s="399" t="s">
        <v>395</v>
      </c>
      <c r="BH611" s="252">
        <v>16</v>
      </c>
      <c r="BI611" s="251" t="s">
        <v>333</v>
      </c>
      <c r="BJ611" s="251" t="s">
        <v>366</v>
      </c>
      <c r="BK611" s="251" t="s">
        <v>2340</v>
      </c>
      <c r="BL611" s="251" t="s">
        <v>399</v>
      </c>
      <c r="BQ611" s="27" t="s">
        <v>8500</v>
      </c>
      <c r="BR611" s="27" t="s">
        <v>8501</v>
      </c>
    </row>
    <row r="612" spans="2:70" ht="15">
      <c r="B612" s="84"/>
      <c r="D612" s="84"/>
      <c r="E612" s="84"/>
      <c r="F612" s="84"/>
      <c r="G612" s="84"/>
      <c r="R612" s="251"/>
      <c r="S612" s="251"/>
      <c r="BD612" s="399">
        <v>609</v>
      </c>
      <c r="BE612" s="399" t="s">
        <v>2341</v>
      </c>
      <c r="BF612" s="251" t="s">
        <v>2342</v>
      </c>
      <c r="BG612" s="399" t="s">
        <v>435</v>
      </c>
      <c r="BH612" s="252" t="s">
        <v>436</v>
      </c>
      <c r="BI612" s="251" t="s">
        <v>365</v>
      </c>
      <c r="BJ612" s="251" t="s">
        <v>390</v>
      </c>
      <c r="BK612" s="251" t="s">
        <v>2343</v>
      </c>
      <c r="BL612" s="251" t="s">
        <v>439</v>
      </c>
      <c r="BQ612" s="27" t="s">
        <v>8502</v>
      </c>
      <c r="BR612" s="27" t="s">
        <v>8503</v>
      </c>
    </row>
    <row r="613" spans="2:70" ht="15">
      <c r="B613" s="84"/>
      <c r="D613" s="84"/>
      <c r="E613" s="84"/>
      <c r="F613" s="84"/>
      <c r="G613" s="84"/>
      <c r="R613" s="251"/>
      <c r="S613" s="251"/>
      <c r="BD613" s="399">
        <v>610</v>
      </c>
      <c r="BE613" s="399" t="s">
        <v>2344</v>
      </c>
      <c r="BF613" s="251" t="s">
        <v>2345</v>
      </c>
      <c r="BG613" s="399" t="s">
        <v>389</v>
      </c>
      <c r="BH613" s="252">
        <v>39</v>
      </c>
      <c r="BI613" s="251" t="s">
        <v>365</v>
      </c>
      <c r="BJ613" s="251" t="s">
        <v>380</v>
      </c>
      <c r="BK613" s="251" t="s">
        <v>2346</v>
      </c>
      <c r="BL613" s="251" t="s">
        <v>392</v>
      </c>
      <c r="BQ613" s="27" t="s">
        <v>8504</v>
      </c>
      <c r="BR613" s="27" t="s">
        <v>7262</v>
      </c>
    </row>
    <row r="614" spans="2:70" ht="15">
      <c r="B614" s="84"/>
      <c r="D614" s="84"/>
      <c r="E614" s="84"/>
      <c r="F614" s="84"/>
      <c r="G614" s="84"/>
      <c r="R614" s="251"/>
      <c r="S614" s="251"/>
      <c r="BD614" s="399">
        <v>611</v>
      </c>
      <c r="BE614" s="399" t="s">
        <v>2347</v>
      </c>
      <c r="BF614" s="251" t="s">
        <v>2348</v>
      </c>
      <c r="BG614" s="399" t="s">
        <v>435</v>
      </c>
      <c r="BH614" s="252" t="s">
        <v>436</v>
      </c>
      <c r="BI614" s="251" t="s">
        <v>396</v>
      </c>
      <c r="BJ614" s="251" t="s">
        <v>397</v>
      </c>
      <c r="BK614" s="251" t="s">
        <v>2349</v>
      </c>
      <c r="BL614" s="251" t="s">
        <v>439</v>
      </c>
      <c r="BQ614" s="27" t="s">
        <v>8505</v>
      </c>
      <c r="BR614" s="27" t="s">
        <v>8506</v>
      </c>
    </row>
    <row r="615" spans="2:70" ht="15">
      <c r="B615" s="84"/>
      <c r="D615" s="84"/>
      <c r="E615" s="84"/>
      <c r="F615" s="84"/>
      <c r="G615" s="84"/>
      <c r="R615" s="251"/>
      <c r="S615" s="251"/>
      <c r="BD615" s="399">
        <v>612</v>
      </c>
      <c r="BE615" s="399" t="s">
        <v>2350</v>
      </c>
      <c r="BF615" s="251" t="s">
        <v>2351</v>
      </c>
      <c r="BG615" s="399" t="s">
        <v>519</v>
      </c>
      <c r="BH615" s="252">
        <v>30</v>
      </c>
      <c r="BI615" s="251" t="s">
        <v>728</v>
      </c>
      <c r="BJ615" s="251" t="s">
        <v>1855</v>
      </c>
      <c r="BK615" s="251" t="s">
        <v>2352</v>
      </c>
      <c r="BL615" s="251" t="s">
        <v>521</v>
      </c>
      <c r="BQ615" s="27" t="s">
        <v>8507</v>
      </c>
      <c r="BR615" s="27" t="s">
        <v>8508</v>
      </c>
    </row>
    <row r="616" spans="2:70" ht="15">
      <c r="B616" s="84"/>
      <c r="D616" s="84"/>
      <c r="E616" s="84"/>
      <c r="F616" s="84"/>
      <c r="G616" s="84"/>
      <c r="R616" s="251"/>
      <c r="S616" s="251"/>
      <c r="BD616" s="399">
        <v>613</v>
      </c>
      <c r="BE616" s="399" t="s">
        <v>2353</v>
      </c>
      <c r="BF616" s="251" t="s">
        <v>2354</v>
      </c>
      <c r="BG616" s="399" t="s">
        <v>363</v>
      </c>
      <c r="BH616" s="252" t="s">
        <v>364</v>
      </c>
      <c r="BI616" s="251" t="s">
        <v>615</v>
      </c>
      <c r="BJ616" s="251" t="s">
        <v>407</v>
      </c>
      <c r="BK616" s="251" t="s">
        <v>2355</v>
      </c>
      <c r="BL616" s="251" t="s">
        <v>368</v>
      </c>
      <c r="BQ616" s="27" t="s">
        <v>8509</v>
      </c>
      <c r="BR616" s="27" t="s">
        <v>8510</v>
      </c>
    </row>
    <row r="617" spans="2:70" ht="15">
      <c r="B617" s="84"/>
      <c r="D617" s="84"/>
      <c r="E617" s="84"/>
      <c r="F617" s="84"/>
      <c r="G617" s="84"/>
      <c r="R617" s="251"/>
      <c r="S617" s="251"/>
      <c r="BD617" s="399">
        <v>614</v>
      </c>
      <c r="BE617" s="399" t="s">
        <v>2356</v>
      </c>
      <c r="BF617" s="251" t="s">
        <v>2357</v>
      </c>
      <c r="BG617" s="399" t="s">
        <v>489</v>
      </c>
      <c r="BH617" s="252" t="s">
        <v>490</v>
      </c>
      <c r="BI617" s="251" t="s">
        <v>728</v>
      </c>
      <c r="BJ617" s="251" t="s">
        <v>380</v>
      </c>
      <c r="BK617" s="251" t="s">
        <v>2358</v>
      </c>
      <c r="BL617" s="251" t="s">
        <v>493</v>
      </c>
      <c r="BQ617" s="27" t="s">
        <v>8511</v>
      </c>
      <c r="BR617" s="27" t="s">
        <v>8512</v>
      </c>
    </row>
    <row r="618" spans="2:70" ht="15">
      <c r="B618" s="84"/>
      <c r="D618" s="84"/>
      <c r="E618" s="84"/>
      <c r="F618" s="84"/>
      <c r="G618" s="84"/>
      <c r="R618" s="251"/>
      <c r="S618" s="251"/>
      <c r="BD618" s="399">
        <v>615</v>
      </c>
      <c r="BE618" s="399" t="s">
        <v>2359</v>
      </c>
      <c r="BF618" s="251" t="s">
        <v>2360</v>
      </c>
      <c r="BG618" s="399" t="s">
        <v>371</v>
      </c>
      <c r="BH618" s="252">
        <v>28</v>
      </c>
      <c r="BI618" s="251" t="s">
        <v>331</v>
      </c>
      <c r="BJ618" s="251" t="s">
        <v>366</v>
      </c>
      <c r="BK618" s="251" t="s">
        <v>2361</v>
      </c>
      <c r="BL618" s="251" t="s">
        <v>375</v>
      </c>
      <c r="BQ618" s="27" t="s">
        <v>8513</v>
      </c>
      <c r="BR618" s="27" t="s">
        <v>8514</v>
      </c>
    </row>
    <row r="619" spans="2:70" ht="15">
      <c r="B619" s="84"/>
      <c r="D619" s="84"/>
      <c r="E619" s="84"/>
      <c r="F619" s="84"/>
      <c r="G619" s="84"/>
      <c r="R619" s="251"/>
      <c r="S619" s="251"/>
      <c r="BD619" s="399">
        <v>616</v>
      </c>
      <c r="BE619" s="399" t="s">
        <v>2362</v>
      </c>
      <c r="BF619" s="251" t="s">
        <v>2363</v>
      </c>
      <c r="BG619" s="399" t="s">
        <v>423</v>
      </c>
      <c r="BH619" s="252" t="s">
        <v>424</v>
      </c>
      <c r="BI619" s="251" t="s">
        <v>728</v>
      </c>
      <c r="BJ619" s="251" t="s">
        <v>397</v>
      </c>
      <c r="BK619" s="251" t="s">
        <v>2364</v>
      </c>
      <c r="BL619" s="251" t="s">
        <v>426</v>
      </c>
      <c r="BQ619" s="27" t="s">
        <v>8515</v>
      </c>
      <c r="BR619" s="27" t="s">
        <v>7277</v>
      </c>
    </row>
    <row r="620" spans="2:70" ht="15">
      <c r="B620" s="84"/>
      <c r="D620" s="84"/>
      <c r="E620" s="84"/>
      <c r="F620" s="84"/>
      <c r="G620" s="84"/>
      <c r="R620" s="251"/>
      <c r="S620" s="251"/>
      <c r="BD620" s="399">
        <v>617</v>
      </c>
      <c r="BE620" s="399" t="s">
        <v>2365</v>
      </c>
      <c r="BF620" s="251" t="s">
        <v>2366</v>
      </c>
      <c r="BG620" s="399" t="s">
        <v>489</v>
      </c>
      <c r="BH620" s="252" t="s">
        <v>2367</v>
      </c>
      <c r="BI620" s="251" t="s">
        <v>615</v>
      </c>
      <c r="BJ620" s="251" t="s">
        <v>407</v>
      </c>
      <c r="BK620" s="251" t="s">
        <v>2368</v>
      </c>
      <c r="BL620" s="251" t="s">
        <v>493</v>
      </c>
      <c r="BQ620" s="27" t="s">
        <v>8516</v>
      </c>
      <c r="BR620" s="27" t="s">
        <v>7278</v>
      </c>
    </row>
    <row r="621" spans="2:70" ht="15">
      <c r="B621" s="84"/>
      <c r="D621" s="84"/>
      <c r="E621" s="84"/>
      <c r="F621" s="84"/>
      <c r="G621" s="84"/>
      <c r="R621" s="251"/>
      <c r="S621" s="251"/>
      <c r="BD621" s="399">
        <v>618</v>
      </c>
      <c r="BE621" s="399" t="s">
        <v>2369</v>
      </c>
      <c r="BF621" s="251" t="s">
        <v>2370</v>
      </c>
      <c r="BG621" s="399" t="s">
        <v>566</v>
      </c>
      <c r="BH621" s="252" t="s">
        <v>567</v>
      </c>
      <c r="BI621" s="251" t="s">
        <v>615</v>
      </c>
      <c r="BJ621" s="251" t="s">
        <v>380</v>
      </c>
      <c r="BK621" s="251" t="s">
        <v>2371</v>
      </c>
      <c r="BL621" s="251" t="s">
        <v>569</v>
      </c>
      <c r="BQ621" s="27" t="s">
        <v>8517</v>
      </c>
      <c r="BR621" s="27" t="s">
        <v>8518</v>
      </c>
    </row>
    <row r="622" spans="2:70" ht="15">
      <c r="B622" s="84"/>
      <c r="D622" s="84"/>
      <c r="E622" s="84"/>
      <c r="F622" s="84"/>
      <c r="G622" s="84"/>
      <c r="R622" s="251"/>
      <c r="S622" s="251"/>
      <c r="BD622" s="399">
        <v>619</v>
      </c>
      <c r="BE622" s="399" t="s">
        <v>2372</v>
      </c>
      <c r="BF622" s="251" t="s">
        <v>2373</v>
      </c>
      <c r="BG622" s="399" t="s">
        <v>435</v>
      </c>
      <c r="BH622" s="252" t="s">
        <v>436</v>
      </c>
      <c r="BI622" s="251" t="s">
        <v>728</v>
      </c>
      <c r="BJ622" s="251" t="s">
        <v>539</v>
      </c>
      <c r="BK622" s="251" t="s">
        <v>2374</v>
      </c>
      <c r="BL622" s="251" t="s">
        <v>439</v>
      </c>
      <c r="BQ622" s="27" t="s">
        <v>8519</v>
      </c>
      <c r="BR622" s="27" t="s">
        <v>8520</v>
      </c>
    </row>
    <row r="623" spans="2:70" ht="15">
      <c r="B623" s="84"/>
      <c r="D623" s="84"/>
      <c r="E623" s="84"/>
      <c r="F623" s="84"/>
      <c r="G623" s="84"/>
      <c r="R623" s="251"/>
      <c r="S623" s="251"/>
      <c r="BD623" s="399">
        <v>620</v>
      </c>
      <c r="BE623" s="399" t="s">
        <v>2375</v>
      </c>
      <c r="BF623" s="251" t="s">
        <v>2376</v>
      </c>
      <c r="BG623" s="399" t="s">
        <v>405</v>
      </c>
      <c r="BH623" s="252" t="s">
        <v>1395</v>
      </c>
      <c r="BI623" s="251" t="s">
        <v>331</v>
      </c>
      <c r="BJ623" s="251" t="s">
        <v>390</v>
      </c>
      <c r="BK623" s="251" t="s">
        <v>2377</v>
      </c>
      <c r="BL623" s="251" t="s">
        <v>409</v>
      </c>
      <c r="BQ623" s="27" t="s">
        <v>8521</v>
      </c>
      <c r="BR623" s="27" t="s">
        <v>7288</v>
      </c>
    </row>
    <row r="624" spans="2:70" ht="15">
      <c r="B624" s="84"/>
      <c r="D624" s="84"/>
      <c r="E624" s="84"/>
      <c r="F624" s="84"/>
      <c r="G624" s="84"/>
      <c r="R624" s="251"/>
      <c r="S624" s="251"/>
      <c r="BD624" s="399">
        <v>621</v>
      </c>
      <c r="BE624" s="399" t="s">
        <v>2378</v>
      </c>
      <c r="BF624" s="251" t="s">
        <v>2379</v>
      </c>
      <c r="BG624" s="399" t="s">
        <v>395</v>
      </c>
      <c r="BH624" s="252">
        <v>16</v>
      </c>
      <c r="BI624" s="251" t="s">
        <v>332</v>
      </c>
      <c r="BJ624" s="251" t="s">
        <v>385</v>
      </c>
      <c r="BK624" s="251" t="s">
        <v>2380</v>
      </c>
      <c r="BL624" s="251" t="s">
        <v>399</v>
      </c>
      <c r="BQ624" s="27" t="s">
        <v>8522</v>
      </c>
      <c r="BR624" s="27" t="s">
        <v>8523</v>
      </c>
    </row>
    <row r="625" spans="2:70" ht="15">
      <c r="B625" s="84"/>
      <c r="D625" s="84"/>
      <c r="E625" s="84"/>
      <c r="F625" s="84"/>
      <c r="G625" s="84"/>
      <c r="R625" s="251"/>
      <c r="S625" s="251"/>
      <c r="BD625" s="399">
        <v>622</v>
      </c>
      <c r="BE625" s="399" t="s">
        <v>2381</v>
      </c>
      <c r="BF625" s="251" t="s">
        <v>2382</v>
      </c>
      <c r="BG625" s="399" t="s">
        <v>435</v>
      </c>
      <c r="BH625" s="252" t="s">
        <v>2383</v>
      </c>
      <c r="BI625" s="251" t="s">
        <v>332</v>
      </c>
      <c r="BJ625" s="251" t="s">
        <v>539</v>
      </c>
      <c r="BK625" s="251" t="s">
        <v>2384</v>
      </c>
      <c r="BL625" s="251" t="s">
        <v>439</v>
      </c>
      <c r="BQ625" s="27" t="s">
        <v>8524</v>
      </c>
      <c r="BR625" s="27" t="s">
        <v>8525</v>
      </c>
    </row>
    <row r="626" spans="2:70" ht="15">
      <c r="B626" s="84"/>
      <c r="D626" s="84"/>
      <c r="E626" s="84"/>
      <c r="F626" s="84"/>
      <c r="G626" s="84"/>
      <c r="R626" s="251"/>
      <c r="S626" s="251"/>
      <c r="BD626" s="399">
        <v>623</v>
      </c>
      <c r="BE626" s="399" t="s">
        <v>2385</v>
      </c>
      <c r="BF626" s="251" t="s">
        <v>2386</v>
      </c>
      <c r="BG626" s="399" t="s">
        <v>395</v>
      </c>
      <c r="BH626" s="252">
        <v>16</v>
      </c>
      <c r="BI626" s="251" t="s">
        <v>332</v>
      </c>
      <c r="BJ626" s="251" t="s">
        <v>407</v>
      </c>
      <c r="BK626" s="251" t="s">
        <v>2387</v>
      </c>
      <c r="BL626" s="251" t="s">
        <v>399</v>
      </c>
      <c r="BQ626" s="27" t="s">
        <v>8526</v>
      </c>
      <c r="BR626" s="27" t="s">
        <v>7331</v>
      </c>
    </row>
    <row r="627" spans="2:70" ht="15">
      <c r="B627" s="84"/>
      <c r="D627" s="84"/>
      <c r="E627" s="84"/>
      <c r="F627" s="84"/>
      <c r="G627" s="84"/>
      <c r="R627" s="251"/>
      <c r="S627" s="251"/>
      <c r="BD627" s="399">
        <v>624</v>
      </c>
      <c r="BE627" s="399" t="s">
        <v>2388</v>
      </c>
      <c r="BF627" s="251" t="s">
        <v>2389</v>
      </c>
      <c r="BG627" s="399" t="s">
        <v>777</v>
      </c>
      <c r="BH627" s="252">
        <v>21</v>
      </c>
      <c r="BI627" s="251" t="s">
        <v>333</v>
      </c>
      <c r="BJ627" s="251" t="s">
        <v>351</v>
      </c>
      <c r="BK627" s="251" t="s">
        <v>2390</v>
      </c>
      <c r="BL627" s="251" t="s">
        <v>780</v>
      </c>
      <c r="BQ627" s="27" t="s">
        <v>8527</v>
      </c>
      <c r="BR627" s="27" t="s">
        <v>8528</v>
      </c>
    </row>
    <row r="628" spans="2:70" ht="15">
      <c r="B628" s="84"/>
      <c r="D628" s="84"/>
      <c r="E628" s="84"/>
      <c r="F628" s="84"/>
      <c r="G628" s="84"/>
      <c r="R628" s="251"/>
      <c r="S628" s="251"/>
      <c r="BD628" s="399">
        <v>625</v>
      </c>
      <c r="BE628" s="399" t="s">
        <v>2391</v>
      </c>
      <c r="BF628" s="251" t="s">
        <v>2392</v>
      </c>
      <c r="BG628" s="399" t="s">
        <v>475</v>
      </c>
      <c r="BH628" s="252" t="s">
        <v>534</v>
      </c>
      <c r="BI628" s="251" t="s">
        <v>332</v>
      </c>
      <c r="BJ628" s="251" t="s">
        <v>380</v>
      </c>
      <c r="BK628" s="251" t="s">
        <v>2393</v>
      </c>
      <c r="BL628" s="251" t="s">
        <v>479</v>
      </c>
      <c r="BQ628" s="27" t="s">
        <v>8529</v>
      </c>
      <c r="BR628" s="27" t="s">
        <v>8530</v>
      </c>
    </row>
    <row r="629" spans="2:70" ht="15">
      <c r="B629" s="84"/>
      <c r="D629" s="84"/>
      <c r="E629" s="84"/>
      <c r="F629" s="84"/>
      <c r="G629" s="84"/>
      <c r="R629" s="251"/>
      <c r="S629" s="251"/>
      <c r="BD629" s="399">
        <v>626</v>
      </c>
      <c r="BE629" s="399" t="s">
        <v>2394</v>
      </c>
      <c r="BF629" s="251" t="s">
        <v>2395</v>
      </c>
      <c r="BG629" s="399" t="s">
        <v>777</v>
      </c>
      <c r="BH629" s="252">
        <v>21</v>
      </c>
      <c r="BI629" s="251" t="s">
        <v>563</v>
      </c>
      <c r="BJ629" s="251" t="s">
        <v>385</v>
      </c>
      <c r="BK629" s="251" t="s">
        <v>2396</v>
      </c>
      <c r="BL629" s="251" t="s">
        <v>780</v>
      </c>
      <c r="BQ629" s="27" t="s">
        <v>8531</v>
      </c>
      <c r="BR629" s="27" t="s">
        <v>8532</v>
      </c>
    </row>
    <row r="630" spans="2:70" ht="15">
      <c r="B630" s="84"/>
      <c r="D630" s="84"/>
      <c r="E630" s="84"/>
      <c r="F630" s="84"/>
      <c r="G630" s="84"/>
      <c r="R630" s="251"/>
      <c r="S630" s="251"/>
      <c r="BD630" s="399">
        <v>627</v>
      </c>
      <c r="BE630" s="399" t="s">
        <v>2397</v>
      </c>
      <c r="BF630" s="251" t="s">
        <v>2398</v>
      </c>
      <c r="BG630" s="399" t="s">
        <v>475</v>
      </c>
      <c r="BH630" s="252" t="s">
        <v>510</v>
      </c>
      <c r="BI630" s="251" t="s">
        <v>365</v>
      </c>
      <c r="BJ630" s="251" t="s">
        <v>380</v>
      </c>
      <c r="BK630" s="251" t="s">
        <v>2399</v>
      </c>
      <c r="BL630" s="251" t="s">
        <v>479</v>
      </c>
      <c r="BQ630" s="27" t="s">
        <v>8533</v>
      </c>
      <c r="BR630" s="27" t="s">
        <v>7299</v>
      </c>
    </row>
    <row r="631" spans="2:70" ht="15">
      <c r="B631" s="84"/>
      <c r="D631" s="84"/>
      <c r="E631" s="84"/>
      <c r="F631" s="84"/>
      <c r="G631" s="84"/>
      <c r="R631" s="251"/>
      <c r="S631" s="251"/>
      <c r="BD631" s="399">
        <v>628</v>
      </c>
      <c r="BE631" s="399" t="s">
        <v>2400</v>
      </c>
      <c r="BF631" s="251" t="s">
        <v>2401</v>
      </c>
      <c r="BG631" s="399" t="s">
        <v>405</v>
      </c>
      <c r="BH631" s="252" t="s">
        <v>2402</v>
      </c>
      <c r="BI631" s="251" t="s">
        <v>2403</v>
      </c>
      <c r="BJ631" s="251" t="s">
        <v>407</v>
      </c>
      <c r="BK631" s="251" t="s">
        <v>2404</v>
      </c>
      <c r="BL631" s="251" t="s">
        <v>409</v>
      </c>
      <c r="BQ631" s="27" t="s">
        <v>8534</v>
      </c>
      <c r="BR631" s="27" t="s">
        <v>7300</v>
      </c>
    </row>
    <row r="632" spans="2:70" ht="15">
      <c r="B632" s="84"/>
      <c r="D632" s="84"/>
      <c r="E632" s="84"/>
      <c r="F632" s="84"/>
      <c r="G632" s="84"/>
      <c r="R632" s="251"/>
      <c r="S632" s="251"/>
      <c r="BD632" s="399">
        <v>629</v>
      </c>
      <c r="BE632" s="399" t="s">
        <v>2405</v>
      </c>
      <c r="BF632" s="251" t="s">
        <v>2401</v>
      </c>
      <c r="BG632" s="399" t="s">
        <v>405</v>
      </c>
      <c r="BH632" s="252" t="s">
        <v>1241</v>
      </c>
      <c r="BI632" s="251" t="s">
        <v>331</v>
      </c>
      <c r="BJ632" s="251" t="s">
        <v>2159</v>
      </c>
      <c r="BK632" s="251" t="s">
        <v>2406</v>
      </c>
      <c r="BL632" s="251" t="s">
        <v>409</v>
      </c>
      <c r="BQ632" s="27" t="s">
        <v>8535</v>
      </c>
      <c r="BR632" s="27" t="s">
        <v>7303</v>
      </c>
    </row>
    <row r="633" spans="2:70" ht="15">
      <c r="B633" s="84"/>
      <c r="D633" s="84"/>
      <c r="E633" s="84"/>
      <c r="F633" s="84"/>
      <c r="G633" s="84"/>
      <c r="R633" s="251"/>
      <c r="S633" s="251"/>
      <c r="BD633" s="399">
        <v>630</v>
      </c>
      <c r="BE633" s="399" t="s">
        <v>2407</v>
      </c>
      <c r="BF633" s="251" t="s">
        <v>2401</v>
      </c>
      <c r="BG633" s="399" t="s">
        <v>405</v>
      </c>
      <c r="BH633" s="252" t="s">
        <v>412</v>
      </c>
      <c r="BI633" s="251" t="s">
        <v>332</v>
      </c>
      <c r="BJ633" s="251" t="s">
        <v>380</v>
      </c>
      <c r="BK633" s="251" t="s">
        <v>2408</v>
      </c>
      <c r="BL633" s="251" t="s">
        <v>409</v>
      </c>
      <c r="BQ633" s="27" t="s">
        <v>8536</v>
      </c>
      <c r="BR633" s="27" t="s">
        <v>8537</v>
      </c>
    </row>
    <row r="634" spans="2:70" ht="15">
      <c r="B634" s="84"/>
      <c r="D634" s="84"/>
      <c r="E634" s="84"/>
      <c r="F634" s="84"/>
      <c r="G634" s="84"/>
      <c r="R634" s="251"/>
      <c r="S634" s="251"/>
      <c r="BD634" s="399">
        <v>631</v>
      </c>
      <c r="BE634" s="399" t="s">
        <v>2409</v>
      </c>
      <c r="BF634" s="251" t="s">
        <v>2401</v>
      </c>
      <c r="BG634" s="399" t="s">
        <v>405</v>
      </c>
      <c r="BH634" s="252" t="s">
        <v>406</v>
      </c>
      <c r="BI634" s="251" t="s">
        <v>332</v>
      </c>
      <c r="BJ634" s="251" t="s">
        <v>1385</v>
      </c>
      <c r="BK634" s="251" t="s">
        <v>2410</v>
      </c>
      <c r="BL634" s="251" t="s">
        <v>409</v>
      </c>
      <c r="BQ634" s="27" t="s">
        <v>8538</v>
      </c>
      <c r="BR634" s="27" t="s">
        <v>7309</v>
      </c>
    </row>
    <row r="635" spans="2:70" ht="15">
      <c r="B635" s="84"/>
      <c r="D635" s="84"/>
      <c r="E635" s="84"/>
      <c r="F635" s="84"/>
      <c r="G635" s="84"/>
      <c r="R635" s="251"/>
      <c r="S635" s="251"/>
      <c r="BD635" s="399">
        <v>632</v>
      </c>
      <c r="BE635" s="399" t="s">
        <v>2411</v>
      </c>
      <c r="BF635" s="251" t="s">
        <v>2401</v>
      </c>
      <c r="BG635" s="399" t="s">
        <v>405</v>
      </c>
      <c r="BH635" s="252" t="s">
        <v>412</v>
      </c>
      <c r="BI635" s="251" t="s">
        <v>334</v>
      </c>
      <c r="BJ635" s="251" t="s">
        <v>407</v>
      </c>
      <c r="BK635" s="251" t="s">
        <v>2412</v>
      </c>
      <c r="BL635" s="251" t="s">
        <v>409</v>
      </c>
      <c r="BQ635" s="27" t="s">
        <v>8539</v>
      </c>
      <c r="BR635" s="27" t="s">
        <v>7312</v>
      </c>
    </row>
    <row r="636" spans="2:70" ht="15">
      <c r="B636" s="84"/>
      <c r="D636" s="84"/>
      <c r="E636" s="84"/>
      <c r="F636" s="84"/>
      <c r="G636" s="84"/>
      <c r="R636" s="251"/>
      <c r="S636" s="251"/>
      <c r="BD636" s="399">
        <v>633</v>
      </c>
      <c r="BE636" s="399" t="s">
        <v>2413</v>
      </c>
      <c r="BF636" s="251" t="s">
        <v>2401</v>
      </c>
      <c r="BG636" s="399" t="s">
        <v>405</v>
      </c>
      <c r="BH636" s="252" t="s">
        <v>412</v>
      </c>
      <c r="BI636" s="251" t="s">
        <v>407</v>
      </c>
      <c r="BJ636" s="251" t="s">
        <v>1774</v>
      </c>
      <c r="BK636" s="251" t="s">
        <v>2414</v>
      </c>
      <c r="BL636" s="251" t="s">
        <v>409</v>
      </c>
      <c r="BQ636" s="27" t="s">
        <v>8540</v>
      </c>
      <c r="BR636" s="27" t="s">
        <v>8541</v>
      </c>
    </row>
    <row r="637" spans="2:70" ht="15">
      <c r="B637" s="84"/>
      <c r="D637" s="84"/>
      <c r="E637" s="84"/>
      <c r="F637" s="84"/>
      <c r="G637" s="84"/>
      <c r="R637" s="251"/>
      <c r="S637" s="251"/>
      <c r="BD637" s="399">
        <v>634</v>
      </c>
      <c r="BE637" s="399" t="s">
        <v>2415</v>
      </c>
      <c r="BF637" s="251" t="s">
        <v>2401</v>
      </c>
      <c r="BG637" s="399" t="s">
        <v>405</v>
      </c>
      <c r="BH637" s="252" t="s">
        <v>1241</v>
      </c>
      <c r="BI637" s="251" t="s">
        <v>407</v>
      </c>
      <c r="BJ637" s="251" t="s">
        <v>2416</v>
      </c>
      <c r="BK637" s="251" t="s">
        <v>2417</v>
      </c>
      <c r="BL637" s="251" t="s">
        <v>409</v>
      </c>
      <c r="BQ637" s="27" t="s">
        <v>8542</v>
      </c>
      <c r="BR637" s="27" t="s">
        <v>7315</v>
      </c>
    </row>
    <row r="638" spans="2:70" ht="15">
      <c r="B638" s="84"/>
      <c r="D638" s="84"/>
      <c r="E638" s="84"/>
      <c r="F638" s="84"/>
      <c r="G638" s="84"/>
      <c r="R638" s="251"/>
      <c r="S638" s="251"/>
      <c r="BD638" s="399">
        <v>635</v>
      </c>
      <c r="BE638" s="399" t="s">
        <v>2418</v>
      </c>
      <c r="BF638" s="251" t="s">
        <v>2401</v>
      </c>
      <c r="BG638" s="399" t="s">
        <v>405</v>
      </c>
      <c r="BH638" s="252" t="s">
        <v>528</v>
      </c>
      <c r="BI638" s="251" t="s">
        <v>500</v>
      </c>
      <c r="BJ638" s="251" t="s">
        <v>397</v>
      </c>
      <c r="BK638" s="251" t="s">
        <v>2419</v>
      </c>
      <c r="BL638" s="251" t="s">
        <v>409</v>
      </c>
      <c r="BQ638" s="27" t="s">
        <v>8543</v>
      </c>
      <c r="BR638" s="27" t="s">
        <v>8544</v>
      </c>
    </row>
    <row r="639" spans="2:70" ht="15">
      <c r="B639" s="84"/>
      <c r="D639" s="84"/>
      <c r="E639" s="84"/>
      <c r="F639" s="84"/>
      <c r="G639" s="84"/>
      <c r="R639" s="251"/>
      <c r="S639" s="251"/>
      <c r="BD639" s="399">
        <v>636</v>
      </c>
      <c r="BE639" s="399" t="s">
        <v>2420</v>
      </c>
      <c r="BF639" s="251" t="s">
        <v>2401</v>
      </c>
      <c r="BG639" s="399" t="s">
        <v>405</v>
      </c>
      <c r="BH639" s="252" t="s">
        <v>1241</v>
      </c>
      <c r="BI639" s="251" t="s">
        <v>2421</v>
      </c>
      <c r="BJ639" s="251" t="s">
        <v>2422</v>
      </c>
      <c r="BK639" s="251" t="s">
        <v>2423</v>
      </c>
      <c r="BL639" s="251" t="s">
        <v>409</v>
      </c>
      <c r="BQ639" s="27" t="s">
        <v>8423</v>
      </c>
      <c r="BR639" s="27" t="s">
        <v>7326</v>
      </c>
    </row>
    <row r="640" spans="2:70" ht="15">
      <c r="B640" s="84"/>
      <c r="D640" s="84"/>
      <c r="E640" s="84"/>
      <c r="F640" s="84"/>
      <c r="G640" s="84"/>
      <c r="R640" s="251"/>
      <c r="S640" s="251"/>
      <c r="BD640" s="399">
        <v>637</v>
      </c>
      <c r="BE640" s="399" t="s">
        <v>2424</v>
      </c>
      <c r="BF640" s="251" t="s">
        <v>2401</v>
      </c>
      <c r="BG640" s="399" t="s">
        <v>405</v>
      </c>
      <c r="BH640" s="252" t="s">
        <v>1241</v>
      </c>
      <c r="BI640" s="251" t="s">
        <v>2425</v>
      </c>
      <c r="BJ640" s="251" t="s">
        <v>778</v>
      </c>
      <c r="BK640" s="251" t="s">
        <v>2426</v>
      </c>
      <c r="BL640" s="251" t="s">
        <v>409</v>
      </c>
      <c r="BQ640" s="27" t="s">
        <v>8545</v>
      </c>
      <c r="BR640" s="27" t="s">
        <v>7328</v>
      </c>
    </row>
    <row r="641" spans="2:70" ht="15">
      <c r="B641" s="84"/>
      <c r="D641" s="84"/>
      <c r="E641" s="84"/>
      <c r="F641" s="84"/>
      <c r="G641" s="84"/>
      <c r="R641" s="251"/>
      <c r="S641" s="251"/>
      <c r="BD641" s="399">
        <v>638</v>
      </c>
      <c r="BE641" s="399" t="s">
        <v>2427</v>
      </c>
      <c r="BF641" s="251" t="s">
        <v>2401</v>
      </c>
      <c r="BG641" s="399" t="s">
        <v>405</v>
      </c>
      <c r="BH641" s="252" t="s">
        <v>412</v>
      </c>
      <c r="BI641" s="251" t="s">
        <v>1295</v>
      </c>
      <c r="BJ641" s="251" t="s">
        <v>2159</v>
      </c>
      <c r="BK641" s="251" t="s">
        <v>2428</v>
      </c>
      <c r="BL641" s="251" t="s">
        <v>409</v>
      </c>
      <c r="BQ641" s="27" t="s">
        <v>8546</v>
      </c>
      <c r="BR641" s="27" t="s">
        <v>7330</v>
      </c>
    </row>
    <row r="642" spans="2:70" ht="15">
      <c r="B642" s="84"/>
      <c r="D642" s="84"/>
      <c r="E642" s="84"/>
      <c r="F642" s="84"/>
      <c r="G642" s="84"/>
      <c r="R642" s="251"/>
      <c r="S642" s="251"/>
      <c r="BD642" s="399">
        <v>639</v>
      </c>
      <c r="BE642" s="399" t="s">
        <v>2429</v>
      </c>
      <c r="BF642" s="251" t="s">
        <v>2401</v>
      </c>
      <c r="BG642" s="399" t="s">
        <v>405</v>
      </c>
      <c r="BH642" s="252" t="s">
        <v>412</v>
      </c>
      <c r="BI642" s="251" t="s">
        <v>2430</v>
      </c>
      <c r="BJ642" s="251" t="s">
        <v>413</v>
      </c>
      <c r="BK642" s="251" t="s">
        <v>2431</v>
      </c>
      <c r="BL642" s="251" t="s">
        <v>409</v>
      </c>
      <c r="BQ642" s="27" t="s">
        <v>8547</v>
      </c>
      <c r="BR642" s="27" t="s">
        <v>8548</v>
      </c>
    </row>
    <row r="643" spans="2:70" ht="15">
      <c r="B643" s="84"/>
      <c r="D643" s="84"/>
      <c r="E643" s="84"/>
      <c r="F643" s="84"/>
      <c r="G643" s="84"/>
      <c r="R643" s="251"/>
      <c r="S643" s="251"/>
      <c r="BD643" s="399">
        <v>640</v>
      </c>
      <c r="BE643" s="399" t="s">
        <v>2432</v>
      </c>
      <c r="BF643" s="251" t="s">
        <v>2401</v>
      </c>
      <c r="BG643" s="399" t="s">
        <v>405</v>
      </c>
      <c r="BH643" s="252" t="s">
        <v>1267</v>
      </c>
      <c r="BI643" s="251" t="s">
        <v>365</v>
      </c>
      <c r="BJ643" s="251" t="s">
        <v>350</v>
      </c>
      <c r="BK643" s="251" t="s">
        <v>2433</v>
      </c>
      <c r="BL643" s="251" t="s">
        <v>409</v>
      </c>
      <c r="BQ643" s="27" t="s">
        <v>8549</v>
      </c>
      <c r="BR643" s="27" t="s">
        <v>8550</v>
      </c>
    </row>
    <row r="644" spans="2:70" ht="15">
      <c r="B644" s="84"/>
      <c r="D644" s="84"/>
      <c r="E644" s="84"/>
      <c r="F644" s="84"/>
      <c r="G644" s="84"/>
      <c r="R644" s="251"/>
      <c r="S644" s="251"/>
      <c r="BD644" s="399">
        <v>641</v>
      </c>
      <c r="BE644" s="399" t="s">
        <v>2434</v>
      </c>
      <c r="BF644" s="251" t="s">
        <v>2401</v>
      </c>
      <c r="BG644" s="399" t="s">
        <v>405</v>
      </c>
      <c r="BH644" s="252" t="s">
        <v>830</v>
      </c>
      <c r="BI644" s="251" t="s">
        <v>379</v>
      </c>
      <c r="BJ644" s="251" t="s">
        <v>351</v>
      </c>
      <c r="BK644" s="251" t="s">
        <v>2435</v>
      </c>
      <c r="BL644" s="251" t="s">
        <v>409</v>
      </c>
      <c r="BQ644" s="27" t="s">
        <v>8551</v>
      </c>
      <c r="BR644" s="27" t="s">
        <v>8552</v>
      </c>
    </row>
    <row r="645" spans="2:70" ht="15">
      <c r="B645" s="84"/>
      <c r="D645" s="84"/>
      <c r="E645" s="84"/>
      <c r="F645" s="84"/>
      <c r="G645" s="84"/>
      <c r="R645" s="251"/>
      <c r="S645" s="251"/>
      <c r="BD645" s="399">
        <v>642</v>
      </c>
      <c r="BE645" s="399" t="s">
        <v>2436</v>
      </c>
      <c r="BF645" s="251" t="s">
        <v>2401</v>
      </c>
      <c r="BG645" s="399" t="s">
        <v>405</v>
      </c>
      <c r="BH645" s="252" t="s">
        <v>830</v>
      </c>
      <c r="BI645" s="251" t="s">
        <v>615</v>
      </c>
      <c r="BJ645" s="251" t="s">
        <v>407</v>
      </c>
      <c r="BK645" s="251" t="s">
        <v>2437</v>
      </c>
      <c r="BL645" s="251" t="s">
        <v>409</v>
      </c>
      <c r="BQ645" s="27" t="s">
        <v>8553</v>
      </c>
      <c r="BR645" s="27" t="s">
        <v>7332</v>
      </c>
    </row>
    <row r="646" spans="2:70" ht="15">
      <c r="B646" s="84"/>
      <c r="D646" s="84"/>
      <c r="E646" s="84"/>
      <c r="F646" s="84"/>
      <c r="G646" s="84"/>
      <c r="R646" s="251"/>
      <c r="S646" s="251"/>
      <c r="BD646" s="399">
        <v>643</v>
      </c>
      <c r="BE646" s="399" t="s">
        <v>2438</v>
      </c>
      <c r="BF646" s="251" t="s">
        <v>2401</v>
      </c>
      <c r="BG646" s="399" t="s">
        <v>405</v>
      </c>
      <c r="BH646" s="252" t="s">
        <v>830</v>
      </c>
      <c r="BI646" s="251" t="s">
        <v>615</v>
      </c>
      <c r="BJ646" s="251" t="s">
        <v>2159</v>
      </c>
      <c r="BK646" s="251" t="s">
        <v>2439</v>
      </c>
      <c r="BL646" s="251" t="s">
        <v>409</v>
      </c>
      <c r="BQ646" s="27" t="s">
        <v>8554</v>
      </c>
      <c r="BR646" s="27" t="s">
        <v>7475</v>
      </c>
    </row>
    <row r="647" spans="2:70" ht="15">
      <c r="B647" s="84"/>
      <c r="D647" s="84"/>
      <c r="E647" s="84"/>
      <c r="F647" s="84"/>
      <c r="G647" s="84"/>
      <c r="R647" s="251"/>
      <c r="S647" s="251"/>
      <c r="BD647" s="399">
        <v>644</v>
      </c>
      <c r="BE647" s="399" t="s">
        <v>2440</v>
      </c>
      <c r="BF647" s="251" t="s">
        <v>2401</v>
      </c>
      <c r="BG647" s="399" t="s">
        <v>405</v>
      </c>
      <c r="BH647" s="252" t="s">
        <v>412</v>
      </c>
      <c r="BI647" s="251" t="s">
        <v>390</v>
      </c>
      <c r="BJ647" s="251" t="s">
        <v>407</v>
      </c>
      <c r="BK647" s="251" t="s">
        <v>2441</v>
      </c>
      <c r="BL647" s="251" t="s">
        <v>409</v>
      </c>
      <c r="BQ647" s="27" t="s">
        <v>8555</v>
      </c>
      <c r="BR647" s="27" t="s">
        <v>8556</v>
      </c>
    </row>
    <row r="648" spans="2:70" ht="15">
      <c r="B648" s="84"/>
      <c r="D648" s="84"/>
      <c r="E648" s="84"/>
      <c r="F648" s="84"/>
      <c r="G648" s="84"/>
      <c r="R648" s="251"/>
      <c r="S648" s="251"/>
      <c r="BD648" s="399">
        <v>645</v>
      </c>
      <c r="BE648" s="399" t="s">
        <v>2442</v>
      </c>
      <c r="BF648" s="251" t="s">
        <v>2401</v>
      </c>
      <c r="BG648" s="399" t="s">
        <v>405</v>
      </c>
      <c r="BH648" s="252" t="s">
        <v>1395</v>
      </c>
      <c r="BI648" s="251" t="s">
        <v>491</v>
      </c>
      <c r="BJ648" s="251" t="s">
        <v>1385</v>
      </c>
      <c r="BK648" s="251" t="s">
        <v>2443</v>
      </c>
      <c r="BL648" s="251" t="s">
        <v>409</v>
      </c>
      <c r="BQ648" s="27" t="s">
        <v>8557</v>
      </c>
      <c r="BR648" s="27" t="s">
        <v>8558</v>
      </c>
    </row>
    <row r="649" spans="2:70" ht="15">
      <c r="B649" s="84"/>
      <c r="D649" s="84"/>
      <c r="E649" s="84"/>
      <c r="F649" s="84"/>
      <c r="G649" s="84"/>
      <c r="R649" s="251"/>
      <c r="S649" s="251"/>
      <c r="BD649" s="399">
        <v>646</v>
      </c>
      <c r="BE649" s="399" t="s">
        <v>2444</v>
      </c>
      <c r="BF649" s="251" t="s">
        <v>2401</v>
      </c>
      <c r="BG649" s="399" t="s">
        <v>405</v>
      </c>
      <c r="BH649" s="252" t="s">
        <v>830</v>
      </c>
      <c r="BI649" s="251" t="s">
        <v>728</v>
      </c>
      <c r="BJ649" s="251" t="s">
        <v>380</v>
      </c>
      <c r="BK649" s="251" t="s">
        <v>2445</v>
      </c>
      <c r="BL649" s="251" t="s">
        <v>409</v>
      </c>
      <c r="BQ649" s="27" t="s">
        <v>8559</v>
      </c>
      <c r="BR649" s="27" t="s">
        <v>7334</v>
      </c>
    </row>
    <row r="650" spans="2:70" ht="15">
      <c r="B650" s="84"/>
      <c r="D650" s="84"/>
      <c r="E650" s="84"/>
      <c r="F650" s="84"/>
      <c r="G650" s="84"/>
      <c r="R650" s="251"/>
      <c r="S650" s="251"/>
      <c r="BD650" s="399">
        <v>647</v>
      </c>
      <c r="BE650" s="399" t="s">
        <v>2446</v>
      </c>
      <c r="BF650" s="251" t="s">
        <v>2401</v>
      </c>
      <c r="BG650" s="399" t="s">
        <v>405</v>
      </c>
      <c r="BH650" s="252" t="s">
        <v>412</v>
      </c>
      <c r="BI650" s="251" t="s">
        <v>728</v>
      </c>
      <c r="BJ650" s="251" t="s">
        <v>539</v>
      </c>
      <c r="BK650" s="251" t="s">
        <v>2447</v>
      </c>
      <c r="BL650" s="251" t="s">
        <v>409</v>
      </c>
      <c r="BQ650" s="27" t="s">
        <v>8560</v>
      </c>
      <c r="BR650" s="27" t="s">
        <v>8561</v>
      </c>
    </row>
    <row r="651" spans="2:70" ht="15">
      <c r="B651" s="84"/>
      <c r="D651" s="84"/>
      <c r="E651" s="84"/>
      <c r="F651" s="84"/>
      <c r="G651" s="84"/>
      <c r="R651" s="251"/>
      <c r="S651" s="251"/>
      <c r="BD651" s="399">
        <v>648</v>
      </c>
      <c r="BE651" s="399" t="s">
        <v>2448</v>
      </c>
      <c r="BF651" s="251" t="s">
        <v>2401</v>
      </c>
      <c r="BG651" s="399" t="s">
        <v>405</v>
      </c>
      <c r="BH651" s="252" t="s">
        <v>830</v>
      </c>
      <c r="BI651" s="251" t="s">
        <v>728</v>
      </c>
      <c r="BJ651" s="251" t="s">
        <v>407</v>
      </c>
      <c r="BK651" s="251" t="s">
        <v>2449</v>
      </c>
      <c r="BL651" s="251" t="s">
        <v>409</v>
      </c>
      <c r="BQ651" s="27" t="s">
        <v>8562</v>
      </c>
      <c r="BR651" s="27" t="s">
        <v>7345</v>
      </c>
    </row>
    <row r="652" spans="2:70" ht="15">
      <c r="B652" s="84"/>
      <c r="D652" s="84"/>
      <c r="E652" s="84"/>
      <c r="F652" s="84"/>
      <c r="G652" s="84"/>
      <c r="R652" s="251"/>
      <c r="S652" s="251"/>
      <c r="BD652" s="399">
        <v>649</v>
      </c>
      <c r="BE652" s="399" t="s">
        <v>2450</v>
      </c>
      <c r="BF652" s="251" t="s">
        <v>2401</v>
      </c>
      <c r="BG652" s="399" t="s">
        <v>405</v>
      </c>
      <c r="BH652" s="252" t="s">
        <v>412</v>
      </c>
      <c r="BI652" s="251" t="s">
        <v>728</v>
      </c>
      <c r="BJ652" s="251" t="s">
        <v>2159</v>
      </c>
      <c r="BK652" s="251" t="s">
        <v>2451</v>
      </c>
      <c r="BL652" s="251" t="s">
        <v>409</v>
      </c>
      <c r="BQ652" s="27" t="s">
        <v>8563</v>
      </c>
      <c r="BR652" s="27" t="s">
        <v>8564</v>
      </c>
    </row>
    <row r="653" spans="2:70" ht="15">
      <c r="B653" s="84"/>
      <c r="D653" s="84"/>
      <c r="E653" s="84"/>
      <c r="F653" s="84"/>
      <c r="G653" s="84"/>
      <c r="R653" s="251"/>
      <c r="S653" s="251"/>
      <c r="BD653" s="399">
        <v>650</v>
      </c>
      <c r="BE653" s="399" t="s">
        <v>2452</v>
      </c>
      <c r="BF653" s="251" t="s">
        <v>2401</v>
      </c>
      <c r="BG653" s="399" t="s">
        <v>405</v>
      </c>
      <c r="BH653" s="252" t="s">
        <v>1395</v>
      </c>
      <c r="BI653" s="251" t="s">
        <v>535</v>
      </c>
      <c r="BJ653" s="251" t="s">
        <v>407</v>
      </c>
      <c r="BK653" s="251" t="s">
        <v>2453</v>
      </c>
      <c r="BL653" s="251" t="s">
        <v>409</v>
      </c>
      <c r="BQ653" s="27" t="s">
        <v>8565</v>
      </c>
      <c r="BR653" s="27" t="s">
        <v>8566</v>
      </c>
    </row>
    <row r="654" spans="2:70" ht="15">
      <c r="B654" s="84"/>
      <c r="D654" s="84"/>
      <c r="E654" s="84"/>
      <c r="F654" s="84"/>
      <c r="G654" s="84"/>
      <c r="R654" s="251"/>
      <c r="S654" s="251"/>
      <c r="BD654" s="399">
        <v>651</v>
      </c>
      <c r="BE654" s="399" t="s">
        <v>2454</v>
      </c>
      <c r="BF654" s="251" t="s">
        <v>2401</v>
      </c>
      <c r="BG654" s="399" t="s">
        <v>405</v>
      </c>
      <c r="BH654" s="252" t="s">
        <v>1241</v>
      </c>
      <c r="BI654" s="251" t="s">
        <v>2159</v>
      </c>
      <c r="BJ654" s="251" t="s">
        <v>2416</v>
      </c>
      <c r="BK654" s="251" t="s">
        <v>2455</v>
      </c>
      <c r="BL654" s="251" t="s">
        <v>409</v>
      </c>
      <c r="BQ654" s="27" t="s">
        <v>8567</v>
      </c>
      <c r="BR654" s="27" t="s">
        <v>8568</v>
      </c>
    </row>
    <row r="655" spans="2:70" ht="15">
      <c r="B655" s="84"/>
      <c r="D655" s="84"/>
      <c r="E655" s="84"/>
      <c r="F655" s="84"/>
      <c r="G655" s="84"/>
      <c r="R655" s="251"/>
      <c r="S655" s="251"/>
      <c r="BD655" s="399">
        <v>652</v>
      </c>
      <c r="BE655" s="399" t="s">
        <v>2456</v>
      </c>
      <c r="BF655" s="251" t="s">
        <v>2401</v>
      </c>
      <c r="BG655" s="399" t="s">
        <v>469</v>
      </c>
      <c r="BH655" s="252" t="s">
        <v>662</v>
      </c>
      <c r="BI655" s="251" t="s">
        <v>331</v>
      </c>
      <c r="BJ655" s="251" t="s">
        <v>380</v>
      </c>
      <c r="BK655" s="251" t="s">
        <v>2457</v>
      </c>
      <c r="BL655" s="251" t="s">
        <v>472</v>
      </c>
      <c r="BQ655" s="27" t="s">
        <v>8569</v>
      </c>
      <c r="BR655" s="27" t="s">
        <v>8570</v>
      </c>
    </row>
    <row r="656" spans="2:70" ht="15">
      <c r="B656" s="84"/>
      <c r="D656" s="84"/>
      <c r="E656" s="84"/>
      <c r="F656" s="84"/>
      <c r="G656" s="84"/>
      <c r="R656" s="251"/>
      <c r="S656" s="251"/>
      <c r="BD656" s="399">
        <v>653</v>
      </c>
      <c r="BE656" s="399" t="s">
        <v>1570</v>
      </c>
      <c r="BF656" s="251" t="s">
        <v>2401</v>
      </c>
      <c r="BG656" s="399" t="s">
        <v>469</v>
      </c>
      <c r="BH656" s="252" t="s">
        <v>470</v>
      </c>
      <c r="BI656" s="251" t="s">
        <v>331</v>
      </c>
      <c r="BJ656" s="251" t="s">
        <v>397</v>
      </c>
      <c r="BK656" s="251" t="s">
        <v>2458</v>
      </c>
      <c r="BL656" s="251" t="s">
        <v>472</v>
      </c>
      <c r="BQ656" s="27" t="s">
        <v>8571</v>
      </c>
      <c r="BR656" s="27" t="s">
        <v>7351</v>
      </c>
    </row>
    <row r="657" spans="2:70" ht="15">
      <c r="B657" s="84"/>
      <c r="D657" s="84"/>
      <c r="E657" s="84"/>
      <c r="F657" s="84"/>
      <c r="G657" s="84"/>
      <c r="R657" s="251"/>
      <c r="S657" s="251"/>
      <c r="BD657" s="399">
        <v>654</v>
      </c>
      <c r="BE657" s="399" t="s">
        <v>2459</v>
      </c>
      <c r="BF657" s="251" t="s">
        <v>2401</v>
      </c>
      <c r="BG657" s="399" t="s">
        <v>469</v>
      </c>
      <c r="BH657" s="252" t="s">
        <v>470</v>
      </c>
      <c r="BI657" s="251" t="s">
        <v>331</v>
      </c>
      <c r="BJ657" s="251" t="s">
        <v>2460</v>
      </c>
      <c r="BK657" s="251" t="s">
        <v>2461</v>
      </c>
      <c r="BL657" s="251" t="s">
        <v>472</v>
      </c>
      <c r="BQ657" s="27" t="s">
        <v>8572</v>
      </c>
      <c r="BR657" s="27" t="s">
        <v>8573</v>
      </c>
    </row>
    <row r="658" spans="2:70" ht="15">
      <c r="B658" s="84"/>
      <c r="D658" s="84"/>
      <c r="E658" s="84"/>
      <c r="F658" s="84"/>
      <c r="G658" s="84"/>
      <c r="R658" s="251"/>
      <c r="S658" s="251"/>
      <c r="BD658" s="399">
        <v>655</v>
      </c>
      <c r="BE658" s="399" t="s">
        <v>2462</v>
      </c>
      <c r="BF658" s="251" t="s">
        <v>2401</v>
      </c>
      <c r="BG658" s="399" t="s">
        <v>469</v>
      </c>
      <c r="BH658" s="252" t="s">
        <v>470</v>
      </c>
      <c r="BI658" s="251" t="s">
        <v>332</v>
      </c>
      <c r="BJ658" s="251" t="s">
        <v>1385</v>
      </c>
      <c r="BK658" s="251" t="s">
        <v>2463</v>
      </c>
      <c r="BL658" s="251" t="s">
        <v>472</v>
      </c>
      <c r="BQ658" s="27" t="s">
        <v>8574</v>
      </c>
      <c r="BR658" s="27" t="s">
        <v>8575</v>
      </c>
    </row>
    <row r="659" spans="2:70" ht="15">
      <c r="B659" s="84"/>
      <c r="D659" s="84"/>
      <c r="E659" s="84"/>
      <c r="F659" s="84"/>
      <c r="G659" s="84"/>
      <c r="R659" s="251"/>
      <c r="S659" s="251"/>
      <c r="BD659" s="399">
        <v>656</v>
      </c>
      <c r="BE659" s="399" t="s">
        <v>2464</v>
      </c>
      <c r="BF659" s="251" t="s">
        <v>2401</v>
      </c>
      <c r="BG659" s="399" t="s">
        <v>469</v>
      </c>
      <c r="BH659" s="252" t="s">
        <v>470</v>
      </c>
      <c r="BI659" s="251" t="s">
        <v>332</v>
      </c>
      <c r="BJ659" s="251" t="s">
        <v>2159</v>
      </c>
      <c r="BK659" s="251" t="s">
        <v>2465</v>
      </c>
      <c r="BL659" s="251" t="s">
        <v>472</v>
      </c>
      <c r="BQ659" s="27" t="s">
        <v>8576</v>
      </c>
      <c r="BR659" s="27" t="s">
        <v>8577</v>
      </c>
    </row>
    <row r="660" spans="2:70" ht="15">
      <c r="B660" s="84"/>
      <c r="D660" s="84"/>
      <c r="E660" s="84"/>
      <c r="F660" s="84"/>
      <c r="G660" s="84"/>
      <c r="R660" s="251"/>
      <c r="S660" s="251"/>
      <c r="BD660" s="399">
        <v>657</v>
      </c>
      <c r="BE660" s="399" t="s">
        <v>2466</v>
      </c>
      <c r="BF660" s="251" t="s">
        <v>2401</v>
      </c>
      <c r="BG660" s="399" t="s">
        <v>469</v>
      </c>
      <c r="BH660" s="252" t="s">
        <v>470</v>
      </c>
      <c r="BI660" s="251" t="s">
        <v>334</v>
      </c>
      <c r="BJ660" s="251" t="s">
        <v>2460</v>
      </c>
      <c r="BK660" s="251" t="s">
        <v>2467</v>
      </c>
      <c r="BL660" s="251" t="s">
        <v>472</v>
      </c>
      <c r="BQ660" s="27" t="s">
        <v>8578</v>
      </c>
      <c r="BR660" s="27" t="s">
        <v>7362</v>
      </c>
    </row>
    <row r="661" spans="2:70" ht="15">
      <c r="B661" s="84"/>
      <c r="D661" s="84"/>
      <c r="E661" s="84"/>
      <c r="F661" s="84"/>
      <c r="G661" s="84"/>
      <c r="R661" s="251"/>
      <c r="S661" s="251"/>
      <c r="BD661" s="399">
        <v>658</v>
      </c>
      <c r="BE661" s="399" t="s">
        <v>2468</v>
      </c>
      <c r="BF661" s="251" t="s">
        <v>2401</v>
      </c>
      <c r="BG661" s="399" t="s">
        <v>469</v>
      </c>
      <c r="BH661" s="252" t="s">
        <v>470</v>
      </c>
      <c r="BI661" s="251" t="s">
        <v>407</v>
      </c>
      <c r="BJ661" s="251" t="s">
        <v>351</v>
      </c>
      <c r="BK661" s="251" t="s">
        <v>2469</v>
      </c>
      <c r="BL661" s="251" t="s">
        <v>472</v>
      </c>
      <c r="BQ661" s="27" t="s">
        <v>8579</v>
      </c>
      <c r="BR661" s="27" t="s">
        <v>7363</v>
      </c>
    </row>
    <row r="662" spans="2:70" ht="15">
      <c r="B662" s="84"/>
      <c r="D662" s="84"/>
      <c r="E662" s="84"/>
      <c r="F662" s="84"/>
      <c r="G662" s="84"/>
      <c r="R662" s="251"/>
      <c r="S662" s="251"/>
      <c r="BD662" s="399">
        <v>659</v>
      </c>
      <c r="BE662" s="399" t="s">
        <v>2470</v>
      </c>
      <c r="BF662" s="251" t="s">
        <v>2401</v>
      </c>
      <c r="BG662" s="399" t="s">
        <v>469</v>
      </c>
      <c r="BH662" s="252" t="s">
        <v>470</v>
      </c>
      <c r="BI662" s="251" t="s">
        <v>2471</v>
      </c>
      <c r="BJ662" s="251" t="s">
        <v>407</v>
      </c>
      <c r="BK662" s="251" t="s">
        <v>2472</v>
      </c>
      <c r="BL662" s="251" t="s">
        <v>472</v>
      </c>
      <c r="BQ662" s="27" t="s">
        <v>8580</v>
      </c>
      <c r="BR662" s="27" t="s">
        <v>8581</v>
      </c>
    </row>
    <row r="663" spans="2:70" ht="15">
      <c r="B663" s="84"/>
      <c r="D663" s="84"/>
      <c r="E663" s="84"/>
      <c r="F663" s="84"/>
      <c r="G663" s="84"/>
      <c r="R663" s="251"/>
      <c r="S663" s="251"/>
      <c r="BD663" s="399">
        <v>660</v>
      </c>
      <c r="BE663" s="399" t="s">
        <v>2473</v>
      </c>
      <c r="BF663" s="251" t="s">
        <v>2401</v>
      </c>
      <c r="BG663" s="399" t="s">
        <v>469</v>
      </c>
      <c r="BH663" s="252" t="s">
        <v>470</v>
      </c>
      <c r="BI663" s="251" t="s">
        <v>2474</v>
      </c>
      <c r="BJ663" s="251" t="s">
        <v>2475</v>
      </c>
      <c r="BK663" s="251" t="s">
        <v>2476</v>
      </c>
      <c r="BL663" s="251" t="s">
        <v>472</v>
      </c>
      <c r="BQ663" s="27" t="s">
        <v>8582</v>
      </c>
      <c r="BR663" s="27" t="s">
        <v>8583</v>
      </c>
    </row>
    <row r="664" spans="2:70" ht="15">
      <c r="B664" s="84"/>
      <c r="D664" s="84"/>
      <c r="E664" s="84"/>
      <c r="F664" s="84"/>
      <c r="G664" s="84"/>
      <c r="R664" s="251"/>
      <c r="S664" s="251"/>
      <c r="BD664" s="399">
        <v>661</v>
      </c>
      <c r="BE664" s="399" t="s">
        <v>2477</v>
      </c>
      <c r="BF664" s="251" t="s">
        <v>2401</v>
      </c>
      <c r="BG664" s="399" t="s">
        <v>469</v>
      </c>
      <c r="BH664" s="252" t="s">
        <v>470</v>
      </c>
      <c r="BI664" s="251" t="s">
        <v>2478</v>
      </c>
      <c r="BJ664" s="251" t="s">
        <v>2159</v>
      </c>
      <c r="BK664" s="251" t="s">
        <v>2479</v>
      </c>
      <c r="BL664" s="251" t="s">
        <v>472</v>
      </c>
      <c r="BQ664" s="27" t="s">
        <v>8584</v>
      </c>
      <c r="BR664" s="27" t="s">
        <v>8585</v>
      </c>
    </row>
    <row r="665" spans="2:70" ht="15">
      <c r="B665" s="84"/>
      <c r="D665" s="84"/>
      <c r="E665" s="84"/>
      <c r="F665" s="84"/>
      <c r="G665" s="84"/>
      <c r="R665" s="251"/>
      <c r="S665" s="251"/>
      <c r="BD665" s="399">
        <v>662</v>
      </c>
      <c r="BE665" s="399" t="s">
        <v>2480</v>
      </c>
      <c r="BF665" s="251" t="s">
        <v>2401</v>
      </c>
      <c r="BG665" s="399" t="s">
        <v>469</v>
      </c>
      <c r="BH665" s="252" t="s">
        <v>470</v>
      </c>
      <c r="BI665" s="251" t="s">
        <v>2481</v>
      </c>
      <c r="BJ665" s="251" t="s">
        <v>2482</v>
      </c>
      <c r="BK665" s="251" t="s">
        <v>2483</v>
      </c>
      <c r="BL665" s="251" t="s">
        <v>472</v>
      </c>
      <c r="BQ665" s="27" t="s">
        <v>8426</v>
      </c>
      <c r="BR665" s="27" t="s">
        <v>7373</v>
      </c>
    </row>
    <row r="666" spans="2:70" ht="15">
      <c r="B666" s="84"/>
      <c r="D666" s="84"/>
      <c r="E666" s="84"/>
      <c r="F666" s="84"/>
      <c r="G666" s="84"/>
      <c r="R666" s="251"/>
      <c r="S666" s="251"/>
      <c r="BD666" s="399">
        <v>663</v>
      </c>
      <c r="BE666" s="399" t="s">
        <v>2484</v>
      </c>
      <c r="BF666" s="251" t="s">
        <v>2401</v>
      </c>
      <c r="BG666" s="399" t="s">
        <v>469</v>
      </c>
      <c r="BH666" s="252" t="s">
        <v>470</v>
      </c>
      <c r="BI666" s="251" t="s">
        <v>524</v>
      </c>
      <c r="BJ666" s="251" t="s">
        <v>1385</v>
      </c>
      <c r="BK666" s="251" t="s">
        <v>2485</v>
      </c>
      <c r="BL666" s="251" t="s">
        <v>472</v>
      </c>
      <c r="BQ666" s="27" t="s">
        <v>8586</v>
      </c>
      <c r="BR666" s="27" t="s">
        <v>7374</v>
      </c>
    </row>
    <row r="667" spans="2:70" ht="15">
      <c r="B667" s="84"/>
      <c r="D667" s="84"/>
      <c r="E667" s="84"/>
      <c r="F667" s="84"/>
      <c r="G667" s="84"/>
      <c r="R667" s="251"/>
      <c r="S667" s="251"/>
      <c r="BD667" s="399">
        <v>664</v>
      </c>
      <c r="BE667" s="399" t="s">
        <v>2486</v>
      </c>
      <c r="BF667" s="251" t="s">
        <v>2401</v>
      </c>
      <c r="BG667" s="399" t="s">
        <v>469</v>
      </c>
      <c r="BH667" s="252" t="s">
        <v>470</v>
      </c>
      <c r="BI667" s="251" t="s">
        <v>740</v>
      </c>
      <c r="BJ667" s="251" t="s">
        <v>413</v>
      </c>
      <c r="BK667" s="251" t="s">
        <v>2487</v>
      </c>
      <c r="BL667" s="251" t="s">
        <v>472</v>
      </c>
      <c r="BQ667" s="27" t="s">
        <v>8587</v>
      </c>
      <c r="BR667" s="27" t="s">
        <v>8588</v>
      </c>
    </row>
    <row r="668" spans="2:70" ht="15">
      <c r="B668" s="84"/>
      <c r="D668" s="84"/>
      <c r="E668" s="84"/>
      <c r="F668" s="84"/>
      <c r="G668" s="84"/>
      <c r="R668" s="251"/>
      <c r="S668" s="251"/>
      <c r="BD668" s="399">
        <v>665</v>
      </c>
      <c r="BE668" s="399" t="s">
        <v>2488</v>
      </c>
      <c r="BF668" s="251" t="s">
        <v>2401</v>
      </c>
      <c r="BG668" s="399" t="s">
        <v>469</v>
      </c>
      <c r="BH668" s="252" t="s">
        <v>470</v>
      </c>
      <c r="BI668" s="251" t="s">
        <v>379</v>
      </c>
      <c r="BJ668" s="251" t="s">
        <v>954</v>
      </c>
      <c r="BK668" s="251" t="s">
        <v>2489</v>
      </c>
      <c r="BL668" s="251" t="s">
        <v>472</v>
      </c>
      <c r="BQ668" s="27" t="s">
        <v>8589</v>
      </c>
      <c r="BR668" s="27" t="s">
        <v>8590</v>
      </c>
    </row>
    <row r="669" spans="2:70" ht="15">
      <c r="B669" s="84"/>
      <c r="D669" s="84"/>
      <c r="E669" s="84"/>
      <c r="F669" s="84"/>
      <c r="G669" s="84"/>
      <c r="R669" s="251"/>
      <c r="S669" s="251"/>
      <c r="BD669" s="399">
        <v>666</v>
      </c>
      <c r="BE669" s="399" t="s">
        <v>2490</v>
      </c>
      <c r="BF669" s="251" t="s">
        <v>2401</v>
      </c>
      <c r="BG669" s="399" t="s">
        <v>469</v>
      </c>
      <c r="BH669" s="252" t="s">
        <v>470</v>
      </c>
      <c r="BI669" s="251" t="s">
        <v>390</v>
      </c>
      <c r="BJ669" s="251" t="s">
        <v>2333</v>
      </c>
      <c r="BK669" s="251" t="s">
        <v>2491</v>
      </c>
      <c r="BL669" s="251" t="s">
        <v>472</v>
      </c>
      <c r="BQ669" s="27" t="s">
        <v>8591</v>
      </c>
      <c r="BR669" s="27" t="s">
        <v>8592</v>
      </c>
    </row>
    <row r="670" spans="2:70" ht="15">
      <c r="B670" s="84"/>
      <c r="D670" s="84"/>
      <c r="E670" s="84"/>
      <c r="F670" s="84"/>
      <c r="G670" s="84"/>
      <c r="R670" s="251"/>
      <c r="S670" s="251"/>
      <c r="BD670" s="399">
        <v>667</v>
      </c>
      <c r="BE670" s="399" t="s">
        <v>2492</v>
      </c>
      <c r="BF670" s="251" t="s">
        <v>2401</v>
      </c>
      <c r="BG670" s="399" t="s">
        <v>469</v>
      </c>
      <c r="BH670" s="252" t="s">
        <v>470</v>
      </c>
      <c r="BI670" s="251" t="s">
        <v>390</v>
      </c>
      <c r="BJ670" s="251" t="s">
        <v>2460</v>
      </c>
      <c r="BK670" s="251" t="s">
        <v>2493</v>
      </c>
      <c r="BL670" s="251" t="s">
        <v>472</v>
      </c>
      <c r="BQ670" s="27" t="s">
        <v>8593</v>
      </c>
      <c r="BR670" s="27" t="s">
        <v>8594</v>
      </c>
    </row>
    <row r="671" spans="2:70" ht="15">
      <c r="B671" s="84"/>
      <c r="D671" s="84"/>
      <c r="E671" s="84"/>
      <c r="F671" s="84"/>
      <c r="G671" s="84"/>
      <c r="R671" s="251"/>
      <c r="S671" s="251"/>
      <c r="BD671" s="399">
        <v>668</v>
      </c>
      <c r="BE671" s="399" t="s">
        <v>2494</v>
      </c>
      <c r="BF671" s="251" t="s">
        <v>2401</v>
      </c>
      <c r="BG671" s="399" t="s">
        <v>469</v>
      </c>
      <c r="BH671" s="252" t="s">
        <v>470</v>
      </c>
      <c r="BI671" s="251" t="s">
        <v>491</v>
      </c>
      <c r="BJ671" s="251" t="s">
        <v>380</v>
      </c>
      <c r="BK671" s="251" t="s">
        <v>2495</v>
      </c>
      <c r="BL671" s="251" t="s">
        <v>472</v>
      </c>
      <c r="BQ671" s="27" t="s">
        <v>8595</v>
      </c>
      <c r="BR671" s="27" t="s">
        <v>8596</v>
      </c>
    </row>
    <row r="672" spans="2:70" ht="15">
      <c r="B672" s="84"/>
      <c r="D672" s="84"/>
      <c r="E672" s="84"/>
      <c r="F672" s="84"/>
      <c r="G672" s="84"/>
      <c r="R672" s="251"/>
      <c r="S672" s="251"/>
      <c r="BD672" s="399">
        <v>669</v>
      </c>
      <c r="BE672" s="399" t="s">
        <v>2496</v>
      </c>
      <c r="BF672" s="251" t="s">
        <v>2401</v>
      </c>
      <c r="BG672" s="399" t="s">
        <v>469</v>
      </c>
      <c r="BH672" s="252" t="s">
        <v>470</v>
      </c>
      <c r="BI672" s="251" t="s">
        <v>491</v>
      </c>
      <c r="BJ672" s="251" t="s">
        <v>407</v>
      </c>
      <c r="BK672" s="251" t="s">
        <v>2497</v>
      </c>
      <c r="BL672" s="251" t="s">
        <v>472</v>
      </c>
      <c r="BQ672" s="27" t="s">
        <v>8597</v>
      </c>
      <c r="BR672" s="27" t="s">
        <v>8598</v>
      </c>
    </row>
    <row r="673" spans="2:70" ht="15">
      <c r="B673" s="84"/>
      <c r="D673" s="84"/>
      <c r="E673" s="84"/>
      <c r="F673" s="84"/>
      <c r="G673" s="84"/>
      <c r="R673" s="251"/>
      <c r="S673" s="251"/>
      <c r="BD673" s="399">
        <v>670</v>
      </c>
      <c r="BE673" s="399" t="s">
        <v>2498</v>
      </c>
      <c r="BF673" s="251" t="s">
        <v>2401</v>
      </c>
      <c r="BG673" s="399" t="s">
        <v>469</v>
      </c>
      <c r="BH673" s="252" t="s">
        <v>470</v>
      </c>
      <c r="BI673" s="251" t="s">
        <v>491</v>
      </c>
      <c r="BJ673" s="251" t="s">
        <v>397</v>
      </c>
      <c r="BK673" s="251" t="s">
        <v>2499</v>
      </c>
      <c r="BL673" s="251" t="s">
        <v>472</v>
      </c>
      <c r="BQ673" s="27" t="s">
        <v>8599</v>
      </c>
      <c r="BR673" s="27" t="s">
        <v>8600</v>
      </c>
    </row>
    <row r="674" spans="2:70" ht="15">
      <c r="B674" s="84"/>
      <c r="D674" s="84"/>
      <c r="E674" s="84"/>
      <c r="F674" s="84"/>
      <c r="G674" s="84"/>
      <c r="R674" s="251"/>
      <c r="S674" s="251"/>
      <c r="BD674" s="399">
        <v>671</v>
      </c>
      <c r="BE674" s="399" t="s">
        <v>2500</v>
      </c>
      <c r="BF674" s="251" t="s">
        <v>2401</v>
      </c>
      <c r="BG674" s="399" t="s">
        <v>469</v>
      </c>
      <c r="BH674" s="252" t="s">
        <v>470</v>
      </c>
      <c r="BI674" s="251" t="s">
        <v>728</v>
      </c>
      <c r="BJ674" s="251" t="s">
        <v>380</v>
      </c>
      <c r="BK674" s="251" t="s">
        <v>2501</v>
      </c>
      <c r="BL674" s="251" t="s">
        <v>472</v>
      </c>
      <c r="BQ674" s="27" t="s">
        <v>8601</v>
      </c>
      <c r="BR674" s="27" t="s">
        <v>8602</v>
      </c>
    </row>
    <row r="675" spans="2:70" ht="15">
      <c r="B675" s="84"/>
      <c r="D675" s="84"/>
      <c r="E675" s="84"/>
      <c r="F675" s="84"/>
      <c r="G675" s="84"/>
      <c r="R675" s="251"/>
      <c r="S675" s="251"/>
      <c r="BD675" s="399">
        <v>672</v>
      </c>
      <c r="BE675" s="399" t="s">
        <v>1365</v>
      </c>
      <c r="BF675" s="251" t="s">
        <v>2401</v>
      </c>
      <c r="BG675" s="399" t="s">
        <v>469</v>
      </c>
      <c r="BH675" s="252" t="s">
        <v>470</v>
      </c>
      <c r="BI675" s="251" t="s">
        <v>728</v>
      </c>
      <c r="BJ675" s="251" t="s">
        <v>407</v>
      </c>
      <c r="BK675" s="251" t="s">
        <v>1367</v>
      </c>
      <c r="BL675" s="251" t="s">
        <v>472</v>
      </c>
      <c r="BQ675" s="27" t="s">
        <v>8603</v>
      </c>
      <c r="BR675" s="27" t="s">
        <v>8604</v>
      </c>
    </row>
    <row r="676" spans="2:70" ht="15">
      <c r="B676" s="84"/>
      <c r="D676" s="84"/>
      <c r="E676" s="84"/>
      <c r="F676" s="84"/>
      <c r="G676" s="84"/>
      <c r="R676" s="251"/>
      <c r="S676" s="251"/>
      <c r="BD676" s="399">
        <v>673</v>
      </c>
      <c r="BE676" s="399" t="s">
        <v>2502</v>
      </c>
      <c r="BF676" s="251" t="s">
        <v>2401</v>
      </c>
      <c r="BG676" s="399" t="s">
        <v>469</v>
      </c>
      <c r="BH676" s="252" t="s">
        <v>470</v>
      </c>
      <c r="BI676" s="251" t="s">
        <v>728</v>
      </c>
      <c r="BJ676" s="251" t="s">
        <v>397</v>
      </c>
      <c r="BK676" s="251" t="s">
        <v>2503</v>
      </c>
      <c r="BL676" s="251" t="s">
        <v>472</v>
      </c>
      <c r="BQ676" s="27" t="s">
        <v>8605</v>
      </c>
      <c r="BR676" s="27" t="s">
        <v>8606</v>
      </c>
    </row>
    <row r="677" spans="2:70" ht="15">
      <c r="B677" s="84"/>
      <c r="D677" s="84"/>
      <c r="E677" s="84"/>
      <c r="F677" s="84"/>
      <c r="G677" s="84"/>
      <c r="R677" s="251"/>
      <c r="S677" s="251"/>
      <c r="BD677" s="399">
        <v>674</v>
      </c>
      <c r="BE677" s="399" t="s">
        <v>2504</v>
      </c>
      <c r="BF677" s="251" t="s">
        <v>2401</v>
      </c>
      <c r="BG677" s="399" t="s">
        <v>469</v>
      </c>
      <c r="BH677" s="252" t="s">
        <v>470</v>
      </c>
      <c r="BI677" s="251" t="s">
        <v>728</v>
      </c>
      <c r="BJ677" s="251" t="s">
        <v>2159</v>
      </c>
      <c r="BK677" s="251" t="s">
        <v>2505</v>
      </c>
      <c r="BL677" s="251" t="s">
        <v>472</v>
      </c>
      <c r="BQ677" s="27" t="s">
        <v>8298</v>
      </c>
      <c r="BR677" s="27" t="s">
        <v>8299</v>
      </c>
    </row>
    <row r="678" spans="2:70" ht="15">
      <c r="B678" s="84"/>
      <c r="D678" s="84"/>
      <c r="E678" s="84"/>
      <c r="F678" s="84"/>
      <c r="G678" s="84"/>
      <c r="R678" s="251"/>
      <c r="S678" s="251"/>
      <c r="BD678" s="399">
        <v>675</v>
      </c>
      <c r="BE678" s="399" t="s">
        <v>2506</v>
      </c>
      <c r="BF678" s="251" t="s">
        <v>2401</v>
      </c>
      <c r="BG678" s="399" t="s">
        <v>469</v>
      </c>
      <c r="BH678" s="252" t="s">
        <v>470</v>
      </c>
      <c r="BI678" s="251" t="s">
        <v>728</v>
      </c>
      <c r="BJ678" s="251" t="s">
        <v>2460</v>
      </c>
      <c r="BK678" s="251" t="s">
        <v>2507</v>
      </c>
      <c r="BL678" s="251" t="s">
        <v>472</v>
      </c>
      <c r="BQ678" s="27" t="s">
        <v>8607</v>
      </c>
      <c r="BR678" s="27" t="s">
        <v>8608</v>
      </c>
    </row>
    <row r="679" spans="2:70" ht="15">
      <c r="B679" s="84"/>
      <c r="D679" s="84"/>
      <c r="E679" s="84"/>
      <c r="F679" s="84"/>
      <c r="G679" s="84"/>
      <c r="R679" s="251"/>
      <c r="S679" s="251"/>
      <c r="BD679" s="399">
        <v>676</v>
      </c>
      <c r="BE679" s="399" t="s">
        <v>2508</v>
      </c>
      <c r="BF679" s="251" t="s">
        <v>2401</v>
      </c>
      <c r="BG679" s="399" t="s">
        <v>469</v>
      </c>
      <c r="BH679" s="252" t="s">
        <v>470</v>
      </c>
      <c r="BI679" s="251" t="s">
        <v>357</v>
      </c>
      <c r="BJ679" s="251" t="s">
        <v>2509</v>
      </c>
      <c r="BK679" s="251" t="s">
        <v>2510</v>
      </c>
      <c r="BL679" s="251" t="s">
        <v>472</v>
      </c>
      <c r="BQ679" s="27" t="s">
        <v>8609</v>
      </c>
      <c r="BR679" s="27" t="s">
        <v>8610</v>
      </c>
    </row>
    <row r="680" spans="2:70" ht="15">
      <c r="B680" s="84"/>
      <c r="D680" s="84"/>
      <c r="E680" s="84"/>
      <c r="F680" s="84"/>
      <c r="G680" s="84"/>
      <c r="R680" s="251"/>
      <c r="S680" s="251"/>
      <c r="BD680" s="399">
        <v>677</v>
      </c>
      <c r="BE680" s="399" t="s">
        <v>2511</v>
      </c>
      <c r="BF680" s="251" t="s">
        <v>2401</v>
      </c>
      <c r="BG680" s="399" t="s">
        <v>469</v>
      </c>
      <c r="BH680" s="252" t="s">
        <v>470</v>
      </c>
      <c r="BI680" s="251" t="s">
        <v>583</v>
      </c>
      <c r="BJ680" s="251" t="s">
        <v>2460</v>
      </c>
      <c r="BK680" s="251" t="s">
        <v>2512</v>
      </c>
      <c r="BL680" s="251" t="s">
        <v>472</v>
      </c>
      <c r="BQ680" s="27" t="s">
        <v>8611</v>
      </c>
      <c r="BR680" s="27" t="s">
        <v>8612</v>
      </c>
    </row>
    <row r="681" spans="2:70" ht="15">
      <c r="B681" s="84"/>
      <c r="D681" s="84"/>
      <c r="E681" s="84"/>
      <c r="F681" s="84"/>
      <c r="G681" s="84"/>
      <c r="R681" s="251"/>
      <c r="S681" s="251"/>
      <c r="BD681" s="399">
        <v>678</v>
      </c>
      <c r="BE681" s="399" t="s">
        <v>2513</v>
      </c>
      <c r="BF681" s="251" t="s">
        <v>2401</v>
      </c>
      <c r="BG681" s="399" t="s">
        <v>469</v>
      </c>
      <c r="BH681" s="252" t="s">
        <v>470</v>
      </c>
      <c r="BI681" s="251" t="s">
        <v>397</v>
      </c>
      <c r="BJ681" s="251" t="s">
        <v>539</v>
      </c>
      <c r="BK681" s="251" t="s">
        <v>2514</v>
      </c>
      <c r="BL681" s="251" t="s">
        <v>472</v>
      </c>
      <c r="BQ681" s="27" t="s">
        <v>8613</v>
      </c>
      <c r="BR681" s="27" t="s">
        <v>8614</v>
      </c>
    </row>
    <row r="682" spans="2:70" ht="15">
      <c r="B682" s="84"/>
      <c r="D682" s="84"/>
      <c r="E682" s="84"/>
      <c r="F682" s="84"/>
      <c r="G682" s="84"/>
      <c r="R682" s="251"/>
      <c r="S682" s="251"/>
      <c r="BD682" s="399">
        <v>679</v>
      </c>
      <c r="BE682" s="399" t="s">
        <v>2515</v>
      </c>
      <c r="BF682" s="251" t="s">
        <v>2401</v>
      </c>
      <c r="BG682" s="399" t="s">
        <v>469</v>
      </c>
      <c r="BH682" s="252" t="s">
        <v>470</v>
      </c>
      <c r="BI682" s="251" t="s">
        <v>535</v>
      </c>
      <c r="BJ682" s="251" t="s">
        <v>2482</v>
      </c>
      <c r="BK682" s="251" t="s">
        <v>2516</v>
      </c>
      <c r="BL682" s="251" t="s">
        <v>472</v>
      </c>
      <c r="BQ682" s="27" t="s">
        <v>8615</v>
      </c>
      <c r="BR682" s="27" t="s">
        <v>8616</v>
      </c>
    </row>
    <row r="683" spans="2:70" ht="15">
      <c r="B683" s="84"/>
      <c r="D683" s="84"/>
      <c r="E683" s="84"/>
      <c r="F683" s="84"/>
      <c r="G683" s="84"/>
      <c r="R683" s="251"/>
      <c r="S683" s="251"/>
      <c r="BD683" s="399">
        <v>680</v>
      </c>
      <c r="BE683" s="399" t="s">
        <v>2517</v>
      </c>
      <c r="BF683" s="251" t="s">
        <v>2401</v>
      </c>
      <c r="BG683" s="399" t="s">
        <v>469</v>
      </c>
      <c r="BH683" s="252" t="s">
        <v>470</v>
      </c>
      <c r="BI683" s="251" t="s">
        <v>873</v>
      </c>
      <c r="BJ683" s="251" t="s">
        <v>2460</v>
      </c>
      <c r="BK683" s="251" t="s">
        <v>2518</v>
      </c>
      <c r="BL683" s="251" t="s">
        <v>472</v>
      </c>
      <c r="BQ683" s="27" t="s">
        <v>8617</v>
      </c>
      <c r="BR683" s="27" t="s">
        <v>8618</v>
      </c>
    </row>
    <row r="684" spans="2:70" ht="15">
      <c r="B684" s="84"/>
      <c r="D684" s="84"/>
      <c r="E684" s="84"/>
      <c r="F684" s="84"/>
      <c r="G684" s="84"/>
      <c r="R684" s="251"/>
      <c r="S684" s="251"/>
      <c r="BD684" s="399">
        <v>681</v>
      </c>
      <c r="BE684" s="399" t="s">
        <v>2519</v>
      </c>
      <c r="BF684" s="251" t="s">
        <v>2401</v>
      </c>
      <c r="BG684" s="399" t="s">
        <v>469</v>
      </c>
      <c r="BH684" s="252" t="s">
        <v>470</v>
      </c>
      <c r="BI684" s="251" t="s">
        <v>2159</v>
      </c>
      <c r="BJ684" s="251" t="s">
        <v>2333</v>
      </c>
      <c r="BK684" s="251" t="s">
        <v>2520</v>
      </c>
      <c r="BL684" s="251" t="s">
        <v>472</v>
      </c>
      <c r="BQ684" s="27" t="s">
        <v>8619</v>
      </c>
      <c r="BR684" s="27" t="s">
        <v>8620</v>
      </c>
    </row>
    <row r="685" spans="2:70" ht="15">
      <c r="B685" s="84"/>
      <c r="D685" s="84"/>
      <c r="E685" s="84"/>
      <c r="F685" s="84"/>
      <c r="G685" s="84"/>
      <c r="R685" s="251"/>
      <c r="S685" s="251"/>
      <c r="BD685" s="399">
        <v>682</v>
      </c>
      <c r="BE685" s="399" t="s">
        <v>2521</v>
      </c>
      <c r="BF685" s="251" t="s">
        <v>2401</v>
      </c>
      <c r="BG685" s="399" t="s">
        <v>469</v>
      </c>
      <c r="BH685" s="252" t="s">
        <v>470</v>
      </c>
      <c r="BI685" s="251" t="s">
        <v>2460</v>
      </c>
      <c r="BJ685" s="251" t="s">
        <v>2416</v>
      </c>
      <c r="BK685" s="251" t="s">
        <v>2522</v>
      </c>
      <c r="BL685" s="251" t="s">
        <v>472</v>
      </c>
      <c r="BQ685" s="27" t="s">
        <v>8621</v>
      </c>
      <c r="BR685" s="27" t="s">
        <v>8622</v>
      </c>
    </row>
    <row r="686" spans="2:70" ht="15">
      <c r="B686" s="84"/>
      <c r="D686" s="84"/>
      <c r="E686" s="84"/>
      <c r="F686" s="84"/>
      <c r="G686" s="84"/>
      <c r="R686" s="251"/>
      <c r="S686" s="251"/>
      <c r="BD686" s="399">
        <v>683</v>
      </c>
      <c r="BE686" s="399" t="s">
        <v>2523</v>
      </c>
      <c r="BF686" s="251" t="s">
        <v>2401</v>
      </c>
      <c r="BG686" s="399" t="s">
        <v>469</v>
      </c>
      <c r="BH686" s="252" t="s">
        <v>470</v>
      </c>
      <c r="BI686" s="251" t="s">
        <v>413</v>
      </c>
      <c r="BJ686" s="251" t="s">
        <v>351</v>
      </c>
      <c r="BK686" s="251" t="s">
        <v>2524</v>
      </c>
      <c r="BL686" s="251" t="s">
        <v>472</v>
      </c>
      <c r="BQ686" s="27" t="s">
        <v>8623</v>
      </c>
      <c r="BR686" s="27" t="s">
        <v>8624</v>
      </c>
    </row>
    <row r="687" spans="2:70" ht="15">
      <c r="B687" s="84"/>
      <c r="D687" s="84"/>
      <c r="E687" s="84"/>
      <c r="F687" s="84"/>
      <c r="G687" s="84"/>
      <c r="R687" s="251"/>
      <c r="S687" s="251"/>
      <c r="BD687" s="399">
        <v>684</v>
      </c>
      <c r="BE687" s="399" t="s">
        <v>2525</v>
      </c>
      <c r="BF687" s="251" t="s">
        <v>2401</v>
      </c>
      <c r="BG687" s="399" t="s">
        <v>363</v>
      </c>
      <c r="BH687" s="252" t="s">
        <v>364</v>
      </c>
      <c r="BI687" s="251" t="s">
        <v>331</v>
      </c>
      <c r="BJ687" s="251" t="s">
        <v>407</v>
      </c>
      <c r="BK687" s="251" t="s">
        <v>2526</v>
      </c>
      <c r="BL687" s="251" t="s">
        <v>368</v>
      </c>
      <c r="BQ687" s="27" t="s">
        <v>8625</v>
      </c>
      <c r="BR687" s="27" t="s">
        <v>8626</v>
      </c>
    </row>
    <row r="688" spans="2:70" ht="15">
      <c r="B688" s="84"/>
      <c r="D688" s="84"/>
      <c r="E688" s="84"/>
      <c r="F688" s="84"/>
      <c r="G688" s="84"/>
      <c r="R688" s="251"/>
      <c r="S688" s="251"/>
      <c r="BD688" s="399">
        <v>685</v>
      </c>
      <c r="BE688" s="399" t="s">
        <v>2527</v>
      </c>
      <c r="BF688" s="251" t="s">
        <v>2401</v>
      </c>
      <c r="BG688" s="399" t="s">
        <v>363</v>
      </c>
      <c r="BH688" s="252" t="s">
        <v>364</v>
      </c>
      <c r="BI688" s="251" t="s">
        <v>331</v>
      </c>
      <c r="BJ688" s="251" t="s">
        <v>2159</v>
      </c>
      <c r="BK688" s="251" t="s">
        <v>2528</v>
      </c>
      <c r="BL688" s="251" t="s">
        <v>368</v>
      </c>
      <c r="BQ688" s="27" t="s">
        <v>8627</v>
      </c>
      <c r="BR688" s="27" t="s">
        <v>8628</v>
      </c>
    </row>
    <row r="689" spans="2:70" ht="15">
      <c r="B689" s="84"/>
      <c r="D689" s="84"/>
      <c r="E689" s="84"/>
      <c r="F689" s="84"/>
      <c r="G689" s="84"/>
      <c r="R689" s="251"/>
      <c r="S689" s="251"/>
      <c r="BD689" s="399">
        <v>686</v>
      </c>
      <c r="BE689" s="399" t="s">
        <v>2529</v>
      </c>
      <c r="BF689" s="251" t="s">
        <v>2401</v>
      </c>
      <c r="BG689" s="399" t="s">
        <v>363</v>
      </c>
      <c r="BH689" s="252" t="s">
        <v>364</v>
      </c>
      <c r="BI689" s="251" t="s">
        <v>331</v>
      </c>
      <c r="BJ689" s="251" t="s">
        <v>2530</v>
      </c>
      <c r="BK689" s="251" t="s">
        <v>2531</v>
      </c>
      <c r="BL689" s="251" t="s">
        <v>368</v>
      </c>
      <c r="BQ689" s="27" t="s">
        <v>8629</v>
      </c>
      <c r="BR689" s="27" t="s">
        <v>8630</v>
      </c>
    </row>
    <row r="690" spans="2:70" ht="15">
      <c r="B690" s="84"/>
      <c r="D690" s="84"/>
      <c r="E690" s="84"/>
      <c r="F690" s="84"/>
      <c r="G690" s="84"/>
      <c r="R690" s="251"/>
      <c r="S690" s="251"/>
      <c r="BD690" s="399">
        <v>687</v>
      </c>
      <c r="BE690" s="399" t="s">
        <v>2532</v>
      </c>
      <c r="BF690" s="251" t="s">
        <v>2401</v>
      </c>
      <c r="BG690" s="399" t="s">
        <v>363</v>
      </c>
      <c r="BH690" s="252" t="s">
        <v>364</v>
      </c>
      <c r="BI690" s="251" t="s">
        <v>332</v>
      </c>
      <c r="BJ690" s="251" t="s">
        <v>380</v>
      </c>
      <c r="BK690" s="251" t="s">
        <v>2533</v>
      </c>
      <c r="BL690" s="251" t="s">
        <v>368</v>
      </c>
      <c r="BQ690" s="27" t="s">
        <v>8631</v>
      </c>
      <c r="BR690" s="27" t="s">
        <v>7410</v>
      </c>
    </row>
    <row r="691" spans="2:70" ht="15">
      <c r="B691" s="84"/>
      <c r="D691" s="84"/>
      <c r="E691" s="84"/>
      <c r="F691" s="84"/>
      <c r="G691" s="84"/>
      <c r="R691" s="251"/>
      <c r="S691" s="251"/>
      <c r="BD691" s="399">
        <v>688</v>
      </c>
      <c r="BE691" s="399" t="s">
        <v>2534</v>
      </c>
      <c r="BF691" s="251" t="s">
        <v>2401</v>
      </c>
      <c r="BG691" s="399" t="s">
        <v>363</v>
      </c>
      <c r="BH691" s="252" t="s">
        <v>364</v>
      </c>
      <c r="BI691" s="251" t="s">
        <v>334</v>
      </c>
      <c r="BJ691" s="251" t="s">
        <v>397</v>
      </c>
      <c r="BK691" s="251" t="s">
        <v>2535</v>
      </c>
      <c r="BL691" s="251" t="s">
        <v>368</v>
      </c>
      <c r="BQ691" s="27" t="s">
        <v>8632</v>
      </c>
      <c r="BR691" s="27" t="s">
        <v>8633</v>
      </c>
    </row>
    <row r="692" spans="2:70" ht="15">
      <c r="B692" s="84"/>
      <c r="D692" s="84"/>
      <c r="E692" s="84"/>
      <c r="F692" s="84"/>
      <c r="G692" s="84"/>
      <c r="R692" s="251"/>
      <c r="S692" s="251"/>
      <c r="BD692" s="399">
        <v>689</v>
      </c>
      <c r="BE692" s="399" t="s">
        <v>2536</v>
      </c>
      <c r="BF692" s="251" t="s">
        <v>2401</v>
      </c>
      <c r="BG692" s="399" t="s">
        <v>363</v>
      </c>
      <c r="BH692" s="252" t="s">
        <v>364</v>
      </c>
      <c r="BI692" s="251" t="s">
        <v>2537</v>
      </c>
      <c r="BJ692" s="251" t="s">
        <v>1385</v>
      </c>
      <c r="BK692" s="251" t="s">
        <v>2538</v>
      </c>
      <c r="BL692" s="251" t="s">
        <v>368</v>
      </c>
      <c r="BQ692" s="27" t="s">
        <v>8634</v>
      </c>
      <c r="BR692" s="27" t="s">
        <v>7414</v>
      </c>
    </row>
    <row r="693" spans="2:70" ht="15">
      <c r="B693" s="84"/>
      <c r="D693" s="84"/>
      <c r="E693" s="84"/>
      <c r="F693" s="84"/>
      <c r="G693" s="84"/>
      <c r="R693" s="251"/>
      <c r="S693" s="251"/>
      <c r="BD693" s="399">
        <v>690</v>
      </c>
      <c r="BE693" s="399" t="s">
        <v>2539</v>
      </c>
      <c r="BF693" s="251" t="s">
        <v>2401</v>
      </c>
      <c r="BG693" s="399" t="s">
        <v>363</v>
      </c>
      <c r="BH693" s="252" t="s">
        <v>364</v>
      </c>
      <c r="BI693" s="251" t="s">
        <v>1295</v>
      </c>
      <c r="BJ693" s="251" t="s">
        <v>539</v>
      </c>
      <c r="BK693" s="251" t="s">
        <v>2540</v>
      </c>
      <c r="BL693" s="251" t="s">
        <v>368</v>
      </c>
      <c r="BQ693" s="27" t="s">
        <v>8635</v>
      </c>
      <c r="BR693" s="27" t="s">
        <v>7423</v>
      </c>
    </row>
    <row r="694" spans="2:70" ht="15">
      <c r="B694" s="84"/>
      <c r="D694" s="84"/>
      <c r="E694" s="84"/>
      <c r="F694" s="84"/>
      <c r="G694" s="84"/>
      <c r="R694" s="251"/>
      <c r="S694" s="251"/>
      <c r="BD694" s="399">
        <v>691</v>
      </c>
      <c r="BE694" s="399" t="s">
        <v>2541</v>
      </c>
      <c r="BF694" s="251" t="s">
        <v>2401</v>
      </c>
      <c r="BG694" s="399" t="s">
        <v>363</v>
      </c>
      <c r="BH694" s="252" t="s">
        <v>364</v>
      </c>
      <c r="BI694" s="251" t="s">
        <v>740</v>
      </c>
      <c r="BJ694" s="251" t="s">
        <v>380</v>
      </c>
      <c r="BK694" s="251" t="s">
        <v>2542</v>
      </c>
      <c r="BL694" s="251" t="s">
        <v>368</v>
      </c>
      <c r="BQ694" s="27" t="s">
        <v>8636</v>
      </c>
      <c r="BR694" s="27" t="s">
        <v>8637</v>
      </c>
    </row>
    <row r="695" spans="2:70" ht="15">
      <c r="B695" s="84"/>
      <c r="D695" s="84"/>
      <c r="E695" s="84"/>
      <c r="F695" s="84"/>
      <c r="G695" s="84"/>
      <c r="R695" s="251"/>
      <c r="S695" s="251"/>
      <c r="BD695" s="399">
        <v>692</v>
      </c>
      <c r="BE695" s="399" t="s">
        <v>2543</v>
      </c>
      <c r="BF695" s="251" t="s">
        <v>2401</v>
      </c>
      <c r="BG695" s="399" t="s">
        <v>363</v>
      </c>
      <c r="BH695" s="252" t="s">
        <v>364</v>
      </c>
      <c r="BI695" s="251" t="s">
        <v>740</v>
      </c>
      <c r="BJ695" s="251" t="s">
        <v>407</v>
      </c>
      <c r="BK695" s="251" t="s">
        <v>2544</v>
      </c>
      <c r="BL695" s="251" t="s">
        <v>368</v>
      </c>
      <c r="BQ695" s="27" t="s">
        <v>8638</v>
      </c>
      <c r="BR695" s="27" t="s">
        <v>7428</v>
      </c>
    </row>
    <row r="696" spans="2:70" ht="15">
      <c r="B696" s="84"/>
      <c r="D696" s="84"/>
      <c r="E696" s="84"/>
      <c r="F696" s="84"/>
      <c r="G696" s="84"/>
      <c r="R696" s="251"/>
      <c r="S696" s="251"/>
      <c r="BD696" s="399">
        <v>693</v>
      </c>
      <c r="BE696" s="399" t="s">
        <v>2353</v>
      </c>
      <c r="BF696" s="251" t="s">
        <v>2401</v>
      </c>
      <c r="BG696" s="399" t="s">
        <v>363</v>
      </c>
      <c r="BH696" s="252" t="s">
        <v>364</v>
      </c>
      <c r="BI696" s="251" t="s">
        <v>615</v>
      </c>
      <c r="BJ696" s="251" t="s">
        <v>407</v>
      </c>
      <c r="BK696" s="251" t="s">
        <v>2355</v>
      </c>
      <c r="BL696" s="251" t="s">
        <v>368</v>
      </c>
      <c r="BQ696" s="27" t="s">
        <v>8639</v>
      </c>
      <c r="BR696" s="27" t="s">
        <v>8640</v>
      </c>
    </row>
    <row r="697" spans="2:70" ht="15">
      <c r="B697" s="84"/>
      <c r="D697" s="84"/>
      <c r="E697" s="84"/>
      <c r="F697" s="84"/>
      <c r="G697" s="84"/>
      <c r="R697" s="251"/>
      <c r="S697" s="251"/>
      <c r="BD697" s="399">
        <v>694</v>
      </c>
      <c r="BE697" s="399" t="s">
        <v>2545</v>
      </c>
      <c r="BF697" s="251" t="s">
        <v>2401</v>
      </c>
      <c r="BG697" s="399" t="s">
        <v>363</v>
      </c>
      <c r="BH697" s="252" t="s">
        <v>364</v>
      </c>
      <c r="BI697" s="251" t="s">
        <v>390</v>
      </c>
      <c r="BJ697" s="251" t="s">
        <v>397</v>
      </c>
      <c r="BK697" s="251" t="s">
        <v>2546</v>
      </c>
      <c r="BL697" s="251" t="s">
        <v>368</v>
      </c>
      <c r="BQ697" s="27" t="s">
        <v>8641</v>
      </c>
      <c r="BR697" s="27" t="s">
        <v>8642</v>
      </c>
    </row>
    <row r="698" spans="2:70" ht="15">
      <c r="B698" s="84"/>
      <c r="D698" s="84"/>
      <c r="E698" s="84"/>
      <c r="F698" s="84"/>
      <c r="G698" s="84"/>
      <c r="R698" s="251"/>
      <c r="S698" s="251"/>
      <c r="BD698" s="399">
        <v>695</v>
      </c>
      <c r="BE698" s="399" t="s">
        <v>2547</v>
      </c>
      <c r="BF698" s="251" t="s">
        <v>2401</v>
      </c>
      <c r="BG698" s="399" t="s">
        <v>363</v>
      </c>
      <c r="BH698" s="252" t="s">
        <v>364</v>
      </c>
      <c r="BI698" s="251" t="s">
        <v>491</v>
      </c>
      <c r="BJ698" s="251" t="s">
        <v>407</v>
      </c>
      <c r="BK698" s="251" t="s">
        <v>2548</v>
      </c>
      <c r="BL698" s="251" t="s">
        <v>368</v>
      </c>
      <c r="BQ698" s="27" t="s">
        <v>8643</v>
      </c>
      <c r="BR698" s="27" t="s">
        <v>8644</v>
      </c>
    </row>
    <row r="699" spans="2:70" ht="15">
      <c r="B699" s="84"/>
      <c r="D699" s="84"/>
      <c r="E699" s="84"/>
      <c r="F699" s="84"/>
      <c r="G699" s="84"/>
      <c r="R699" s="251"/>
      <c r="S699" s="251"/>
      <c r="BD699" s="399">
        <v>696</v>
      </c>
      <c r="BE699" s="399" t="s">
        <v>1249</v>
      </c>
      <c r="BF699" s="251" t="s">
        <v>2401</v>
      </c>
      <c r="BG699" s="399" t="s">
        <v>363</v>
      </c>
      <c r="BH699" s="252" t="s">
        <v>364</v>
      </c>
      <c r="BI699" s="251" t="s">
        <v>563</v>
      </c>
      <c r="BJ699" s="251" t="s">
        <v>351</v>
      </c>
      <c r="BK699" s="251" t="s">
        <v>1251</v>
      </c>
      <c r="BL699" s="251" t="s">
        <v>368</v>
      </c>
      <c r="BQ699" s="27" t="s">
        <v>8645</v>
      </c>
      <c r="BR699" s="27" t="s">
        <v>8646</v>
      </c>
    </row>
    <row r="700" spans="2:70" ht="15">
      <c r="B700" s="84"/>
      <c r="D700" s="84"/>
      <c r="E700" s="84"/>
      <c r="F700" s="84"/>
      <c r="G700" s="84"/>
      <c r="R700" s="251"/>
      <c r="S700" s="251"/>
      <c r="BD700" s="399">
        <v>697</v>
      </c>
      <c r="BE700" s="399" t="s">
        <v>2549</v>
      </c>
      <c r="BF700" s="251" t="s">
        <v>2401</v>
      </c>
      <c r="BG700" s="399" t="s">
        <v>363</v>
      </c>
      <c r="BH700" s="252" t="s">
        <v>364</v>
      </c>
      <c r="BI700" s="251" t="s">
        <v>728</v>
      </c>
      <c r="BJ700" s="251" t="s">
        <v>380</v>
      </c>
      <c r="BK700" s="251" t="s">
        <v>2550</v>
      </c>
      <c r="BL700" s="251" t="s">
        <v>368</v>
      </c>
      <c r="BQ700" s="27" t="s">
        <v>8647</v>
      </c>
      <c r="BR700" s="27" t="s">
        <v>7442</v>
      </c>
    </row>
    <row r="701" spans="2:70" ht="15">
      <c r="B701" s="84"/>
      <c r="D701" s="84"/>
      <c r="E701" s="84"/>
      <c r="F701" s="84"/>
      <c r="G701" s="84"/>
      <c r="R701" s="251"/>
      <c r="S701" s="251"/>
      <c r="BD701" s="399">
        <v>698</v>
      </c>
      <c r="BE701" s="399" t="s">
        <v>2551</v>
      </c>
      <c r="BF701" s="251" t="s">
        <v>2401</v>
      </c>
      <c r="BG701" s="399" t="s">
        <v>363</v>
      </c>
      <c r="BH701" s="252" t="s">
        <v>364</v>
      </c>
      <c r="BI701" s="251" t="s">
        <v>535</v>
      </c>
      <c r="BJ701" s="251" t="s">
        <v>380</v>
      </c>
      <c r="BK701" s="251" t="s">
        <v>2552</v>
      </c>
      <c r="BL701" s="251" t="s">
        <v>368</v>
      </c>
      <c r="BQ701" s="27" t="s">
        <v>8648</v>
      </c>
      <c r="BR701" s="27" t="s">
        <v>8649</v>
      </c>
    </row>
    <row r="702" spans="2:70" ht="15">
      <c r="B702" s="84"/>
      <c r="D702" s="84"/>
      <c r="E702" s="84"/>
      <c r="F702" s="84"/>
      <c r="G702" s="84"/>
      <c r="R702" s="251"/>
      <c r="S702" s="251"/>
      <c r="BD702" s="399">
        <v>699</v>
      </c>
      <c r="BE702" s="399" t="s">
        <v>2553</v>
      </c>
      <c r="BF702" s="251" t="s">
        <v>2401</v>
      </c>
      <c r="BG702" s="399" t="s">
        <v>363</v>
      </c>
      <c r="BH702" s="252" t="s">
        <v>364</v>
      </c>
      <c r="BI702" s="251" t="s">
        <v>535</v>
      </c>
      <c r="BJ702" s="251" t="s">
        <v>407</v>
      </c>
      <c r="BK702" s="251" t="s">
        <v>2554</v>
      </c>
      <c r="BL702" s="251" t="s">
        <v>368</v>
      </c>
      <c r="BQ702" s="27" t="s">
        <v>8650</v>
      </c>
      <c r="BR702" s="27" t="s">
        <v>8651</v>
      </c>
    </row>
    <row r="703" spans="2:70" ht="15">
      <c r="B703" s="84"/>
      <c r="D703" s="84"/>
      <c r="E703" s="84"/>
      <c r="F703" s="84"/>
      <c r="G703" s="84"/>
      <c r="R703" s="251"/>
      <c r="S703" s="251"/>
      <c r="BD703" s="399">
        <v>700</v>
      </c>
      <c r="BE703" s="399" t="s">
        <v>2553</v>
      </c>
      <c r="BF703" s="251" t="s">
        <v>2401</v>
      </c>
      <c r="BG703" s="399" t="s">
        <v>363</v>
      </c>
      <c r="BH703" s="252" t="s">
        <v>364</v>
      </c>
      <c r="BI703" s="251" t="s">
        <v>535</v>
      </c>
      <c r="BJ703" s="251" t="s">
        <v>407</v>
      </c>
      <c r="BK703" s="251" t="s">
        <v>2554</v>
      </c>
      <c r="BL703" s="251" t="s">
        <v>368</v>
      </c>
      <c r="BQ703" s="27" t="s">
        <v>8652</v>
      </c>
      <c r="BR703" s="27" t="s">
        <v>7453</v>
      </c>
    </row>
    <row r="704" spans="2:70" ht="15">
      <c r="B704" s="84"/>
      <c r="D704" s="84"/>
      <c r="E704" s="84"/>
      <c r="F704" s="84"/>
      <c r="G704" s="84"/>
      <c r="R704" s="251"/>
      <c r="S704" s="251"/>
      <c r="BD704" s="399">
        <v>701</v>
      </c>
      <c r="BE704" s="399" t="s">
        <v>2555</v>
      </c>
      <c r="BF704" s="251" t="s">
        <v>2401</v>
      </c>
      <c r="BG704" s="399" t="s">
        <v>566</v>
      </c>
      <c r="BH704" s="252" t="s">
        <v>567</v>
      </c>
      <c r="BI704" s="251" t="s">
        <v>331</v>
      </c>
      <c r="BJ704" s="251" t="s">
        <v>380</v>
      </c>
      <c r="BK704" s="251" t="s">
        <v>2556</v>
      </c>
      <c r="BL704" s="251" t="s">
        <v>569</v>
      </c>
      <c r="BQ704" s="27" t="s">
        <v>8653</v>
      </c>
      <c r="BR704" s="27" t="s">
        <v>8654</v>
      </c>
    </row>
    <row r="705" spans="2:70" ht="15">
      <c r="B705" s="84"/>
      <c r="D705" s="84"/>
      <c r="E705" s="84"/>
      <c r="F705" s="84"/>
      <c r="G705" s="84"/>
      <c r="R705" s="251"/>
      <c r="S705" s="251"/>
      <c r="BD705" s="399">
        <v>702</v>
      </c>
      <c r="BE705" s="399" t="s">
        <v>2557</v>
      </c>
      <c r="BF705" s="251" t="s">
        <v>2401</v>
      </c>
      <c r="BG705" s="399" t="s">
        <v>566</v>
      </c>
      <c r="BH705" s="252" t="s">
        <v>1004</v>
      </c>
      <c r="BI705" s="251" t="s">
        <v>331</v>
      </c>
      <c r="BJ705" s="251" t="s">
        <v>407</v>
      </c>
      <c r="BK705" s="251" t="s">
        <v>2558</v>
      </c>
      <c r="BL705" s="251" t="s">
        <v>569</v>
      </c>
      <c r="BQ705" s="27" t="s">
        <v>8655</v>
      </c>
      <c r="BR705" s="27" t="s">
        <v>7455</v>
      </c>
    </row>
    <row r="706" spans="2:70" ht="15">
      <c r="B706" s="84"/>
      <c r="D706" s="84"/>
      <c r="E706" s="84"/>
      <c r="F706" s="84"/>
      <c r="G706" s="84"/>
      <c r="R706" s="251"/>
      <c r="S706" s="251"/>
      <c r="BD706" s="399">
        <v>703</v>
      </c>
      <c r="BE706" s="399" t="s">
        <v>2559</v>
      </c>
      <c r="BF706" s="251" t="s">
        <v>2401</v>
      </c>
      <c r="BG706" s="399" t="s">
        <v>566</v>
      </c>
      <c r="BH706" s="252" t="s">
        <v>567</v>
      </c>
      <c r="BI706" s="251" t="s">
        <v>331</v>
      </c>
      <c r="BJ706" s="251" t="s">
        <v>2159</v>
      </c>
      <c r="BK706" s="251" t="s">
        <v>2560</v>
      </c>
      <c r="BL706" s="251" t="s">
        <v>569</v>
      </c>
      <c r="BQ706" s="27" t="s">
        <v>8656</v>
      </c>
      <c r="BR706" s="27" t="s">
        <v>7456</v>
      </c>
    </row>
    <row r="707" spans="2:70" ht="15">
      <c r="B707" s="84"/>
      <c r="D707" s="84"/>
      <c r="E707" s="84"/>
      <c r="F707" s="84"/>
      <c r="G707" s="84"/>
      <c r="R707" s="251"/>
      <c r="S707" s="251"/>
      <c r="BD707" s="399">
        <v>704</v>
      </c>
      <c r="BE707" s="399" t="s">
        <v>2561</v>
      </c>
      <c r="BF707" s="251" t="s">
        <v>2401</v>
      </c>
      <c r="BG707" s="399" t="s">
        <v>566</v>
      </c>
      <c r="BH707" s="252" t="s">
        <v>1004</v>
      </c>
      <c r="BI707" s="251" t="s">
        <v>331</v>
      </c>
      <c r="BJ707" s="251" t="s">
        <v>2460</v>
      </c>
      <c r="BK707" s="251" t="s">
        <v>2562</v>
      </c>
      <c r="BL707" s="251" t="s">
        <v>569</v>
      </c>
      <c r="BQ707" s="27" t="s">
        <v>8657</v>
      </c>
      <c r="BR707" s="27" t="s">
        <v>8658</v>
      </c>
    </row>
    <row r="708" spans="2:70" ht="15">
      <c r="B708" s="84"/>
      <c r="D708" s="84"/>
      <c r="E708" s="84"/>
      <c r="F708" s="84"/>
      <c r="G708" s="84"/>
      <c r="R708" s="251"/>
      <c r="S708" s="251"/>
      <c r="BD708" s="399">
        <v>705</v>
      </c>
      <c r="BE708" s="399" t="s">
        <v>2563</v>
      </c>
      <c r="BF708" s="251" t="s">
        <v>2401</v>
      </c>
      <c r="BG708" s="399" t="s">
        <v>566</v>
      </c>
      <c r="BH708" s="252" t="s">
        <v>1004</v>
      </c>
      <c r="BI708" s="251" t="s">
        <v>332</v>
      </c>
      <c r="BJ708" s="251" t="s">
        <v>407</v>
      </c>
      <c r="BK708" s="251" t="s">
        <v>2564</v>
      </c>
      <c r="BL708" s="251" t="s">
        <v>569</v>
      </c>
      <c r="BQ708" s="27" t="s">
        <v>8659</v>
      </c>
      <c r="BR708" s="27" t="s">
        <v>8660</v>
      </c>
    </row>
    <row r="709" spans="2:70" ht="15">
      <c r="B709" s="84"/>
      <c r="D709" s="84"/>
      <c r="E709" s="84"/>
      <c r="F709" s="84"/>
      <c r="G709" s="84"/>
      <c r="R709" s="251"/>
      <c r="S709" s="251"/>
      <c r="BD709" s="399">
        <v>706</v>
      </c>
      <c r="BE709" s="399" t="s">
        <v>2565</v>
      </c>
      <c r="BF709" s="251" t="s">
        <v>2401</v>
      </c>
      <c r="BG709" s="399" t="s">
        <v>566</v>
      </c>
      <c r="BH709" s="252" t="s">
        <v>1004</v>
      </c>
      <c r="BI709" s="251" t="s">
        <v>332</v>
      </c>
      <c r="BJ709" s="251" t="s">
        <v>397</v>
      </c>
      <c r="BK709" s="251" t="s">
        <v>2566</v>
      </c>
      <c r="BL709" s="251" t="s">
        <v>569</v>
      </c>
      <c r="BQ709" s="27" t="s">
        <v>8661</v>
      </c>
      <c r="BR709" s="27" t="s">
        <v>8662</v>
      </c>
    </row>
    <row r="710" spans="2:70" ht="15">
      <c r="B710" s="84"/>
      <c r="D710" s="84"/>
      <c r="E710" s="84"/>
      <c r="F710" s="84"/>
      <c r="G710" s="84"/>
      <c r="R710" s="251"/>
      <c r="S710" s="251"/>
      <c r="BD710" s="399">
        <v>707</v>
      </c>
      <c r="BE710" s="399" t="s">
        <v>2567</v>
      </c>
      <c r="BF710" s="251" t="s">
        <v>2401</v>
      </c>
      <c r="BG710" s="399" t="s">
        <v>566</v>
      </c>
      <c r="BH710" s="252" t="s">
        <v>1004</v>
      </c>
      <c r="BI710" s="251" t="s">
        <v>332</v>
      </c>
      <c r="BJ710" s="251" t="s">
        <v>2159</v>
      </c>
      <c r="BK710" s="251" t="s">
        <v>2568</v>
      </c>
      <c r="BL710" s="251" t="s">
        <v>569</v>
      </c>
      <c r="BQ710" s="27" t="s">
        <v>8663</v>
      </c>
      <c r="BR710" s="27" t="s">
        <v>8664</v>
      </c>
    </row>
    <row r="711" spans="2:70" ht="15">
      <c r="B711" s="84"/>
      <c r="D711" s="84"/>
      <c r="E711" s="84"/>
      <c r="F711" s="84"/>
      <c r="G711" s="84"/>
      <c r="R711" s="251"/>
      <c r="S711" s="251"/>
      <c r="BD711" s="399">
        <v>708</v>
      </c>
      <c r="BE711" s="399" t="s">
        <v>2569</v>
      </c>
      <c r="BF711" s="251" t="s">
        <v>2401</v>
      </c>
      <c r="BG711" s="399" t="s">
        <v>566</v>
      </c>
      <c r="BH711" s="252" t="s">
        <v>1004</v>
      </c>
      <c r="BI711" s="251" t="s">
        <v>334</v>
      </c>
      <c r="BJ711" s="251" t="s">
        <v>407</v>
      </c>
      <c r="BK711" s="251" t="s">
        <v>2570</v>
      </c>
      <c r="BL711" s="251" t="s">
        <v>569</v>
      </c>
      <c r="BQ711" s="27" t="s">
        <v>8665</v>
      </c>
      <c r="BR711" s="27" t="s">
        <v>8666</v>
      </c>
    </row>
    <row r="712" spans="2:70" ht="15">
      <c r="B712" s="84"/>
      <c r="D712" s="84"/>
      <c r="E712" s="84"/>
      <c r="F712" s="84"/>
      <c r="G712" s="84"/>
      <c r="R712" s="251"/>
      <c r="S712" s="251"/>
      <c r="BD712" s="399">
        <v>709</v>
      </c>
      <c r="BE712" s="399" t="s">
        <v>2571</v>
      </c>
      <c r="BF712" s="251" t="s">
        <v>2401</v>
      </c>
      <c r="BG712" s="399" t="s">
        <v>566</v>
      </c>
      <c r="BH712" s="252" t="s">
        <v>567</v>
      </c>
      <c r="BI712" s="251" t="s">
        <v>334</v>
      </c>
      <c r="BJ712" s="251" t="s">
        <v>2159</v>
      </c>
      <c r="BK712" s="251" t="s">
        <v>2572</v>
      </c>
      <c r="BL712" s="251" t="s">
        <v>569</v>
      </c>
      <c r="BQ712" s="27" t="s">
        <v>8667</v>
      </c>
      <c r="BR712" s="27" t="s">
        <v>8668</v>
      </c>
    </row>
    <row r="713" spans="2:70" ht="15">
      <c r="B713" s="84"/>
      <c r="D713" s="84"/>
      <c r="E713" s="84"/>
      <c r="F713" s="84"/>
      <c r="G713" s="84"/>
      <c r="R713" s="251"/>
      <c r="S713" s="251"/>
      <c r="BD713" s="399">
        <v>710</v>
      </c>
      <c r="BE713" s="399" t="s">
        <v>2573</v>
      </c>
      <c r="BF713" s="251" t="s">
        <v>2401</v>
      </c>
      <c r="BG713" s="399" t="s">
        <v>566</v>
      </c>
      <c r="BH713" s="252" t="s">
        <v>567</v>
      </c>
      <c r="BI713" s="251" t="s">
        <v>407</v>
      </c>
      <c r="BJ713" s="251" t="s">
        <v>2416</v>
      </c>
      <c r="BK713" s="251" t="s">
        <v>2574</v>
      </c>
      <c r="BL713" s="251" t="s">
        <v>569</v>
      </c>
      <c r="BQ713" s="27" t="s">
        <v>8669</v>
      </c>
      <c r="BR713" s="27" t="s">
        <v>8670</v>
      </c>
    </row>
    <row r="714" spans="2:70" ht="15">
      <c r="B714" s="84"/>
      <c r="D714" s="84"/>
      <c r="E714" s="84"/>
      <c r="F714" s="84"/>
      <c r="G714" s="84"/>
      <c r="R714" s="251"/>
      <c r="S714" s="251"/>
      <c r="BD714" s="399">
        <v>711</v>
      </c>
      <c r="BE714" s="399" t="s">
        <v>2575</v>
      </c>
      <c r="BF714" s="251" t="s">
        <v>2401</v>
      </c>
      <c r="BG714" s="399" t="s">
        <v>566</v>
      </c>
      <c r="BH714" s="252" t="s">
        <v>567</v>
      </c>
      <c r="BI714" s="251" t="s">
        <v>407</v>
      </c>
      <c r="BJ714" s="251" t="s">
        <v>351</v>
      </c>
      <c r="BK714" s="251" t="s">
        <v>2576</v>
      </c>
      <c r="BL714" s="251" t="s">
        <v>569</v>
      </c>
      <c r="BQ714" s="27" t="s">
        <v>8671</v>
      </c>
      <c r="BR714" s="27" t="s">
        <v>8672</v>
      </c>
    </row>
    <row r="715" spans="2:70" ht="15">
      <c r="B715" s="84"/>
      <c r="D715" s="84"/>
      <c r="E715" s="84"/>
      <c r="F715" s="84"/>
      <c r="G715" s="84"/>
      <c r="R715" s="251"/>
      <c r="S715" s="251"/>
      <c r="BD715" s="399">
        <v>712</v>
      </c>
      <c r="BE715" s="399" t="s">
        <v>2577</v>
      </c>
      <c r="BF715" s="251" t="s">
        <v>2401</v>
      </c>
      <c r="BG715" s="399" t="s">
        <v>566</v>
      </c>
      <c r="BH715" s="252" t="s">
        <v>1004</v>
      </c>
      <c r="BI715" s="251" t="s">
        <v>2471</v>
      </c>
      <c r="BJ715" s="251" t="s">
        <v>2578</v>
      </c>
      <c r="BK715" s="251" t="s">
        <v>2579</v>
      </c>
      <c r="BL715" s="251" t="s">
        <v>569</v>
      </c>
      <c r="BQ715" s="27" t="s">
        <v>8673</v>
      </c>
      <c r="BR715" s="27" t="s">
        <v>7400</v>
      </c>
    </row>
    <row r="716" spans="2:70" ht="15">
      <c r="B716" s="84"/>
      <c r="D716" s="84"/>
      <c r="E716" s="84"/>
      <c r="F716" s="84"/>
      <c r="G716" s="84"/>
      <c r="R716" s="251"/>
      <c r="S716" s="251"/>
      <c r="BD716" s="399">
        <v>713</v>
      </c>
      <c r="BE716" s="399" t="s">
        <v>2580</v>
      </c>
      <c r="BF716" s="251" t="s">
        <v>2401</v>
      </c>
      <c r="BG716" s="399" t="s">
        <v>566</v>
      </c>
      <c r="BH716" s="252" t="s">
        <v>1004</v>
      </c>
      <c r="BI716" s="251" t="s">
        <v>2478</v>
      </c>
      <c r="BJ716" s="251" t="s">
        <v>407</v>
      </c>
      <c r="BK716" s="251" t="s">
        <v>2581</v>
      </c>
      <c r="BL716" s="251" t="s">
        <v>569</v>
      </c>
      <c r="BQ716" s="27" t="s">
        <v>8674</v>
      </c>
      <c r="BR716" s="27" t="s">
        <v>8675</v>
      </c>
    </row>
    <row r="717" spans="2:70" ht="15">
      <c r="B717" s="84"/>
      <c r="D717" s="84"/>
      <c r="E717" s="84"/>
      <c r="F717" s="84"/>
      <c r="G717" s="84"/>
      <c r="R717" s="251"/>
      <c r="S717" s="251"/>
      <c r="BD717" s="399">
        <v>714</v>
      </c>
      <c r="BE717" s="399" t="s">
        <v>2582</v>
      </c>
      <c r="BF717" s="251" t="s">
        <v>2401</v>
      </c>
      <c r="BG717" s="399" t="s">
        <v>566</v>
      </c>
      <c r="BH717" s="252" t="s">
        <v>567</v>
      </c>
      <c r="BI717" s="251" t="s">
        <v>635</v>
      </c>
      <c r="BJ717" s="251" t="s">
        <v>407</v>
      </c>
      <c r="BK717" s="251" t="s">
        <v>2583</v>
      </c>
      <c r="BL717" s="251" t="s">
        <v>569</v>
      </c>
      <c r="BQ717" s="27" t="s">
        <v>8676</v>
      </c>
      <c r="BR717" s="27" t="s">
        <v>7474</v>
      </c>
    </row>
    <row r="718" spans="2:70" ht="15">
      <c r="B718" s="84"/>
      <c r="D718" s="84"/>
      <c r="E718" s="84"/>
      <c r="F718" s="84"/>
      <c r="G718" s="84"/>
      <c r="R718" s="251"/>
      <c r="S718" s="251"/>
      <c r="BD718" s="399">
        <v>715</v>
      </c>
      <c r="BE718" s="399" t="s">
        <v>2584</v>
      </c>
      <c r="BF718" s="251" t="s">
        <v>2401</v>
      </c>
      <c r="BG718" s="399" t="s">
        <v>566</v>
      </c>
      <c r="BH718" s="252" t="s">
        <v>1004</v>
      </c>
      <c r="BI718" s="251" t="s">
        <v>2430</v>
      </c>
      <c r="BJ718" s="251" t="s">
        <v>1385</v>
      </c>
      <c r="BK718" s="251" t="s">
        <v>2585</v>
      </c>
      <c r="BL718" s="251" t="s">
        <v>569</v>
      </c>
      <c r="BQ718" s="27" t="s">
        <v>8677</v>
      </c>
      <c r="BR718" s="27" t="s">
        <v>8678</v>
      </c>
    </row>
    <row r="719" spans="2:70" ht="15">
      <c r="B719" s="84"/>
      <c r="D719" s="84"/>
      <c r="E719" s="84"/>
      <c r="F719" s="84"/>
      <c r="G719" s="84"/>
      <c r="R719" s="251"/>
      <c r="S719" s="251"/>
      <c r="BD719" s="399">
        <v>716</v>
      </c>
      <c r="BE719" s="399" t="s">
        <v>2586</v>
      </c>
      <c r="BF719" s="251" t="s">
        <v>2401</v>
      </c>
      <c r="BG719" s="399" t="s">
        <v>566</v>
      </c>
      <c r="BH719" s="252" t="s">
        <v>567</v>
      </c>
      <c r="BI719" s="251" t="s">
        <v>740</v>
      </c>
      <c r="BJ719" s="251" t="s">
        <v>407</v>
      </c>
      <c r="BK719" s="251" t="s">
        <v>2587</v>
      </c>
      <c r="BL719" s="251" t="s">
        <v>569</v>
      </c>
      <c r="BQ719" s="27" t="s">
        <v>8679</v>
      </c>
      <c r="BR719" s="27" t="s">
        <v>7476</v>
      </c>
    </row>
    <row r="720" spans="2:70" ht="15">
      <c r="B720" s="84"/>
      <c r="D720" s="84"/>
      <c r="E720" s="84"/>
      <c r="F720" s="84"/>
      <c r="G720" s="84"/>
      <c r="R720" s="251"/>
      <c r="S720" s="251"/>
      <c r="BD720" s="399">
        <v>717</v>
      </c>
      <c r="BE720" s="399" t="s">
        <v>2588</v>
      </c>
      <c r="BF720" s="251" t="s">
        <v>2401</v>
      </c>
      <c r="BG720" s="399" t="s">
        <v>566</v>
      </c>
      <c r="BH720" s="252" t="s">
        <v>1004</v>
      </c>
      <c r="BI720" s="251" t="s">
        <v>740</v>
      </c>
      <c r="BJ720" s="251" t="s">
        <v>380</v>
      </c>
      <c r="BK720" s="251" t="s">
        <v>2589</v>
      </c>
      <c r="BL720" s="251" t="s">
        <v>569</v>
      </c>
      <c r="BQ720" s="27" t="s">
        <v>8680</v>
      </c>
      <c r="BR720" s="27" t="s">
        <v>8681</v>
      </c>
    </row>
    <row r="721" spans="2:70" ht="15">
      <c r="B721" s="84"/>
      <c r="D721" s="84"/>
      <c r="E721" s="84"/>
      <c r="F721" s="84"/>
      <c r="G721" s="84"/>
      <c r="R721" s="251"/>
      <c r="S721" s="251"/>
      <c r="BD721" s="399">
        <v>718</v>
      </c>
      <c r="BE721" s="399" t="s">
        <v>2590</v>
      </c>
      <c r="BF721" s="251" t="s">
        <v>2401</v>
      </c>
      <c r="BG721" s="399" t="s">
        <v>566</v>
      </c>
      <c r="BH721" s="252" t="s">
        <v>1004</v>
      </c>
      <c r="BI721" s="251" t="s">
        <v>740</v>
      </c>
      <c r="BJ721" s="251" t="s">
        <v>2159</v>
      </c>
      <c r="BK721" s="251" t="s">
        <v>2591</v>
      </c>
      <c r="BL721" s="251" t="s">
        <v>569</v>
      </c>
      <c r="BQ721" s="27" t="s">
        <v>8682</v>
      </c>
      <c r="BR721" s="27" t="s">
        <v>7461</v>
      </c>
    </row>
    <row r="722" spans="2:70" ht="15">
      <c r="B722" s="84"/>
      <c r="D722" s="84"/>
      <c r="E722" s="84"/>
      <c r="F722" s="84"/>
      <c r="G722" s="84"/>
      <c r="R722" s="251"/>
      <c r="S722" s="251"/>
      <c r="BD722" s="399">
        <v>719</v>
      </c>
      <c r="BE722" s="399" t="s">
        <v>2592</v>
      </c>
      <c r="BF722" s="251" t="s">
        <v>2401</v>
      </c>
      <c r="BG722" s="399" t="s">
        <v>566</v>
      </c>
      <c r="BH722" s="252" t="s">
        <v>567</v>
      </c>
      <c r="BI722" s="251" t="s">
        <v>615</v>
      </c>
      <c r="BJ722" s="251" t="s">
        <v>407</v>
      </c>
      <c r="BK722" s="251" t="s">
        <v>2593</v>
      </c>
      <c r="BL722" s="251" t="s">
        <v>569</v>
      </c>
      <c r="BQ722" s="27" t="s">
        <v>8683</v>
      </c>
      <c r="BR722" s="27" t="s">
        <v>7480</v>
      </c>
    </row>
    <row r="723" spans="2:70" ht="15">
      <c r="B723" s="84"/>
      <c r="D723" s="84"/>
      <c r="E723" s="84"/>
      <c r="F723" s="84"/>
      <c r="G723" s="84"/>
      <c r="R723" s="251"/>
      <c r="S723" s="251"/>
      <c r="BD723" s="399">
        <v>720</v>
      </c>
      <c r="BE723" s="399" t="s">
        <v>2594</v>
      </c>
      <c r="BF723" s="251" t="s">
        <v>2401</v>
      </c>
      <c r="BG723" s="399" t="s">
        <v>566</v>
      </c>
      <c r="BH723" s="252" t="s">
        <v>567</v>
      </c>
      <c r="BI723" s="251" t="s">
        <v>615</v>
      </c>
      <c r="BJ723" s="251" t="s">
        <v>2159</v>
      </c>
      <c r="BK723" s="251" t="s">
        <v>2595</v>
      </c>
      <c r="BL723" s="251" t="s">
        <v>569</v>
      </c>
      <c r="BQ723" s="27" t="s">
        <v>8684</v>
      </c>
      <c r="BR723" s="27" t="s">
        <v>8685</v>
      </c>
    </row>
    <row r="724" spans="2:70" ht="15">
      <c r="B724" s="84"/>
      <c r="D724" s="84"/>
      <c r="E724" s="84"/>
      <c r="F724" s="84"/>
      <c r="G724" s="84"/>
      <c r="R724" s="251"/>
      <c r="S724" s="251"/>
      <c r="BD724" s="399">
        <v>721</v>
      </c>
      <c r="BE724" s="399" t="s">
        <v>2596</v>
      </c>
      <c r="BF724" s="251" t="s">
        <v>2401</v>
      </c>
      <c r="BG724" s="399" t="s">
        <v>566</v>
      </c>
      <c r="BH724" s="252" t="s">
        <v>1004</v>
      </c>
      <c r="BI724" s="251" t="s">
        <v>390</v>
      </c>
      <c r="BJ724" s="251" t="s">
        <v>407</v>
      </c>
      <c r="BK724" s="251" t="s">
        <v>2597</v>
      </c>
      <c r="BL724" s="251" t="s">
        <v>569</v>
      </c>
      <c r="BQ724" s="27" t="s">
        <v>8686</v>
      </c>
      <c r="BR724" s="27" t="s">
        <v>8687</v>
      </c>
    </row>
    <row r="725" spans="2:70" ht="15">
      <c r="B725" s="84"/>
      <c r="D725" s="84"/>
      <c r="E725" s="84"/>
      <c r="F725" s="84"/>
      <c r="G725" s="84"/>
      <c r="R725" s="251"/>
      <c r="S725" s="251"/>
      <c r="BD725" s="399">
        <v>722</v>
      </c>
      <c r="BE725" s="399" t="s">
        <v>2598</v>
      </c>
      <c r="BF725" s="251" t="s">
        <v>2401</v>
      </c>
      <c r="BG725" s="399" t="s">
        <v>566</v>
      </c>
      <c r="BH725" s="252" t="s">
        <v>567</v>
      </c>
      <c r="BI725" s="251" t="s">
        <v>491</v>
      </c>
      <c r="BJ725" s="251" t="s">
        <v>380</v>
      </c>
      <c r="BK725" s="251" t="s">
        <v>2599</v>
      </c>
      <c r="BL725" s="251" t="s">
        <v>569</v>
      </c>
      <c r="BQ725" s="27" t="s">
        <v>8688</v>
      </c>
      <c r="BR725" s="27" t="s">
        <v>8689</v>
      </c>
    </row>
    <row r="726" spans="2:70" ht="15">
      <c r="B726" s="84"/>
      <c r="D726" s="84"/>
      <c r="E726" s="84"/>
      <c r="F726" s="84"/>
      <c r="G726" s="84"/>
      <c r="R726" s="251"/>
      <c r="S726" s="251"/>
      <c r="BD726" s="399">
        <v>723</v>
      </c>
      <c r="BE726" s="399" t="s">
        <v>2600</v>
      </c>
      <c r="BF726" s="251" t="s">
        <v>2401</v>
      </c>
      <c r="BG726" s="399" t="s">
        <v>566</v>
      </c>
      <c r="BH726" s="252" t="s">
        <v>567</v>
      </c>
      <c r="BI726" s="251" t="s">
        <v>491</v>
      </c>
      <c r="BJ726" s="251" t="s">
        <v>407</v>
      </c>
      <c r="BK726" s="251" t="s">
        <v>2601</v>
      </c>
      <c r="BL726" s="251" t="s">
        <v>569</v>
      </c>
      <c r="BQ726" s="27" t="s">
        <v>8690</v>
      </c>
      <c r="BR726" s="27" t="s">
        <v>8691</v>
      </c>
    </row>
    <row r="727" spans="2:70" ht="15">
      <c r="B727" s="84"/>
      <c r="D727" s="84"/>
      <c r="E727" s="84"/>
      <c r="F727" s="84"/>
      <c r="G727" s="84"/>
      <c r="R727" s="251"/>
      <c r="S727" s="251"/>
      <c r="BD727" s="399">
        <v>724</v>
      </c>
      <c r="BE727" s="399" t="s">
        <v>2602</v>
      </c>
      <c r="BF727" s="251" t="s">
        <v>2401</v>
      </c>
      <c r="BG727" s="399" t="s">
        <v>566</v>
      </c>
      <c r="BH727" s="252" t="s">
        <v>1004</v>
      </c>
      <c r="BI727" s="251" t="s">
        <v>563</v>
      </c>
      <c r="BJ727" s="251" t="s">
        <v>2159</v>
      </c>
      <c r="BK727" s="251" t="s">
        <v>2603</v>
      </c>
      <c r="BL727" s="251" t="s">
        <v>569</v>
      </c>
      <c r="BQ727" s="27" t="s">
        <v>8692</v>
      </c>
      <c r="BR727" s="27" t="s">
        <v>8693</v>
      </c>
    </row>
    <row r="728" spans="2:70" ht="15">
      <c r="B728" s="84"/>
      <c r="D728" s="84"/>
      <c r="E728" s="84"/>
      <c r="F728" s="84"/>
      <c r="G728" s="84"/>
      <c r="R728" s="251"/>
      <c r="S728" s="251"/>
      <c r="BD728" s="399">
        <v>725</v>
      </c>
      <c r="BE728" s="399" t="s">
        <v>2604</v>
      </c>
      <c r="BF728" s="251" t="s">
        <v>2401</v>
      </c>
      <c r="BG728" s="399" t="s">
        <v>566</v>
      </c>
      <c r="BH728" s="252" t="s">
        <v>1004</v>
      </c>
      <c r="BI728" s="251" t="s">
        <v>728</v>
      </c>
      <c r="BJ728" s="251" t="s">
        <v>539</v>
      </c>
      <c r="BK728" s="251" t="s">
        <v>2605</v>
      </c>
      <c r="BL728" s="251" t="s">
        <v>569</v>
      </c>
      <c r="BQ728" s="27" t="s">
        <v>8694</v>
      </c>
      <c r="BR728" s="27" t="s">
        <v>8695</v>
      </c>
    </row>
    <row r="729" spans="2:70" ht="15">
      <c r="B729" s="84"/>
      <c r="D729" s="84"/>
      <c r="E729" s="84"/>
      <c r="F729" s="84"/>
      <c r="G729" s="84"/>
      <c r="R729" s="251"/>
      <c r="S729" s="251"/>
      <c r="BD729" s="399">
        <v>726</v>
      </c>
      <c r="BE729" s="399" t="s">
        <v>2606</v>
      </c>
      <c r="BF729" s="251" t="s">
        <v>2401</v>
      </c>
      <c r="BG729" s="399" t="s">
        <v>566</v>
      </c>
      <c r="BH729" s="252" t="s">
        <v>1004</v>
      </c>
      <c r="BI729" s="251" t="s">
        <v>728</v>
      </c>
      <c r="BJ729" s="251" t="s">
        <v>397</v>
      </c>
      <c r="BK729" s="251" t="s">
        <v>2607</v>
      </c>
      <c r="BL729" s="251" t="s">
        <v>569</v>
      </c>
      <c r="BQ729" s="27" t="s">
        <v>8696</v>
      </c>
      <c r="BR729" s="27" t="s">
        <v>8697</v>
      </c>
    </row>
    <row r="730" spans="2:70" ht="15">
      <c r="B730" s="84"/>
      <c r="D730" s="84"/>
      <c r="E730" s="84"/>
      <c r="F730" s="84"/>
      <c r="G730" s="84"/>
      <c r="R730" s="251"/>
      <c r="S730" s="251"/>
      <c r="BD730" s="399">
        <v>727</v>
      </c>
      <c r="BE730" s="399" t="s">
        <v>2608</v>
      </c>
      <c r="BF730" s="251" t="s">
        <v>2401</v>
      </c>
      <c r="BG730" s="399" t="s">
        <v>566</v>
      </c>
      <c r="BH730" s="252" t="s">
        <v>567</v>
      </c>
      <c r="BI730" s="251" t="s">
        <v>728</v>
      </c>
      <c r="BJ730" s="251" t="s">
        <v>2159</v>
      </c>
      <c r="BK730" s="251" t="s">
        <v>2609</v>
      </c>
      <c r="BL730" s="251" t="s">
        <v>569</v>
      </c>
      <c r="BQ730" s="27" t="s">
        <v>8698</v>
      </c>
      <c r="BR730" s="27" t="s">
        <v>8699</v>
      </c>
    </row>
    <row r="731" spans="2:70" ht="15">
      <c r="B731" s="84"/>
      <c r="D731" s="84"/>
      <c r="E731" s="84"/>
      <c r="F731" s="84"/>
      <c r="G731" s="84"/>
      <c r="R731" s="251"/>
      <c r="S731" s="251"/>
      <c r="BD731" s="399">
        <v>728</v>
      </c>
      <c r="BE731" s="399" t="s">
        <v>2610</v>
      </c>
      <c r="BF731" s="251" t="s">
        <v>2401</v>
      </c>
      <c r="BG731" s="399" t="s">
        <v>566</v>
      </c>
      <c r="BH731" s="252" t="s">
        <v>567</v>
      </c>
      <c r="BI731" s="251" t="s">
        <v>535</v>
      </c>
      <c r="BJ731" s="251" t="s">
        <v>380</v>
      </c>
      <c r="BK731" s="251" t="s">
        <v>2611</v>
      </c>
      <c r="BL731" s="251" t="s">
        <v>569</v>
      </c>
      <c r="BQ731" s="27" t="s">
        <v>8700</v>
      </c>
      <c r="BR731" s="27" t="s">
        <v>8701</v>
      </c>
    </row>
    <row r="732" spans="2:70" ht="15">
      <c r="B732" s="84"/>
      <c r="D732" s="84"/>
      <c r="E732" s="84"/>
      <c r="F732" s="84"/>
      <c r="G732" s="84"/>
      <c r="R732" s="251"/>
      <c r="S732" s="251"/>
      <c r="BD732" s="399">
        <v>729</v>
      </c>
      <c r="BE732" s="399" t="s">
        <v>2612</v>
      </c>
      <c r="BF732" s="251" t="s">
        <v>2401</v>
      </c>
      <c r="BG732" s="399" t="s">
        <v>566</v>
      </c>
      <c r="BH732" s="252" t="s">
        <v>1004</v>
      </c>
      <c r="BI732" s="251" t="s">
        <v>535</v>
      </c>
      <c r="BJ732" s="251" t="s">
        <v>407</v>
      </c>
      <c r="BK732" s="251" t="s">
        <v>2613</v>
      </c>
      <c r="BL732" s="251" t="s">
        <v>569</v>
      </c>
      <c r="BQ732" s="27" t="s">
        <v>8702</v>
      </c>
      <c r="BR732" s="27" t="s">
        <v>8703</v>
      </c>
    </row>
    <row r="733" spans="2:70" ht="15">
      <c r="B733" s="84"/>
      <c r="D733" s="84"/>
      <c r="E733" s="84"/>
      <c r="F733" s="84"/>
      <c r="G733" s="84"/>
      <c r="R733" s="251"/>
      <c r="S733" s="251"/>
      <c r="BD733" s="399">
        <v>730</v>
      </c>
      <c r="BE733" s="399" t="s">
        <v>2614</v>
      </c>
      <c r="BF733" s="251" t="s">
        <v>2401</v>
      </c>
      <c r="BG733" s="399" t="s">
        <v>566</v>
      </c>
      <c r="BH733" s="252" t="s">
        <v>1004</v>
      </c>
      <c r="BI733" s="251" t="s">
        <v>2159</v>
      </c>
      <c r="BJ733" s="251" t="s">
        <v>539</v>
      </c>
      <c r="BK733" s="251" t="s">
        <v>2615</v>
      </c>
      <c r="BL733" s="251" t="s">
        <v>569</v>
      </c>
      <c r="BQ733" s="27" t="s">
        <v>8704</v>
      </c>
      <c r="BR733" s="27" t="s">
        <v>8705</v>
      </c>
    </row>
    <row r="734" spans="2:70" ht="15">
      <c r="B734" s="84"/>
      <c r="D734" s="84"/>
      <c r="E734" s="84"/>
      <c r="F734" s="84"/>
      <c r="G734" s="84"/>
      <c r="R734" s="251"/>
      <c r="S734" s="251"/>
      <c r="BD734" s="399">
        <v>731</v>
      </c>
      <c r="BE734" s="399" t="s">
        <v>2616</v>
      </c>
      <c r="BF734" s="251" t="s">
        <v>2401</v>
      </c>
      <c r="BG734" s="399" t="s">
        <v>566</v>
      </c>
      <c r="BH734" s="252" t="s">
        <v>1004</v>
      </c>
      <c r="BI734" s="251" t="s">
        <v>2460</v>
      </c>
      <c r="BJ734" s="251" t="s">
        <v>2416</v>
      </c>
      <c r="BK734" s="251" t="s">
        <v>2617</v>
      </c>
      <c r="BL734" s="251" t="s">
        <v>569</v>
      </c>
      <c r="BQ734" s="27" t="s">
        <v>8706</v>
      </c>
      <c r="BR734" s="27" t="s">
        <v>7483</v>
      </c>
    </row>
    <row r="735" spans="2:70" ht="15">
      <c r="B735" s="84"/>
      <c r="D735" s="84"/>
      <c r="E735" s="84"/>
      <c r="F735" s="84"/>
      <c r="G735" s="84"/>
      <c r="R735" s="251"/>
      <c r="S735" s="251"/>
      <c r="BD735" s="399">
        <v>732</v>
      </c>
      <c r="BE735" s="399" t="s">
        <v>2618</v>
      </c>
      <c r="BF735" s="251" t="s">
        <v>2401</v>
      </c>
      <c r="BG735" s="399" t="s">
        <v>429</v>
      </c>
      <c r="BH735" s="252" t="s">
        <v>430</v>
      </c>
      <c r="BI735" s="251" t="s">
        <v>332</v>
      </c>
      <c r="BJ735" s="251" t="s">
        <v>407</v>
      </c>
      <c r="BK735" s="251" t="s">
        <v>2619</v>
      </c>
      <c r="BL735" s="251" t="s">
        <v>432</v>
      </c>
      <c r="BQ735" s="27" t="s">
        <v>8707</v>
      </c>
      <c r="BR735" s="27" t="s">
        <v>8708</v>
      </c>
    </row>
    <row r="736" spans="2:70" ht="15">
      <c r="B736" s="84"/>
      <c r="D736" s="84"/>
      <c r="E736" s="84"/>
      <c r="F736" s="84"/>
      <c r="G736" s="84"/>
      <c r="R736" s="251"/>
      <c r="S736" s="251"/>
      <c r="BD736" s="399">
        <v>733</v>
      </c>
      <c r="BE736" s="399" t="s">
        <v>2620</v>
      </c>
      <c r="BF736" s="251" t="s">
        <v>2401</v>
      </c>
      <c r="BG736" s="399" t="s">
        <v>429</v>
      </c>
      <c r="BH736" s="252" t="s">
        <v>430</v>
      </c>
      <c r="BI736" s="251" t="s">
        <v>407</v>
      </c>
      <c r="BJ736" s="251" t="s">
        <v>2333</v>
      </c>
      <c r="BK736" s="251" t="s">
        <v>2621</v>
      </c>
      <c r="BL736" s="251" t="s">
        <v>432</v>
      </c>
      <c r="BQ736" s="27" t="s">
        <v>8709</v>
      </c>
      <c r="BR736" s="27" t="s">
        <v>8710</v>
      </c>
    </row>
    <row r="737" spans="2:70" ht="15">
      <c r="B737" s="84"/>
      <c r="D737" s="84"/>
      <c r="E737" s="84"/>
      <c r="F737" s="84"/>
      <c r="G737" s="84"/>
      <c r="R737" s="251"/>
      <c r="S737" s="251"/>
      <c r="BD737" s="399">
        <v>734</v>
      </c>
      <c r="BE737" s="399" t="s">
        <v>2622</v>
      </c>
      <c r="BF737" s="251" t="s">
        <v>2401</v>
      </c>
      <c r="BG737" s="399" t="s">
        <v>429</v>
      </c>
      <c r="BH737" s="252" t="s">
        <v>430</v>
      </c>
      <c r="BI737" s="251" t="s">
        <v>2421</v>
      </c>
      <c r="BJ737" s="251" t="s">
        <v>2623</v>
      </c>
      <c r="BK737" s="251" t="s">
        <v>2624</v>
      </c>
      <c r="BL737" s="251" t="s">
        <v>432</v>
      </c>
      <c r="BQ737" s="27" t="s">
        <v>8711</v>
      </c>
      <c r="BR737" s="27" t="s">
        <v>8712</v>
      </c>
    </row>
    <row r="738" spans="2:70" ht="15">
      <c r="B738" s="84"/>
      <c r="D738" s="84"/>
      <c r="E738" s="84"/>
      <c r="F738" s="84"/>
      <c r="G738" s="84"/>
      <c r="R738" s="251"/>
      <c r="S738" s="251"/>
      <c r="BD738" s="399">
        <v>735</v>
      </c>
      <c r="BE738" s="399" t="s">
        <v>2625</v>
      </c>
      <c r="BF738" s="251" t="s">
        <v>2401</v>
      </c>
      <c r="BG738" s="399" t="s">
        <v>429</v>
      </c>
      <c r="BH738" s="252" t="s">
        <v>430</v>
      </c>
      <c r="BI738" s="251" t="s">
        <v>2430</v>
      </c>
      <c r="BJ738" s="251" t="s">
        <v>413</v>
      </c>
      <c r="BK738" s="251" t="s">
        <v>2626</v>
      </c>
      <c r="BL738" s="251" t="s">
        <v>432</v>
      </c>
      <c r="BQ738" s="27" t="s">
        <v>8713</v>
      </c>
      <c r="BR738" s="27" t="s">
        <v>8714</v>
      </c>
    </row>
    <row r="739" spans="2:70" ht="15">
      <c r="B739" s="84"/>
      <c r="D739" s="84"/>
      <c r="E739" s="84"/>
      <c r="F739" s="84"/>
      <c r="G739" s="84"/>
      <c r="R739" s="251"/>
      <c r="S739" s="251"/>
      <c r="BD739" s="399">
        <v>736</v>
      </c>
      <c r="BE739" s="399" t="s">
        <v>2627</v>
      </c>
      <c r="BF739" s="251" t="s">
        <v>2401</v>
      </c>
      <c r="BG739" s="399" t="s">
        <v>429</v>
      </c>
      <c r="BH739" s="252" t="s">
        <v>430</v>
      </c>
      <c r="BI739" s="251" t="s">
        <v>740</v>
      </c>
      <c r="BJ739" s="251" t="s">
        <v>407</v>
      </c>
      <c r="BK739" s="251" t="s">
        <v>2628</v>
      </c>
      <c r="BL739" s="251" t="s">
        <v>432</v>
      </c>
      <c r="BQ739" s="27" t="s">
        <v>8715</v>
      </c>
      <c r="BR739" s="27" t="s">
        <v>8716</v>
      </c>
    </row>
    <row r="740" spans="2:70" ht="15">
      <c r="B740" s="84"/>
      <c r="D740" s="84"/>
      <c r="E740" s="84"/>
      <c r="F740" s="84"/>
      <c r="G740" s="84"/>
      <c r="R740" s="251"/>
      <c r="S740" s="251"/>
      <c r="BD740" s="399">
        <v>737</v>
      </c>
      <c r="BE740" s="399" t="s">
        <v>2629</v>
      </c>
      <c r="BF740" s="251" t="s">
        <v>2401</v>
      </c>
      <c r="BG740" s="399" t="s">
        <v>429</v>
      </c>
      <c r="BH740" s="252" t="s">
        <v>430</v>
      </c>
      <c r="BI740" s="251" t="s">
        <v>728</v>
      </c>
      <c r="BJ740" s="251" t="s">
        <v>380</v>
      </c>
      <c r="BK740" s="251" t="s">
        <v>2630</v>
      </c>
      <c r="BL740" s="251" t="s">
        <v>432</v>
      </c>
      <c r="BQ740" s="27" t="s">
        <v>8717</v>
      </c>
      <c r="BR740" s="27" t="s">
        <v>8718</v>
      </c>
    </row>
    <row r="741" spans="2:70" ht="15">
      <c r="B741" s="84"/>
      <c r="D741" s="84"/>
      <c r="E741" s="84"/>
      <c r="F741" s="84"/>
      <c r="G741" s="84"/>
      <c r="R741" s="251"/>
      <c r="S741" s="251"/>
      <c r="BD741" s="399">
        <v>738</v>
      </c>
      <c r="BE741" s="399" t="s">
        <v>2631</v>
      </c>
      <c r="BF741" s="251" t="s">
        <v>2401</v>
      </c>
      <c r="BG741" s="399" t="s">
        <v>429</v>
      </c>
      <c r="BH741" s="252" t="s">
        <v>430</v>
      </c>
      <c r="BI741" s="251" t="s">
        <v>728</v>
      </c>
      <c r="BJ741" s="251" t="s">
        <v>407</v>
      </c>
      <c r="BK741" s="251" t="s">
        <v>2632</v>
      </c>
      <c r="BL741" s="251" t="s">
        <v>432</v>
      </c>
      <c r="BQ741" s="27" t="s">
        <v>8719</v>
      </c>
      <c r="BR741" s="27" t="s">
        <v>8720</v>
      </c>
    </row>
    <row r="742" spans="2:70" ht="15">
      <c r="B742" s="84"/>
      <c r="D742" s="84"/>
      <c r="E742" s="84"/>
      <c r="F742" s="84"/>
      <c r="G742" s="84"/>
      <c r="R742" s="251"/>
      <c r="S742" s="251"/>
      <c r="BD742" s="399">
        <v>739</v>
      </c>
      <c r="BE742" s="399" t="s">
        <v>2633</v>
      </c>
      <c r="BF742" s="251" t="s">
        <v>2401</v>
      </c>
      <c r="BG742" s="399" t="s">
        <v>429</v>
      </c>
      <c r="BH742" s="252" t="s">
        <v>430</v>
      </c>
      <c r="BI742" s="251" t="s">
        <v>728</v>
      </c>
      <c r="BJ742" s="251" t="s">
        <v>2159</v>
      </c>
      <c r="BK742" s="251" t="s">
        <v>2634</v>
      </c>
      <c r="BL742" s="251" t="s">
        <v>432</v>
      </c>
      <c r="BQ742" s="27" t="s">
        <v>8721</v>
      </c>
      <c r="BR742" s="27" t="s">
        <v>8722</v>
      </c>
    </row>
    <row r="743" spans="2:70" ht="15">
      <c r="B743" s="84"/>
      <c r="D743" s="84"/>
      <c r="E743" s="84"/>
      <c r="F743" s="84"/>
      <c r="G743" s="84"/>
      <c r="R743" s="251"/>
      <c r="S743" s="251"/>
      <c r="BD743" s="399">
        <v>740</v>
      </c>
      <c r="BE743" s="399" t="s">
        <v>2635</v>
      </c>
      <c r="BF743" s="251" t="s">
        <v>2401</v>
      </c>
      <c r="BG743" s="399" t="s">
        <v>429</v>
      </c>
      <c r="BH743" s="252" t="s">
        <v>430</v>
      </c>
      <c r="BI743" s="251" t="s">
        <v>583</v>
      </c>
      <c r="BJ743" s="251" t="s">
        <v>2159</v>
      </c>
      <c r="BK743" s="251" t="s">
        <v>2636</v>
      </c>
      <c r="BL743" s="251" t="s">
        <v>432</v>
      </c>
      <c r="BQ743" s="27" t="s">
        <v>8723</v>
      </c>
      <c r="BR743" s="27" t="s">
        <v>7267</v>
      </c>
    </row>
    <row r="744" spans="2:70" ht="15">
      <c r="B744" s="84"/>
      <c r="D744" s="84"/>
      <c r="E744" s="84"/>
      <c r="F744" s="84"/>
      <c r="G744" s="84"/>
      <c r="R744" s="251"/>
      <c r="S744" s="251"/>
      <c r="BD744" s="399">
        <v>741</v>
      </c>
      <c r="BE744" s="399" t="s">
        <v>2637</v>
      </c>
      <c r="BF744" s="251" t="s">
        <v>2401</v>
      </c>
      <c r="BG744" s="399" t="s">
        <v>429</v>
      </c>
      <c r="BH744" s="252" t="s">
        <v>430</v>
      </c>
      <c r="BI744" s="251" t="s">
        <v>450</v>
      </c>
      <c r="BJ744" s="251" t="s">
        <v>397</v>
      </c>
      <c r="BK744" s="251" t="s">
        <v>2638</v>
      </c>
      <c r="BL744" s="251" t="s">
        <v>432</v>
      </c>
      <c r="BQ744" s="27" t="s">
        <v>8724</v>
      </c>
      <c r="BR744" s="27" t="s">
        <v>7291</v>
      </c>
    </row>
    <row r="745" spans="2:70" ht="15">
      <c r="B745" s="84"/>
      <c r="D745" s="84"/>
      <c r="E745" s="84"/>
      <c r="F745" s="84"/>
      <c r="G745" s="84"/>
      <c r="R745" s="251"/>
      <c r="S745" s="251"/>
      <c r="BD745" s="399">
        <v>742</v>
      </c>
      <c r="BE745" s="399" t="s">
        <v>2639</v>
      </c>
      <c r="BF745" s="251" t="s">
        <v>2401</v>
      </c>
      <c r="BG745" s="399" t="s">
        <v>429</v>
      </c>
      <c r="BH745" s="252" t="s">
        <v>430</v>
      </c>
      <c r="BI745" s="251" t="s">
        <v>450</v>
      </c>
      <c r="BJ745" s="251" t="s">
        <v>2159</v>
      </c>
      <c r="BK745" s="251" t="s">
        <v>2640</v>
      </c>
      <c r="BL745" s="251" t="s">
        <v>432</v>
      </c>
      <c r="BQ745" s="27" t="s">
        <v>8725</v>
      </c>
      <c r="BR745" s="27" t="s">
        <v>7306</v>
      </c>
    </row>
    <row r="746" spans="2:70" ht="15">
      <c r="B746" s="84"/>
      <c r="D746" s="84"/>
      <c r="E746" s="84"/>
      <c r="F746" s="84"/>
      <c r="G746" s="84"/>
      <c r="R746" s="251"/>
      <c r="S746" s="251"/>
      <c r="BD746" s="399">
        <v>743</v>
      </c>
      <c r="BE746" s="399" t="s">
        <v>2641</v>
      </c>
      <c r="BF746" s="251" t="s">
        <v>2401</v>
      </c>
      <c r="BG746" s="399" t="s">
        <v>429</v>
      </c>
      <c r="BH746" s="252" t="s">
        <v>430</v>
      </c>
      <c r="BI746" s="251" t="s">
        <v>2159</v>
      </c>
      <c r="BJ746" s="251" t="s">
        <v>539</v>
      </c>
      <c r="BK746" s="251" t="s">
        <v>2642</v>
      </c>
      <c r="BL746" s="251" t="s">
        <v>432</v>
      </c>
      <c r="BQ746" s="27" t="s">
        <v>8726</v>
      </c>
      <c r="BR746" s="27" t="s">
        <v>8727</v>
      </c>
    </row>
    <row r="747" spans="2:70" ht="15">
      <c r="B747" s="84"/>
      <c r="D747" s="84"/>
      <c r="E747" s="84"/>
      <c r="F747" s="84"/>
      <c r="G747" s="84"/>
      <c r="R747" s="251"/>
      <c r="S747" s="251"/>
      <c r="BD747" s="399">
        <v>744</v>
      </c>
      <c r="BE747" s="399" t="s">
        <v>2643</v>
      </c>
      <c r="BF747" s="251" t="s">
        <v>2401</v>
      </c>
      <c r="BG747" s="399" t="s">
        <v>2644</v>
      </c>
      <c r="BH747" s="252" t="s">
        <v>2645</v>
      </c>
      <c r="BI747" s="251" t="s">
        <v>331</v>
      </c>
      <c r="BJ747" s="251" t="s">
        <v>397</v>
      </c>
      <c r="BK747" s="251" t="s">
        <v>2646</v>
      </c>
      <c r="BL747" s="251" t="s">
        <v>2647</v>
      </c>
      <c r="BQ747" s="27" t="s">
        <v>8728</v>
      </c>
      <c r="BR747" s="27" t="s">
        <v>8729</v>
      </c>
    </row>
    <row r="748" spans="2:70" ht="15">
      <c r="B748" s="84"/>
      <c r="D748" s="84"/>
      <c r="E748" s="84"/>
      <c r="F748" s="84"/>
      <c r="G748" s="84"/>
      <c r="R748" s="251"/>
      <c r="S748" s="251"/>
      <c r="BD748" s="399">
        <v>745</v>
      </c>
      <c r="BE748" s="399" t="s">
        <v>2648</v>
      </c>
      <c r="BF748" s="251" t="s">
        <v>2401</v>
      </c>
      <c r="BG748" s="399" t="s">
        <v>2644</v>
      </c>
      <c r="BH748" s="252" t="s">
        <v>2645</v>
      </c>
      <c r="BI748" s="251" t="s">
        <v>333</v>
      </c>
      <c r="BJ748" s="251" t="s">
        <v>2159</v>
      </c>
      <c r="BK748" s="251" t="s">
        <v>2649</v>
      </c>
      <c r="BL748" s="251" t="s">
        <v>2647</v>
      </c>
      <c r="BQ748" s="27" t="s">
        <v>8377</v>
      </c>
      <c r="BR748" s="27" t="s">
        <v>7271</v>
      </c>
    </row>
    <row r="749" spans="2:70" ht="15">
      <c r="B749" s="84"/>
      <c r="D749" s="84"/>
      <c r="E749" s="84"/>
      <c r="F749" s="84"/>
      <c r="G749" s="84"/>
      <c r="R749" s="251"/>
      <c r="S749" s="251"/>
      <c r="BD749" s="399">
        <v>746</v>
      </c>
      <c r="BE749" s="399" t="s">
        <v>2650</v>
      </c>
      <c r="BF749" s="251" t="s">
        <v>2401</v>
      </c>
      <c r="BG749" s="399" t="s">
        <v>2644</v>
      </c>
      <c r="BH749" s="252" t="s">
        <v>2651</v>
      </c>
      <c r="BI749" s="251" t="s">
        <v>524</v>
      </c>
      <c r="BJ749" s="251" t="s">
        <v>407</v>
      </c>
      <c r="BK749" s="251" t="s">
        <v>2652</v>
      </c>
      <c r="BL749" s="251" t="s">
        <v>2647</v>
      </c>
      <c r="BQ749" s="27" t="s">
        <v>8730</v>
      </c>
      <c r="BR749" s="27" t="s">
        <v>7378</v>
      </c>
    </row>
    <row r="750" spans="2:70" ht="15">
      <c r="B750" s="84"/>
      <c r="D750" s="84"/>
      <c r="E750" s="84"/>
      <c r="F750" s="84"/>
      <c r="G750" s="84"/>
      <c r="R750" s="251"/>
      <c r="S750" s="251"/>
      <c r="BD750" s="399">
        <v>747</v>
      </c>
      <c r="BE750" s="399" t="s">
        <v>2653</v>
      </c>
      <c r="BF750" s="251" t="s">
        <v>2401</v>
      </c>
      <c r="BG750" s="399" t="s">
        <v>2644</v>
      </c>
      <c r="BH750" s="252" t="s">
        <v>2645</v>
      </c>
      <c r="BI750" s="251" t="s">
        <v>396</v>
      </c>
      <c r="BJ750" s="251" t="s">
        <v>2159</v>
      </c>
      <c r="BK750" s="251" t="s">
        <v>2654</v>
      </c>
      <c r="BL750" s="251" t="s">
        <v>2647</v>
      </c>
      <c r="BQ750" s="27" t="s">
        <v>8731</v>
      </c>
      <c r="BR750" s="27" t="s">
        <v>7313</v>
      </c>
    </row>
    <row r="751" spans="2:70" ht="15">
      <c r="B751" s="84"/>
      <c r="D751" s="84"/>
      <c r="E751" s="84"/>
      <c r="F751" s="84"/>
      <c r="G751" s="84"/>
      <c r="R751" s="251"/>
      <c r="S751" s="251"/>
      <c r="BD751" s="399">
        <v>748</v>
      </c>
      <c r="BE751" s="399" t="s">
        <v>2655</v>
      </c>
      <c r="BF751" s="251" t="s">
        <v>2401</v>
      </c>
      <c r="BG751" s="399" t="s">
        <v>2644</v>
      </c>
      <c r="BH751" s="252" t="s">
        <v>2645</v>
      </c>
      <c r="BI751" s="251" t="s">
        <v>563</v>
      </c>
      <c r="BJ751" s="251" t="s">
        <v>2159</v>
      </c>
      <c r="BK751" s="251" t="s">
        <v>2656</v>
      </c>
      <c r="BL751" s="251" t="s">
        <v>2647</v>
      </c>
      <c r="BQ751" s="27" t="s">
        <v>8732</v>
      </c>
      <c r="BR751" s="27" t="s">
        <v>8733</v>
      </c>
    </row>
    <row r="752" spans="2:70" ht="15">
      <c r="B752" s="84"/>
      <c r="D752" s="84"/>
      <c r="E752" s="84"/>
      <c r="F752" s="84"/>
      <c r="G752" s="84"/>
      <c r="R752" s="251"/>
      <c r="S752" s="251"/>
      <c r="BD752" s="399">
        <v>749</v>
      </c>
      <c r="BE752" s="399" t="s">
        <v>2657</v>
      </c>
      <c r="BF752" s="251" t="s">
        <v>2401</v>
      </c>
      <c r="BG752" s="399" t="s">
        <v>2644</v>
      </c>
      <c r="BH752" s="252" t="s">
        <v>2645</v>
      </c>
      <c r="BI752" s="251" t="s">
        <v>583</v>
      </c>
      <c r="BJ752" s="251" t="s">
        <v>380</v>
      </c>
      <c r="BK752" s="251" t="s">
        <v>2658</v>
      </c>
      <c r="BL752" s="251" t="s">
        <v>2647</v>
      </c>
      <c r="BQ752" s="27" t="s">
        <v>8734</v>
      </c>
      <c r="BR752" s="27" t="s">
        <v>7344</v>
      </c>
    </row>
    <row r="753" spans="2:70" ht="15">
      <c r="B753" s="84"/>
      <c r="D753" s="84"/>
      <c r="E753" s="84"/>
      <c r="F753" s="84"/>
      <c r="G753" s="84"/>
      <c r="R753" s="251"/>
      <c r="S753" s="251"/>
      <c r="BD753" s="399">
        <v>750</v>
      </c>
      <c r="BE753" s="399" t="s">
        <v>2659</v>
      </c>
      <c r="BF753" s="251" t="s">
        <v>2401</v>
      </c>
      <c r="BG753" s="399" t="s">
        <v>2644</v>
      </c>
      <c r="BH753" s="252" t="s">
        <v>2645</v>
      </c>
      <c r="BI753" s="251" t="s">
        <v>450</v>
      </c>
      <c r="BJ753" s="251" t="s">
        <v>380</v>
      </c>
      <c r="BK753" s="251" t="s">
        <v>2660</v>
      </c>
      <c r="BL753" s="251" t="s">
        <v>2647</v>
      </c>
      <c r="BQ753" s="27" t="s">
        <v>8735</v>
      </c>
      <c r="BR753" s="27" t="s">
        <v>7359</v>
      </c>
    </row>
    <row r="754" spans="2:70" ht="15">
      <c r="B754" s="84"/>
      <c r="D754" s="84"/>
      <c r="E754" s="84"/>
      <c r="F754" s="84"/>
      <c r="G754" s="84"/>
      <c r="R754" s="251"/>
      <c r="S754" s="251"/>
      <c r="BD754" s="399">
        <v>751</v>
      </c>
      <c r="BE754" s="399" t="s">
        <v>2661</v>
      </c>
      <c r="BF754" s="251" t="s">
        <v>2401</v>
      </c>
      <c r="BG754" s="399" t="s">
        <v>2644</v>
      </c>
      <c r="BH754" s="252" t="s">
        <v>2645</v>
      </c>
      <c r="BI754" s="251" t="s">
        <v>450</v>
      </c>
      <c r="BJ754" s="251" t="s">
        <v>407</v>
      </c>
      <c r="BK754" s="251" t="s">
        <v>2662</v>
      </c>
      <c r="BL754" s="251" t="s">
        <v>2647</v>
      </c>
      <c r="BQ754" s="27" t="s">
        <v>8736</v>
      </c>
      <c r="BR754" s="27" t="s">
        <v>8737</v>
      </c>
    </row>
    <row r="755" spans="2:70" ht="15">
      <c r="B755" s="84"/>
      <c r="D755" s="84"/>
      <c r="E755" s="84"/>
      <c r="F755" s="84"/>
      <c r="G755" s="84"/>
      <c r="R755" s="251"/>
      <c r="S755" s="251"/>
      <c r="BD755" s="399">
        <v>752</v>
      </c>
      <c r="BE755" s="399" t="s">
        <v>2663</v>
      </c>
      <c r="BF755" s="251" t="s">
        <v>2401</v>
      </c>
      <c r="BG755" s="399" t="s">
        <v>2644</v>
      </c>
      <c r="BH755" s="252" t="s">
        <v>2645</v>
      </c>
      <c r="BI755" s="251" t="s">
        <v>450</v>
      </c>
      <c r="BJ755" s="251" t="s">
        <v>2159</v>
      </c>
      <c r="BK755" s="251" t="s">
        <v>2664</v>
      </c>
      <c r="BL755" s="251" t="s">
        <v>2647</v>
      </c>
      <c r="BQ755" s="27" t="s">
        <v>8738</v>
      </c>
      <c r="BR755" s="27" t="s">
        <v>7385</v>
      </c>
    </row>
    <row r="756" spans="2:70" ht="15">
      <c r="B756" s="84"/>
      <c r="D756" s="84"/>
      <c r="E756" s="84"/>
      <c r="F756" s="84"/>
      <c r="G756" s="84"/>
      <c r="R756" s="251"/>
      <c r="S756" s="251"/>
      <c r="BD756" s="399">
        <v>753</v>
      </c>
      <c r="BE756" s="399" t="s">
        <v>2665</v>
      </c>
      <c r="BF756" s="251" t="s">
        <v>2401</v>
      </c>
      <c r="BG756" s="399" t="s">
        <v>435</v>
      </c>
      <c r="BH756" s="252" t="s">
        <v>436</v>
      </c>
      <c r="BI756" s="251" t="s">
        <v>331</v>
      </c>
      <c r="BJ756" s="251" t="s">
        <v>407</v>
      </c>
      <c r="BK756" s="251" t="s">
        <v>2666</v>
      </c>
      <c r="BL756" s="251" t="s">
        <v>439</v>
      </c>
      <c r="BQ756" s="27" t="s">
        <v>8601</v>
      </c>
      <c r="BR756" s="27" t="s">
        <v>8602</v>
      </c>
    </row>
    <row r="757" spans="2:70" ht="15">
      <c r="B757" s="84"/>
      <c r="D757" s="84"/>
      <c r="E757" s="84"/>
      <c r="F757" s="84"/>
      <c r="G757" s="84"/>
      <c r="R757" s="251"/>
      <c r="S757" s="251"/>
      <c r="BD757" s="399">
        <v>754</v>
      </c>
      <c r="BE757" s="399" t="s">
        <v>2667</v>
      </c>
      <c r="BF757" s="251" t="s">
        <v>2401</v>
      </c>
      <c r="BG757" s="399" t="s">
        <v>435</v>
      </c>
      <c r="BH757" s="252" t="s">
        <v>436</v>
      </c>
      <c r="BI757" s="251" t="s">
        <v>331</v>
      </c>
      <c r="BJ757" s="251" t="s">
        <v>615</v>
      </c>
      <c r="BK757" s="251" t="s">
        <v>2668</v>
      </c>
      <c r="BL757" s="251" t="s">
        <v>439</v>
      </c>
      <c r="BQ757" s="27" t="s">
        <v>8739</v>
      </c>
      <c r="BR757" s="27" t="s">
        <v>7416</v>
      </c>
    </row>
    <row r="758" spans="2:70" ht="15">
      <c r="B758" s="84"/>
      <c r="D758" s="84"/>
      <c r="E758" s="84"/>
      <c r="F758" s="84"/>
      <c r="G758" s="84"/>
      <c r="R758" s="251"/>
      <c r="S758" s="251"/>
      <c r="BD758" s="399">
        <v>755</v>
      </c>
      <c r="BE758" s="399" t="s">
        <v>2669</v>
      </c>
      <c r="BF758" s="251" t="s">
        <v>2401</v>
      </c>
      <c r="BG758" s="399" t="s">
        <v>435</v>
      </c>
      <c r="BH758" s="252" t="s">
        <v>436</v>
      </c>
      <c r="BI758" s="251" t="s">
        <v>331</v>
      </c>
      <c r="BJ758" s="251" t="s">
        <v>2159</v>
      </c>
      <c r="BK758" s="251" t="s">
        <v>2670</v>
      </c>
      <c r="BL758" s="251" t="s">
        <v>439</v>
      </c>
      <c r="BQ758" s="27" t="s">
        <v>8740</v>
      </c>
      <c r="BR758" s="27" t="s">
        <v>7417</v>
      </c>
    </row>
    <row r="759" spans="2:70" ht="15">
      <c r="B759" s="84"/>
      <c r="D759" s="84"/>
      <c r="E759" s="84"/>
      <c r="F759" s="84"/>
      <c r="G759" s="84"/>
      <c r="R759" s="251"/>
      <c r="S759" s="251"/>
      <c r="BD759" s="399">
        <v>756</v>
      </c>
      <c r="BE759" s="399" t="s">
        <v>972</v>
      </c>
      <c r="BF759" s="251" t="s">
        <v>2401</v>
      </c>
      <c r="BG759" s="399" t="s">
        <v>435</v>
      </c>
      <c r="BH759" s="252" t="s">
        <v>436</v>
      </c>
      <c r="BI759" s="251" t="s">
        <v>332</v>
      </c>
      <c r="BJ759" s="251" t="s">
        <v>407</v>
      </c>
      <c r="BK759" s="251" t="s">
        <v>974</v>
      </c>
      <c r="BL759" s="251" t="s">
        <v>439</v>
      </c>
      <c r="BQ759" s="27" t="s">
        <v>8641</v>
      </c>
      <c r="BR759" s="27" t="s">
        <v>8642</v>
      </c>
    </row>
    <row r="760" spans="2:70" ht="15">
      <c r="B760" s="84"/>
      <c r="D760" s="84"/>
      <c r="E760" s="84"/>
      <c r="F760" s="84"/>
      <c r="G760" s="84"/>
      <c r="R760" s="251"/>
      <c r="S760" s="251"/>
      <c r="BD760" s="399">
        <v>757</v>
      </c>
      <c r="BE760" s="399" t="s">
        <v>2671</v>
      </c>
      <c r="BF760" s="251" t="s">
        <v>2401</v>
      </c>
      <c r="BG760" s="399" t="s">
        <v>435</v>
      </c>
      <c r="BH760" s="252" t="s">
        <v>436</v>
      </c>
      <c r="BI760" s="251" t="s">
        <v>332</v>
      </c>
      <c r="BJ760" s="251" t="s">
        <v>2159</v>
      </c>
      <c r="BK760" s="251" t="s">
        <v>2672</v>
      </c>
      <c r="BL760" s="251" t="s">
        <v>439</v>
      </c>
      <c r="BQ760" s="27" t="s">
        <v>8643</v>
      </c>
      <c r="BR760" s="27" t="s">
        <v>8644</v>
      </c>
    </row>
    <row r="761" spans="2:70" ht="15">
      <c r="B761" s="84"/>
      <c r="D761" s="84"/>
      <c r="E761" s="84"/>
      <c r="F761" s="84"/>
      <c r="G761" s="84"/>
      <c r="R761" s="251"/>
      <c r="S761" s="251"/>
      <c r="BD761" s="399">
        <v>758</v>
      </c>
      <c r="BE761" s="399" t="s">
        <v>2673</v>
      </c>
      <c r="BF761" s="251" t="s">
        <v>2401</v>
      </c>
      <c r="BG761" s="399" t="s">
        <v>435</v>
      </c>
      <c r="BH761" s="252" t="s">
        <v>436</v>
      </c>
      <c r="BI761" s="251" t="s">
        <v>334</v>
      </c>
      <c r="BJ761" s="251" t="s">
        <v>407</v>
      </c>
      <c r="BK761" s="251" t="s">
        <v>2674</v>
      </c>
      <c r="BL761" s="251" t="s">
        <v>439</v>
      </c>
      <c r="BQ761" s="27" t="s">
        <v>8741</v>
      </c>
      <c r="BR761" s="27" t="s">
        <v>7447</v>
      </c>
    </row>
    <row r="762" spans="2:70" ht="15">
      <c r="B762" s="84"/>
      <c r="D762" s="84"/>
      <c r="E762" s="84"/>
      <c r="F762" s="84"/>
      <c r="G762" s="84"/>
      <c r="R762" s="251"/>
      <c r="S762" s="251"/>
      <c r="BD762" s="399">
        <v>759</v>
      </c>
      <c r="BE762" s="399" t="s">
        <v>2675</v>
      </c>
      <c r="BF762" s="251" t="s">
        <v>2401</v>
      </c>
      <c r="BG762" s="399" t="s">
        <v>435</v>
      </c>
      <c r="BH762" s="252" t="s">
        <v>436</v>
      </c>
      <c r="BI762" s="251" t="s">
        <v>407</v>
      </c>
      <c r="BJ762" s="251" t="s">
        <v>539</v>
      </c>
      <c r="BK762" s="251" t="s">
        <v>2676</v>
      </c>
      <c r="BL762" s="251" t="s">
        <v>439</v>
      </c>
      <c r="BQ762" s="27" t="s">
        <v>8742</v>
      </c>
      <c r="BR762" s="27" t="s">
        <v>7282</v>
      </c>
    </row>
    <row r="763" spans="2:70" ht="15">
      <c r="B763" s="84"/>
      <c r="D763" s="84"/>
      <c r="E763" s="84"/>
      <c r="F763" s="84"/>
      <c r="G763" s="84"/>
      <c r="R763" s="251"/>
      <c r="S763" s="251"/>
      <c r="BD763" s="399">
        <v>760</v>
      </c>
      <c r="BE763" s="399" t="s">
        <v>2677</v>
      </c>
      <c r="BF763" s="251" t="s">
        <v>2401</v>
      </c>
      <c r="BG763" s="399" t="s">
        <v>435</v>
      </c>
      <c r="BH763" s="252" t="s">
        <v>651</v>
      </c>
      <c r="BI763" s="251" t="s">
        <v>2478</v>
      </c>
      <c r="BJ763" s="251" t="s">
        <v>778</v>
      </c>
      <c r="BK763" s="251" t="s">
        <v>2678</v>
      </c>
      <c r="BL763" s="251" t="s">
        <v>439</v>
      </c>
      <c r="BQ763" s="27" t="s">
        <v>8743</v>
      </c>
      <c r="BR763" s="27" t="s">
        <v>8744</v>
      </c>
    </row>
    <row r="764" spans="2:70" ht="15">
      <c r="B764" s="84"/>
      <c r="D764" s="84"/>
      <c r="E764" s="84"/>
      <c r="F764" s="84"/>
      <c r="G764" s="84"/>
      <c r="R764" s="251"/>
      <c r="S764" s="251"/>
      <c r="BD764" s="399">
        <v>761</v>
      </c>
      <c r="BE764" s="399" t="s">
        <v>2679</v>
      </c>
      <c r="BF764" s="251" t="s">
        <v>2401</v>
      </c>
      <c r="BG764" s="399" t="s">
        <v>435</v>
      </c>
      <c r="BH764" s="252" t="s">
        <v>436</v>
      </c>
      <c r="BI764" s="251" t="s">
        <v>524</v>
      </c>
      <c r="BJ764" s="251" t="s">
        <v>413</v>
      </c>
      <c r="BK764" s="251" t="s">
        <v>2680</v>
      </c>
      <c r="BL764" s="251" t="s">
        <v>439</v>
      </c>
      <c r="BQ764" s="27" t="s">
        <v>8745</v>
      </c>
      <c r="BR764" s="27" t="s">
        <v>8746</v>
      </c>
    </row>
    <row r="765" spans="2:70" ht="15">
      <c r="B765" s="84"/>
      <c r="D765" s="84"/>
      <c r="E765" s="84"/>
      <c r="F765" s="84"/>
      <c r="G765" s="84"/>
      <c r="R765" s="251"/>
      <c r="S765" s="251"/>
      <c r="BD765" s="399">
        <v>762</v>
      </c>
      <c r="BE765" s="399" t="s">
        <v>2681</v>
      </c>
      <c r="BF765" s="251" t="s">
        <v>2401</v>
      </c>
      <c r="BG765" s="399" t="s">
        <v>435</v>
      </c>
      <c r="BH765" s="252" t="s">
        <v>436</v>
      </c>
      <c r="BI765" s="251" t="s">
        <v>740</v>
      </c>
      <c r="BJ765" s="251" t="s">
        <v>380</v>
      </c>
      <c r="BK765" s="251" t="s">
        <v>2682</v>
      </c>
      <c r="BL765" s="251" t="s">
        <v>439</v>
      </c>
      <c r="BQ765" s="27" t="s">
        <v>8747</v>
      </c>
      <c r="BR765" s="27" t="s">
        <v>8748</v>
      </c>
    </row>
    <row r="766" spans="2:70" ht="15">
      <c r="B766" s="84"/>
      <c r="D766" s="84"/>
      <c r="E766" s="84"/>
      <c r="F766" s="84"/>
      <c r="G766" s="84"/>
      <c r="R766" s="251"/>
      <c r="S766" s="251"/>
      <c r="BD766" s="399">
        <v>763</v>
      </c>
      <c r="BE766" s="399" t="s">
        <v>2683</v>
      </c>
      <c r="BF766" s="251" t="s">
        <v>2401</v>
      </c>
      <c r="BG766" s="399" t="s">
        <v>435</v>
      </c>
      <c r="BH766" s="252" t="s">
        <v>436</v>
      </c>
      <c r="BI766" s="251" t="s">
        <v>740</v>
      </c>
      <c r="BJ766" s="251" t="s">
        <v>407</v>
      </c>
      <c r="BK766" s="251" t="s">
        <v>2684</v>
      </c>
      <c r="BL766" s="251" t="s">
        <v>439</v>
      </c>
      <c r="BQ766" s="27" t="s">
        <v>8749</v>
      </c>
      <c r="BR766" s="27" t="s">
        <v>8750</v>
      </c>
    </row>
    <row r="767" spans="2:70" ht="15">
      <c r="B767" s="84"/>
      <c r="D767" s="84"/>
      <c r="E767" s="84"/>
      <c r="F767" s="84"/>
      <c r="G767" s="84"/>
      <c r="R767" s="251"/>
      <c r="S767" s="251"/>
      <c r="BD767" s="399">
        <v>764</v>
      </c>
      <c r="BE767" s="399" t="s">
        <v>2685</v>
      </c>
      <c r="BF767" s="251" t="s">
        <v>2401</v>
      </c>
      <c r="BG767" s="399" t="s">
        <v>435</v>
      </c>
      <c r="BH767" s="252" t="s">
        <v>436</v>
      </c>
      <c r="BI767" s="251" t="s">
        <v>615</v>
      </c>
      <c r="BJ767" s="251" t="s">
        <v>407</v>
      </c>
      <c r="BK767" s="251" t="s">
        <v>2686</v>
      </c>
      <c r="BL767" s="251" t="s">
        <v>439</v>
      </c>
      <c r="BQ767" s="27" t="s">
        <v>8751</v>
      </c>
      <c r="BR767" s="27" t="s">
        <v>8752</v>
      </c>
    </row>
    <row r="768" spans="2:70" ht="15">
      <c r="B768" s="84"/>
      <c r="D768" s="84"/>
      <c r="E768" s="84"/>
      <c r="F768" s="84"/>
      <c r="G768" s="84"/>
      <c r="R768" s="251"/>
      <c r="S768" s="251"/>
      <c r="BD768" s="399">
        <v>765</v>
      </c>
      <c r="BE768" s="399" t="s">
        <v>2687</v>
      </c>
      <c r="BF768" s="251" t="s">
        <v>2401</v>
      </c>
      <c r="BG768" s="399" t="s">
        <v>435</v>
      </c>
      <c r="BH768" s="252" t="s">
        <v>436</v>
      </c>
      <c r="BI768" s="251" t="s">
        <v>615</v>
      </c>
      <c r="BJ768" s="251" t="s">
        <v>397</v>
      </c>
      <c r="BK768" s="251" t="s">
        <v>2688</v>
      </c>
      <c r="BL768" s="251" t="s">
        <v>439</v>
      </c>
      <c r="BQ768" s="27" t="s">
        <v>8753</v>
      </c>
      <c r="BR768" s="27" t="s">
        <v>8754</v>
      </c>
    </row>
    <row r="769" spans="2:70" ht="15">
      <c r="B769" s="84"/>
      <c r="D769" s="84"/>
      <c r="E769" s="84"/>
      <c r="F769" s="84"/>
      <c r="G769" s="84"/>
      <c r="R769" s="251"/>
      <c r="S769" s="251"/>
      <c r="BD769" s="399">
        <v>766</v>
      </c>
      <c r="BE769" s="399" t="s">
        <v>2689</v>
      </c>
      <c r="BF769" s="251" t="s">
        <v>2401</v>
      </c>
      <c r="BG769" s="399" t="s">
        <v>435</v>
      </c>
      <c r="BH769" s="252" t="s">
        <v>436</v>
      </c>
      <c r="BI769" s="251" t="s">
        <v>491</v>
      </c>
      <c r="BJ769" s="251" t="s">
        <v>380</v>
      </c>
      <c r="BK769" s="251" t="s">
        <v>2690</v>
      </c>
      <c r="BL769" s="251" t="s">
        <v>439</v>
      </c>
      <c r="BQ769" s="27" t="s">
        <v>8413</v>
      </c>
      <c r="BR769" s="27" t="s">
        <v>8414</v>
      </c>
    </row>
    <row r="770" spans="2:70" ht="15">
      <c r="B770" s="84"/>
      <c r="D770" s="84"/>
      <c r="E770" s="84"/>
      <c r="F770" s="84"/>
      <c r="G770" s="84"/>
      <c r="R770" s="251"/>
      <c r="S770" s="251"/>
      <c r="BD770" s="399">
        <v>767</v>
      </c>
      <c r="BE770" s="399" t="s">
        <v>2691</v>
      </c>
      <c r="BF770" s="251" t="s">
        <v>2401</v>
      </c>
      <c r="BG770" s="399" t="s">
        <v>435</v>
      </c>
      <c r="BH770" s="252" t="s">
        <v>436</v>
      </c>
      <c r="BI770" s="251" t="s">
        <v>491</v>
      </c>
      <c r="BJ770" s="251" t="s">
        <v>407</v>
      </c>
      <c r="BK770" s="251" t="s">
        <v>2692</v>
      </c>
      <c r="BL770" s="251" t="s">
        <v>439</v>
      </c>
      <c r="BQ770" s="27" t="s">
        <v>8755</v>
      </c>
      <c r="BR770" s="27" t="s">
        <v>8756</v>
      </c>
    </row>
    <row r="771" spans="2:70" ht="15">
      <c r="B771" s="84"/>
      <c r="D771" s="84"/>
      <c r="E771" s="84"/>
      <c r="F771" s="84"/>
      <c r="G771" s="84"/>
      <c r="R771" s="251"/>
      <c r="S771" s="251"/>
      <c r="BD771" s="399">
        <v>768</v>
      </c>
      <c r="BE771" s="399" t="s">
        <v>2693</v>
      </c>
      <c r="BF771" s="251" t="s">
        <v>2401</v>
      </c>
      <c r="BG771" s="399" t="s">
        <v>435</v>
      </c>
      <c r="BH771" s="252" t="s">
        <v>436</v>
      </c>
      <c r="BI771" s="251" t="s">
        <v>491</v>
      </c>
      <c r="BJ771" s="251" t="s">
        <v>2159</v>
      </c>
      <c r="BK771" s="251" t="s">
        <v>2694</v>
      </c>
      <c r="BL771" s="251" t="s">
        <v>439</v>
      </c>
      <c r="BQ771" s="27" t="s">
        <v>8757</v>
      </c>
      <c r="BR771" s="27" t="s">
        <v>8758</v>
      </c>
    </row>
    <row r="772" spans="2:70" ht="15">
      <c r="B772" s="84"/>
      <c r="D772" s="84"/>
      <c r="E772" s="84"/>
      <c r="F772" s="84"/>
      <c r="G772" s="84"/>
      <c r="R772" s="251"/>
      <c r="S772" s="251"/>
      <c r="BD772" s="399">
        <v>769</v>
      </c>
      <c r="BE772" s="399" t="s">
        <v>1996</v>
      </c>
      <c r="BF772" s="251" t="s">
        <v>2401</v>
      </c>
      <c r="BG772" s="399" t="s">
        <v>435</v>
      </c>
      <c r="BH772" s="252" t="s">
        <v>436</v>
      </c>
      <c r="BI772" s="251" t="s">
        <v>728</v>
      </c>
      <c r="BJ772" s="251" t="s">
        <v>380</v>
      </c>
      <c r="BK772" s="251" t="s">
        <v>1998</v>
      </c>
      <c r="BL772" s="251" t="s">
        <v>439</v>
      </c>
      <c r="BQ772" s="27" t="s">
        <v>8759</v>
      </c>
      <c r="BR772" s="27" t="s">
        <v>7322</v>
      </c>
    </row>
    <row r="773" spans="2:70" ht="15">
      <c r="B773" s="84"/>
      <c r="D773" s="84"/>
      <c r="E773" s="84"/>
      <c r="F773" s="84"/>
      <c r="G773" s="84"/>
      <c r="R773" s="251"/>
      <c r="S773" s="251"/>
      <c r="BD773" s="399">
        <v>770</v>
      </c>
      <c r="BE773" s="399" t="s">
        <v>2695</v>
      </c>
      <c r="BF773" s="251" t="s">
        <v>2401</v>
      </c>
      <c r="BG773" s="399" t="s">
        <v>435</v>
      </c>
      <c r="BH773" s="252" t="s">
        <v>436</v>
      </c>
      <c r="BI773" s="251" t="s">
        <v>728</v>
      </c>
      <c r="BJ773" s="251" t="s">
        <v>407</v>
      </c>
      <c r="BK773" s="251" t="s">
        <v>2696</v>
      </c>
      <c r="BL773" s="251" t="s">
        <v>439</v>
      </c>
      <c r="BQ773" s="27" t="s">
        <v>8760</v>
      </c>
      <c r="BR773" s="27" t="s">
        <v>7292</v>
      </c>
    </row>
    <row r="774" spans="2:70" ht="15">
      <c r="B774" s="84"/>
      <c r="D774" s="84"/>
      <c r="E774" s="84"/>
      <c r="F774" s="84"/>
      <c r="G774" s="84"/>
      <c r="R774" s="251"/>
      <c r="S774" s="251"/>
      <c r="BD774" s="399">
        <v>771</v>
      </c>
      <c r="BE774" s="399" t="s">
        <v>2697</v>
      </c>
      <c r="BF774" s="251" t="s">
        <v>2401</v>
      </c>
      <c r="BG774" s="399" t="s">
        <v>435</v>
      </c>
      <c r="BH774" s="252" t="s">
        <v>436</v>
      </c>
      <c r="BI774" s="251" t="s">
        <v>728</v>
      </c>
      <c r="BJ774" s="251" t="s">
        <v>2159</v>
      </c>
      <c r="BK774" s="251" t="s">
        <v>2698</v>
      </c>
      <c r="BL774" s="251" t="s">
        <v>439</v>
      </c>
      <c r="BQ774" s="27" t="s">
        <v>8761</v>
      </c>
      <c r="BR774" s="27" t="s">
        <v>7297</v>
      </c>
    </row>
    <row r="775" spans="2:70" ht="15">
      <c r="B775" s="84"/>
      <c r="D775" s="84"/>
      <c r="E775" s="84"/>
      <c r="F775" s="84"/>
      <c r="G775" s="84"/>
      <c r="R775" s="251"/>
      <c r="S775" s="251"/>
      <c r="BD775" s="399">
        <v>772</v>
      </c>
      <c r="BE775" s="399" t="s">
        <v>1944</v>
      </c>
      <c r="BF775" s="251" t="s">
        <v>2401</v>
      </c>
      <c r="BG775" s="399" t="s">
        <v>435</v>
      </c>
      <c r="BH775" s="252" t="s">
        <v>436</v>
      </c>
      <c r="BI775" s="251" t="s">
        <v>583</v>
      </c>
      <c r="BJ775" s="251" t="s">
        <v>413</v>
      </c>
      <c r="BK775" s="251" t="s">
        <v>2699</v>
      </c>
      <c r="BL775" s="251" t="s">
        <v>439</v>
      </c>
      <c r="BQ775" s="27" t="s">
        <v>8762</v>
      </c>
      <c r="BR775" s="27" t="s">
        <v>7323</v>
      </c>
    </row>
    <row r="776" spans="2:70" ht="15">
      <c r="B776" s="84"/>
      <c r="D776" s="84"/>
      <c r="E776" s="84"/>
      <c r="F776" s="84"/>
      <c r="G776" s="84"/>
      <c r="R776" s="251"/>
      <c r="S776" s="251"/>
      <c r="BD776" s="399">
        <v>773</v>
      </c>
      <c r="BE776" s="399" t="s">
        <v>2700</v>
      </c>
      <c r="BF776" s="251" t="s">
        <v>2401</v>
      </c>
      <c r="BG776" s="399" t="s">
        <v>435</v>
      </c>
      <c r="BH776" s="252" t="s">
        <v>436</v>
      </c>
      <c r="BI776" s="251" t="s">
        <v>535</v>
      </c>
      <c r="BJ776" s="251" t="s">
        <v>1385</v>
      </c>
      <c r="BK776" s="251" t="s">
        <v>2701</v>
      </c>
      <c r="BL776" s="251" t="s">
        <v>439</v>
      </c>
      <c r="BQ776" s="27" t="s">
        <v>8763</v>
      </c>
      <c r="BR776" s="27" t="s">
        <v>7296</v>
      </c>
    </row>
    <row r="777" spans="2:70" ht="15">
      <c r="B777" s="84"/>
      <c r="D777" s="84"/>
      <c r="E777" s="84"/>
      <c r="F777" s="84"/>
      <c r="G777" s="84"/>
      <c r="R777" s="251"/>
      <c r="S777" s="251"/>
      <c r="BD777" s="399">
        <v>774</v>
      </c>
      <c r="BE777" s="399" t="s">
        <v>2702</v>
      </c>
      <c r="BF777" s="251" t="s">
        <v>2401</v>
      </c>
      <c r="BG777" s="399" t="s">
        <v>435</v>
      </c>
      <c r="BH777" s="252" t="s">
        <v>436</v>
      </c>
      <c r="BI777" s="251" t="s">
        <v>350</v>
      </c>
      <c r="BJ777" s="251" t="s">
        <v>1855</v>
      </c>
      <c r="BK777" s="251" t="s">
        <v>2703</v>
      </c>
      <c r="BL777" s="251" t="s">
        <v>439</v>
      </c>
      <c r="BQ777" s="27" t="s">
        <v>8764</v>
      </c>
      <c r="BR777" s="27" t="s">
        <v>8765</v>
      </c>
    </row>
    <row r="778" spans="2:70" ht="15">
      <c r="B778" s="84"/>
      <c r="D778" s="84"/>
      <c r="E778" s="84"/>
      <c r="F778" s="84"/>
      <c r="G778" s="84"/>
      <c r="R778" s="251"/>
      <c r="S778" s="251"/>
      <c r="BD778" s="399">
        <v>775</v>
      </c>
      <c r="BE778" s="399" t="s">
        <v>2704</v>
      </c>
      <c r="BF778" s="251" t="s">
        <v>2401</v>
      </c>
      <c r="BG778" s="399" t="s">
        <v>435</v>
      </c>
      <c r="BH778" s="252" t="s">
        <v>436</v>
      </c>
      <c r="BI778" s="251" t="s">
        <v>465</v>
      </c>
      <c r="BJ778" s="251" t="s">
        <v>2460</v>
      </c>
      <c r="BK778" s="251" t="s">
        <v>2705</v>
      </c>
      <c r="BL778" s="251" t="s">
        <v>439</v>
      </c>
      <c r="BQ778" s="27" t="s">
        <v>8766</v>
      </c>
      <c r="BR778" s="27" t="s">
        <v>7310</v>
      </c>
    </row>
    <row r="779" spans="2:70" ht="15">
      <c r="B779" s="84"/>
      <c r="D779" s="84"/>
      <c r="E779" s="84"/>
      <c r="F779" s="84"/>
      <c r="G779" s="84"/>
      <c r="R779" s="251"/>
      <c r="S779" s="251"/>
      <c r="BD779" s="399">
        <v>776</v>
      </c>
      <c r="BE779" s="399" t="s">
        <v>2706</v>
      </c>
      <c r="BF779" s="251" t="s">
        <v>2401</v>
      </c>
      <c r="BG779" s="399" t="s">
        <v>435</v>
      </c>
      <c r="BH779" s="252" t="s">
        <v>436</v>
      </c>
      <c r="BI779" s="251" t="s">
        <v>2159</v>
      </c>
      <c r="BJ779" s="251" t="s">
        <v>2416</v>
      </c>
      <c r="BK779" s="251" t="s">
        <v>2707</v>
      </c>
      <c r="BL779" s="251" t="s">
        <v>439</v>
      </c>
      <c r="BQ779" s="27" t="s">
        <v>8767</v>
      </c>
      <c r="BR779" s="27" t="s">
        <v>8768</v>
      </c>
    </row>
    <row r="780" spans="2:70" ht="15">
      <c r="B780" s="84"/>
      <c r="D780" s="84"/>
      <c r="E780" s="84"/>
      <c r="F780" s="84"/>
      <c r="G780" s="84"/>
      <c r="R780" s="251"/>
      <c r="S780" s="251"/>
      <c r="BD780" s="399">
        <v>777</v>
      </c>
      <c r="BE780" s="399" t="s">
        <v>2708</v>
      </c>
      <c r="BF780" s="251" t="s">
        <v>2401</v>
      </c>
      <c r="BG780" s="399" t="s">
        <v>378</v>
      </c>
      <c r="BH780" s="252">
        <v>11</v>
      </c>
      <c r="BI780" s="251" t="s">
        <v>331</v>
      </c>
      <c r="BJ780" s="251" t="s">
        <v>366</v>
      </c>
      <c r="BK780" s="251" t="s">
        <v>2709</v>
      </c>
      <c r="BL780" s="251" t="s">
        <v>382</v>
      </c>
      <c r="BQ780" s="27" t="s">
        <v>8769</v>
      </c>
      <c r="BR780" s="27" t="s">
        <v>8770</v>
      </c>
    </row>
    <row r="781" spans="2:70" ht="15">
      <c r="B781" s="84"/>
      <c r="D781" s="84"/>
      <c r="E781" s="84"/>
      <c r="F781" s="84"/>
      <c r="G781" s="84"/>
      <c r="R781" s="251"/>
      <c r="S781" s="251"/>
      <c r="BD781" s="399">
        <v>778</v>
      </c>
      <c r="BE781" s="399" t="s">
        <v>2710</v>
      </c>
      <c r="BF781" s="251" t="s">
        <v>2401</v>
      </c>
      <c r="BG781" s="399" t="s">
        <v>378</v>
      </c>
      <c r="BH781" s="252">
        <v>11</v>
      </c>
      <c r="BI781" s="251" t="s">
        <v>331</v>
      </c>
      <c r="BJ781" s="251" t="s">
        <v>397</v>
      </c>
      <c r="BK781" s="251" t="s">
        <v>2711</v>
      </c>
      <c r="BL781" s="251" t="s">
        <v>382</v>
      </c>
      <c r="BQ781" s="27" t="s">
        <v>8771</v>
      </c>
      <c r="BR781" s="27" t="s">
        <v>8772</v>
      </c>
    </row>
    <row r="782" spans="2:70" ht="15">
      <c r="B782" s="84"/>
      <c r="D782" s="84"/>
      <c r="E782" s="84"/>
      <c r="F782" s="84"/>
      <c r="G782" s="84"/>
      <c r="R782" s="251"/>
      <c r="S782" s="251"/>
      <c r="BD782" s="399">
        <v>779</v>
      </c>
      <c r="BE782" s="399" t="s">
        <v>2712</v>
      </c>
      <c r="BF782" s="251" t="s">
        <v>2401</v>
      </c>
      <c r="BG782" s="399" t="s">
        <v>378</v>
      </c>
      <c r="BH782" s="252">
        <v>11</v>
      </c>
      <c r="BI782" s="251" t="s">
        <v>333</v>
      </c>
      <c r="BJ782" s="251" t="s">
        <v>366</v>
      </c>
      <c r="BK782" s="251" t="s">
        <v>2713</v>
      </c>
      <c r="BL782" s="251" t="s">
        <v>382</v>
      </c>
      <c r="BQ782" s="27" t="s">
        <v>8773</v>
      </c>
      <c r="BR782" s="27" t="s">
        <v>8774</v>
      </c>
    </row>
    <row r="783" spans="2:70" ht="15">
      <c r="B783" s="84"/>
      <c r="D783" s="84"/>
      <c r="E783" s="84"/>
      <c r="F783" s="84"/>
      <c r="G783" s="84"/>
      <c r="R783" s="251"/>
      <c r="S783" s="251"/>
      <c r="BD783" s="399">
        <v>780</v>
      </c>
      <c r="BE783" s="399" t="s">
        <v>2714</v>
      </c>
      <c r="BF783" s="251" t="s">
        <v>2401</v>
      </c>
      <c r="BG783" s="399" t="s">
        <v>378</v>
      </c>
      <c r="BH783" s="252">
        <v>11</v>
      </c>
      <c r="BI783" s="251" t="s">
        <v>2481</v>
      </c>
      <c r="BJ783" s="251" t="s">
        <v>2159</v>
      </c>
      <c r="BK783" s="251" t="s">
        <v>2715</v>
      </c>
      <c r="BL783" s="251" t="s">
        <v>382</v>
      </c>
      <c r="BQ783" s="27" t="s">
        <v>8775</v>
      </c>
      <c r="BR783" s="27" t="s">
        <v>8776</v>
      </c>
    </row>
    <row r="784" spans="2:70" ht="15">
      <c r="B784" s="84"/>
      <c r="D784" s="84"/>
      <c r="E784" s="84"/>
      <c r="F784" s="84"/>
      <c r="G784" s="84"/>
      <c r="R784" s="251"/>
      <c r="S784" s="251"/>
      <c r="BD784" s="399">
        <v>781</v>
      </c>
      <c r="BE784" s="399" t="s">
        <v>2716</v>
      </c>
      <c r="BF784" s="251" t="s">
        <v>2401</v>
      </c>
      <c r="BG784" s="399" t="s">
        <v>378</v>
      </c>
      <c r="BH784" s="252">
        <v>11</v>
      </c>
      <c r="BI784" s="251" t="s">
        <v>740</v>
      </c>
      <c r="BJ784" s="251" t="s">
        <v>407</v>
      </c>
      <c r="BK784" s="251" t="s">
        <v>2717</v>
      </c>
      <c r="BL784" s="251" t="s">
        <v>382</v>
      </c>
      <c r="BQ784" s="27" t="s">
        <v>8777</v>
      </c>
      <c r="BR784" s="27" t="s">
        <v>8778</v>
      </c>
    </row>
    <row r="785" spans="2:70" ht="15">
      <c r="B785" s="84"/>
      <c r="D785" s="84"/>
      <c r="E785" s="84"/>
      <c r="F785" s="84"/>
      <c r="G785" s="84"/>
      <c r="R785" s="251"/>
      <c r="S785" s="251"/>
      <c r="BD785" s="399">
        <v>782</v>
      </c>
      <c r="BE785" s="399" t="s">
        <v>2718</v>
      </c>
      <c r="BF785" s="251" t="s">
        <v>2401</v>
      </c>
      <c r="BG785" s="399" t="s">
        <v>378</v>
      </c>
      <c r="BH785" s="252">
        <v>11</v>
      </c>
      <c r="BI785" s="251" t="s">
        <v>491</v>
      </c>
      <c r="BJ785" s="251" t="s">
        <v>407</v>
      </c>
      <c r="BK785" s="251" t="s">
        <v>2719</v>
      </c>
      <c r="BL785" s="251" t="s">
        <v>382</v>
      </c>
      <c r="BQ785" s="27" t="s">
        <v>8779</v>
      </c>
      <c r="BR785" s="27" t="s">
        <v>8780</v>
      </c>
    </row>
    <row r="786" spans="2:70" ht="15">
      <c r="B786" s="84"/>
      <c r="D786" s="84"/>
      <c r="E786" s="84"/>
      <c r="F786" s="84"/>
      <c r="G786" s="84"/>
      <c r="R786" s="251"/>
      <c r="S786" s="251"/>
      <c r="BD786" s="399">
        <v>783</v>
      </c>
      <c r="BE786" s="399" t="s">
        <v>2720</v>
      </c>
      <c r="BF786" s="251" t="s">
        <v>2401</v>
      </c>
      <c r="BG786" s="399" t="s">
        <v>378</v>
      </c>
      <c r="BH786" s="252">
        <v>11</v>
      </c>
      <c r="BI786" s="251" t="s">
        <v>728</v>
      </c>
      <c r="BJ786" s="251" t="s">
        <v>407</v>
      </c>
      <c r="BK786" s="251" t="s">
        <v>2721</v>
      </c>
      <c r="BL786" s="251" t="s">
        <v>382</v>
      </c>
      <c r="BQ786" s="27" t="s">
        <v>8781</v>
      </c>
      <c r="BR786" s="27" t="s">
        <v>7259</v>
      </c>
    </row>
    <row r="787" spans="2:70" ht="15">
      <c r="B787" s="84"/>
      <c r="D787" s="84"/>
      <c r="E787" s="84"/>
      <c r="F787" s="84"/>
      <c r="G787" s="84"/>
      <c r="R787" s="251"/>
      <c r="S787" s="251"/>
      <c r="BD787" s="399">
        <v>784</v>
      </c>
      <c r="BE787" s="399" t="s">
        <v>2722</v>
      </c>
      <c r="BF787" s="251" t="s">
        <v>2401</v>
      </c>
      <c r="BG787" s="399" t="s">
        <v>378</v>
      </c>
      <c r="BH787" s="252">
        <v>11</v>
      </c>
      <c r="BI787" s="251" t="s">
        <v>728</v>
      </c>
      <c r="BJ787" s="251" t="s">
        <v>2159</v>
      </c>
      <c r="BK787" s="251" t="s">
        <v>2723</v>
      </c>
      <c r="BL787" s="251" t="s">
        <v>382</v>
      </c>
      <c r="BQ787" s="27" t="s">
        <v>8782</v>
      </c>
      <c r="BR787" s="27" t="s">
        <v>8783</v>
      </c>
    </row>
    <row r="788" spans="2:70" ht="15">
      <c r="B788" s="84"/>
      <c r="D788" s="84"/>
      <c r="E788" s="84"/>
      <c r="F788" s="84"/>
      <c r="G788" s="84"/>
      <c r="R788" s="251"/>
      <c r="S788" s="251"/>
      <c r="BD788" s="399">
        <v>785</v>
      </c>
      <c r="BE788" s="399" t="s">
        <v>2724</v>
      </c>
      <c r="BF788" s="251" t="s">
        <v>2401</v>
      </c>
      <c r="BG788" s="399" t="s">
        <v>378</v>
      </c>
      <c r="BH788" s="252">
        <v>11</v>
      </c>
      <c r="BI788" s="251" t="s">
        <v>413</v>
      </c>
      <c r="BJ788" s="251" t="s">
        <v>380</v>
      </c>
      <c r="BK788" s="251" t="s">
        <v>2725</v>
      </c>
      <c r="BL788" s="251" t="s">
        <v>382</v>
      </c>
      <c r="BQ788" s="27" t="s">
        <v>8784</v>
      </c>
      <c r="BR788" s="27" t="s">
        <v>8785</v>
      </c>
    </row>
    <row r="789" spans="2:70" ht="15">
      <c r="B789" s="84"/>
      <c r="D789" s="84"/>
      <c r="E789" s="84"/>
      <c r="F789" s="84"/>
      <c r="G789" s="84"/>
      <c r="R789" s="251"/>
      <c r="S789" s="251"/>
      <c r="BD789" s="399">
        <v>786</v>
      </c>
      <c r="BE789" s="399" t="s">
        <v>1374</v>
      </c>
      <c r="BF789" s="251" t="s">
        <v>2401</v>
      </c>
      <c r="BG789" s="399" t="s">
        <v>475</v>
      </c>
      <c r="BH789" s="252" t="s">
        <v>510</v>
      </c>
      <c r="BI789" s="251" t="s">
        <v>331</v>
      </c>
      <c r="BJ789" s="251" t="s">
        <v>380</v>
      </c>
      <c r="BK789" s="251" t="s">
        <v>1376</v>
      </c>
      <c r="BL789" s="251" t="s">
        <v>479</v>
      </c>
      <c r="BQ789" s="27" t="s">
        <v>8786</v>
      </c>
      <c r="BR789" s="27" t="s">
        <v>7285</v>
      </c>
    </row>
    <row r="790" spans="2:70" ht="15">
      <c r="B790" s="84"/>
      <c r="D790" s="84"/>
      <c r="E790" s="84"/>
      <c r="F790" s="84"/>
      <c r="G790" s="84"/>
      <c r="R790" s="251"/>
      <c r="S790" s="251"/>
      <c r="BD790" s="399">
        <v>787</v>
      </c>
      <c r="BE790" s="399" t="s">
        <v>2726</v>
      </c>
      <c r="BF790" s="251" t="s">
        <v>2401</v>
      </c>
      <c r="BG790" s="399" t="s">
        <v>475</v>
      </c>
      <c r="BH790" s="252" t="s">
        <v>534</v>
      </c>
      <c r="BI790" s="251" t="s">
        <v>331</v>
      </c>
      <c r="BJ790" s="251" t="s">
        <v>407</v>
      </c>
      <c r="BK790" s="251" t="s">
        <v>2727</v>
      </c>
      <c r="BL790" s="251" t="s">
        <v>479</v>
      </c>
      <c r="BQ790" s="27" t="s">
        <v>8787</v>
      </c>
      <c r="BR790" s="27" t="s">
        <v>8788</v>
      </c>
    </row>
    <row r="791" spans="2:70" ht="15">
      <c r="B791" s="84"/>
      <c r="D791" s="84"/>
      <c r="E791" s="84"/>
      <c r="F791" s="84"/>
      <c r="G791" s="84"/>
      <c r="R791" s="251"/>
      <c r="S791" s="251"/>
      <c r="BD791" s="399">
        <v>788</v>
      </c>
      <c r="BE791" s="399" t="s">
        <v>2728</v>
      </c>
      <c r="BF791" s="251" t="s">
        <v>2401</v>
      </c>
      <c r="BG791" s="399" t="s">
        <v>475</v>
      </c>
      <c r="BH791" s="252" t="s">
        <v>510</v>
      </c>
      <c r="BI791" s="251" t="s">
        <v>331</v>
      </c>
      <c r="BJ791" s="251" t="s">
        <v>2460</v>
      </c>
      <c r="BK791" s="251" t="s">
        <v>2729</v>
      </c>
      <c r="BL791" s="251" t="s">
        <v>479</v>
      </c>
      <c r="BQ791" s="27" t="s">
        <v>8789</v>
      </c>
      <c r="BR791" s="27" t="s">
        <v>8790</v>
      </c>
    </row>
    <row r="792" spans="2:70" ht="15">
      <c r="B792" s="84"/>
      <c r="D792" s="84"/>
      <c r="E792" s="84"/>
      <c r="F792" s="84"/>
      <c r="G792" s="84"/>
      <c r="R792" s="251"/>
      <c r="S792" s="251"/>
      <c r="BD792" s="399">
        <v>789</v>
      </c>
      <c r="BE792" s="399" t="s">
        <v>2730</v>
      </c>
      <c r="BF792" s="251" t="s">
        <v>2401</v>
      </c>
      <c r="BG792" s="399" t="s">
        <v>475</v>
      </c>
      <c r="BH792" s="252" t="s">
        <v>510</v>
      </c>
      <c r="BI792" s="251" t="s">
        <v>332</v>
      </c>
      <c r="BJ792" s="251" t="s">
        <v>778</v>
      </c>
      <c r="BK792" s="251" t="s">
        <v>2731</v>
      </c>
      <c r="BL792" s="251" t="s">
        <v>479</v>
      </c>
      <c r="BQ792" s="27" t="s">
        <v>8791</v>
      </c>
      <c r="BR792" s="27" t="s">
        <v>8792</v>
      </c>
    </row>
    <row r="793" spans="2:70" ht="15">
      <c r="B793" s="84"/>
      <c r="D793" s="84"/>
      <c r="E793" s="84"/>
      <c r="F793" s="84"/>
      <c r="G793" s="84"/>
      <c r="R793" s="251"/>
      <c r="S793" s="251"/>
      <c r="BD793" s="399">
        <v>790</v>
      </c>
      <c r="BE793" s="399" t="s">
        <v>2732</v>
      </c>
      <c r="BF793" s="251" t="s">
        <v>2401</v>
      </c>
      <c r="BG793" s="399" t="s">
        <v>475</v>
      </c>
      <c r="BH793" s="252" t="s">
        <v>1631</v>
      </c>
      <c r="BI793" s="251" t="s">
        <v>332</v>
      </c>
      <c r="BJ793" s="251" t="s">
        <v>2460</v>
      </c>
      <c r="BK793" s="251" t="s">
        <v>2733</v>
      </c>
      <c r="BL793" s="251" t="s">
        <v>479</v>
      </c>
      <c r="BQ793" s="27" t="s">
        <v>8521</v>
      </c>
      <c r="BR793" s="27" t="s">
        <v>7288</v>
      </c>
    </row>
    <row r="794" spans="2:70" ht="15">
      <c r="B794" s="84"/>
      <c r="D794" s="84"/>
      <c r="E794" s="84"/>
      <c r="F794" s="84"/>
      <c r="G794" s="84"/>
      <c r="R794" s="251"/>
      <c r="S794" s="251"/>
      <c r="BD794" s="399">
        <v>791</v>
      </c>
      <c r="BE794" s="399" t="s">
        <v>2734</v>
      </c>
      <c r="BF794" s="251" t="s">
        <v>2401</v>
      </c>
      <c r="BG794" s="399" t="s">
        <v>475</v>
      </c>
      <c r="BH794" s="252" t="s">
        <v>534</v>
      </c>
      <c r="BI794" s="251" t="s">
        <v>334</v>
      </c>
      <c r="BJ794" s="251" t="s">
        <v>380</v>
      </c>
      <c r="BK794" s="251" t="s">
        <v>2735</v>
      </c>
      <c r="BL794" s="251" t="s">
        <v>479</v>
      </c>
      <c r="BQ794" s="27" t="s">
        <v>8793</v>
      </c>
      <c r="BR794" s="27" t="s">
        <v>8794</v>
      </c>
    </row>
    <row r="795" spans="2:70" ht="15">
      <c r="B795" s="84"/>
      <c r="D795" s="84"/>
      <c r="E795" s="84"/>
      <c r="F795" s="84"/>
      <c r="G795" s="84"/>
      <c r="R795" s="251"/>
      <c r="S795" s="251"/>
      <c r="BD795" s="399">
        <v>792</v>
      </c>
      <c r="BE795" s="399" t="s">
        <v>2736</v>
      </c>
      <c r="BF795" s="251" t="s">
        <v>2401</v>
      </c>
      <c r="BG795" s="399" t="s">
        <v>475</v>
      </c>
      <c r="BH795" s="252" t="s">
        <v>476</v>
      </c>
      <c r="BI795" s="251" t="s">
        <v>334</v>
      </c>
      <c r="BJ795" s="251" t="s">
        <v>407</v>
      </c>
      <c r="BK795" s="251" t="s">
        <v>2737</v>
      </c>
      <c r="BL795" s="251" t="s">
        <v>479</v>
      </c>
      <c r="BQ795" s="27" t="s">
        <v>8795</v>
      </c>
      <c r="BR795" s="27" t="s">
        <v>7320</v>
      </c>
    </row>
    <row r="796" spans="2:70" ht="15">
      <c r="B796" s="84"/>
      <c r="D796" s="84"/>
      <c r="E796" s="84"/>
      <c r="F796" s="84"/>
      <c r="G796" s="84"/>
      <c r="R796" s="251"/>
      <c r="S796" s="251"/>
      <c r="BD796" s="399">
        <v>793</v>
      </c>
      <c r="BE796" s="399" t="s">
        <v>2738</v>
      </c>
      <c r="BF796" s="251" t="s">
        <v>2401</v>
      </c>
      <c r="BG796" s="399" t="s">
        <v>475</v>
      </c>
      <c r="BH796" s="252" t="s">
        <v>510</v>
      </c>
      <c r="BI796" s="251" t="s">
        <v>407</v>
      </c>
      <c r="BJ796" s="251" t="s">
        <v>2416</v>
      </c>
      <c r="BK796" s="251" t="s">
        <v>2739</v>
      </c>
      <c r="BL796" s="251" t="s">
        <v>479</v>
      </c>
      <c r="BQ796" s="27" t="s">
        <v>8796</v>
      </c>
      <c r="BR796" s="27" t="s">
        <v>8797</v>
      </c>
    </row>
    <row r="797" spans="2:70" ht="15">
      <c r="B797" s="84"/>
      <c r="D797" s="84"/>
      <c r="E797" s="84"/>
      <c r="F797" s="84"/>
      <c r="G797" s="84"/>
      <c r="R797" s="251"/>
      <c r="S797" s="251"/>
      <c r="BD797" s="399">
        <v>794</v>
      </c>
      <c r="BE797" s="399" t="s">
        <v>2740</v>
      </c>
      <c r="BF797" s="251" t="s">
        <v>2401</v>
      </c>
      <c r="BG797" s="399" t="s">
        <v>475</v>
      </c>
      <c r="BH797" s="252" t="s">
        <v>1631</v>
      </c>
      <c r="BI797" s="251" t="s">
        <v>1295</v>
      </c>
      <c r="BJ797" s="251" t="s">
        <v>778</v>
      </c>
      <c r="BK797" s="251" t="s">
        <v>2741</v>
      </c>
      <c r="BL797" s="251" t="s">
        <v>479</v>
      </c>
      <c r="BQ797" s="27" t="s">
        <v>8798</v>
      </c>
      <c r="BR797" s="27" t="s">
        <v>8799</v>
      </c>
    </row>
    <row r="798" spans="2:70" ht="15">
      <c r="B798" s="84"/>
      <c r="D798" s="84"/>
      <c r="E798" s="84"/>
      <c r="F798" s="84"/>
      <c r="G798" s="84"/>
      <c r="R798" s="251"/>
      <c r="S798" s="251"/>
      <c r="BD798" s="399">
        <v>795</v>
      </c>
      <c r="BE798" s="399" t="s">
        <v>2742</v>
      </c>
      <c r="BF798" s="251" t="s">
        <v>2401</v>
      </c>
      <c r="BG798" s="399" t="s">
        <v>475</v>
      </c>
      <c r="BH798" s="252" t="s">
        <v>510</v>
      </c>
      <c r="BI798" s="251" t="s">
        <v>2478</v>
      </c>
      <c r="BJ798" s="251" t="s">
        <v>380</v>
      </c>
      <c r="BK798" s="251" t="s">
        <v>2743</v>
      </c>
      <c r="BL798" s="251" t="s">
        <v>479</v>
      </c>
      <c r="BQ798" s="27" t="s">
        <v>8800</v>
      </c>
      <c r="BR798" s="27" t="s">
        <v>8801</v>
      </c>
    </row>
    <row r="799" spans="2:70" ht="15">
      <c r="B799" s="84"/>
      <c r="D799" s="84"/>
      <c r="E799" s="84"/>
      <c r="F799" s="84"/>
      <c r="G799" s="84"/>
      <c r="R799" s="251"/>
      <c r="S799" s="251"/>
      <c r="BD799" s="399">
        <v>796</v>
      </c>
      <c r="BE799" s="399" t="s">
        <v>2744</v>
      </c>
      <c r="BF799" s="251" t="s">
        <v>2401</v>
      </c>
      <c r="BG799" s="399" t="s">
        <v>475</v>
      </c>
      <c r="BH799" s="252" t="s">
        <v>510</v>
      </c>
      <c r="BI799" s="251" t="s">
        <v>2471</v>
      </c>
      <c r="BJ799" s="251" t="s">
        <v>1385</v>
      </c>
      <c r="BK799" s="251" t="s">
        <v>2745</v>
      </c>
      <c r="BL799" s="251" t="s">
        <v>479</v>
      </c>
      <c r="BQ799" s="27" t="s">
        <v>8802</v>
      </c>
      <c r="BR799" s="27" t="s">
        <v>8803</v>
      </c>
    </row>
    <row r="800" spans="2:70" ht="15">
      <c r="B800" s="84"/>
      <c r="D800" s="84"/>
      <c r="E800" s="84"/>
      <c r="F800" s="84"/>
      <c r="G800" s="84"/>
      <c r="R800" s="251"/>
      <c r="S800" s="251"/>
      <c r="BD800" s="399">
        <v>797</v>
      </c>
      <c r="BE800" s="399" t="s">
        <v>2746</v>
      </c>
      <c r="BF800" s="251" t="s">
        <v>2401</v>
      </c>
      <c r="BG800" s="399" t="s">
        <v>475</v>
      </c>
      <c r="BH800" s="252" t="s">
        <v>510</v>
      </c>
      <c r="BI800" s="251" t="s">
        <v>2478</v>
      </c>
      <c r="BJ800" s="251" t="s">
        <v>2460</v>
      </c>
      <c r="BK800" s="251" t="s">
        <v>2747</v>
      </c>
      <c r="BL800" s="251" t="s">
        <v>479</v>
      </c>
      <c r="BQ800" s="27" t="s">
        <v>8804</v>
      </c>
      <c r="BR800" s="27" t="s">
        <v>8805</v>
      </c>
    </row>
    <row r="801" spans="2:70" ht="15">
      <c r="B801" s="84"/>
      <c r="D801" s="84"/>
      <c r="E801" s="84"/>
      <c r="F801" s="84"/>
      <c r="G801" s="84"/>
      <c r="R801" s="251"/>
      <c r="S801" s="251"/>
      <c r="BD801" s="399">
        <v>798</v>
      </c>
      <c r="BE801" s="399" t="s">
        <v>2748</v>
      </c>
      <c r="BF801" s="251" t="s">
        <v>2401</v>
      </c>
      <c r="BG801" s="399" t="s">
        <v>475</v>
      </c>
      <c r="BH801" s="252" t="s">
        <v>1631</v>
      </c>
      <c r="BI801" s="251" t="s">
        <v>524</v>
      </c>
      <c r="BJ801" s="251" t="s">
        <v>778</v>
      </c>
      <c r="BK801" s="251" t="s">
        <v>2749</v>
      </c>
      <c r="BL801" s="251" t="s">
        <v>479</v>
      </c>
      <c r="BQ801" s="27" t="s">
        <v>8806</v>
      </c>
      <c r="BR801" s="27" t="s">
        <v>7348</v>
      </c>
    </row>
    <row r="802" spans="2:70" ht="15">
      <c r="B802" s="84"/>
      <c r="D802" s="84"/>
      <c r="E802" s="84"/>
      <c r="F802" s="84"/>
      <c r="G802" s="84"/>
      <c r="R802" s="251"/>
      <c r="S802" s="251"/>
      <c r="BD802" s="399">
        <v>799</v>
      </c>
      <c r="BE802" s="399" t="s">
        <v>2750</v>
      </c>
      <c r="BF802" s="251" t="s">
        <v>2401</v>
      </c>
      <c r="BG802" s="399" t="s">
        <v>475</v>
      </c>
      <c r="BH802" s="252" t="s">
        <v>534</v>
      </c>
      <c r="BI802" s="251" t="s">
        <v>524</v>
      </c>
      <c r="BJ802" s="251" t="s">
        <v>397</v>
      </c>
      <c r="BK802" s="251" t="s">
        <v>2751</v>
      </c>
      <c r="BL802" s="251" t="s">
        <v>479</v>
      </c>
      <c r="BQ802" s="27" t="s">
        <v>8807</v>
      </c>
      <c r="BR802" s="27" t="s">
        <v>7360</v>
      </c>
    </row>
    <row r="803" spans="2:70" ht="15">
      <c r="B803" s="84"/>
      <c r="D803" s="84"/>
      <c r="E803" s="84"/>
      <c r="F803" s="84"/>
      <c r="G803" s="84"/>
      <c r="R803" s="251"/>
      <c r="S803" s="251"/>
      <c r="BD803" s="399">
        <v>800</v>
      </c>
      <c r="BE803" s="399" t="s">
        <v>2752</v>
      </c>
      <c r="BF803" s="251" t="s">
        <v>2401</v>
      </c>
      <c r="BG803" s="399" t="s">
        <v>475</v>
      </c>
      <c r="BH803" s="252" t="s">
        <v>510</v>
      </c>
      <c r="BI803" s="251" t="s">
        <v>524</v>
      </c>
      <c r="BJ803" s="251" t="s">
        <v>380</v>
      </c>
      <c r="BK803" s="251" t="s">
        <v>2753</v>
      </c>
      <c r="BL803" s="251" t="s">
        <v>479</v>
      </c>
      <c r="BQ803" s="27" t="s">
        <v>8808</v>
      </c>
      <c r="BR803" s="27" t="s">
        <v>8809</v>
      </c>
    </row>
    <row r="804" spans="2:70" ht="15">
      <c r="B804" s="84"/>
      <c r="D804" s="84"/>
      <c r="E804" s="84"/>
      <c r="F804" s="84"/>
      <c r="G804" s="84"/>
      <c r="R804" s="251"/>
      <c r="S804" s="251"/>
      <c r="BD804" s="399">
        <v>801</v>
      </c>
      <c r="BE804" s="399" t="s">
        <v>2754</v>
      </c>
      <c r="BF804" s="251" t="s">
        <v>2401</v>
      </c>
      <c r="BG804" s="399" t="s">
        <v>475</v>
      </c>
      <c r="BH804" s="252" t="s">
        <v>476</v>
      </c>
      <c r="BI804" s="251" t="s">
        <v>524</v>
      </c>
      <c r="BJ804" s="251" t="s">
        <v>407</v>
      </c>
      <c r="BK804" s="251" t="s">
        <v>2755</v>
      </c>
      <c r="BL804" s="251" t="s">
        <v>479</v>
      </c>
      <c r="BQ804" s="27" t="s">
        <v>8810</v>
      </c>
      <c r="BR804" s="27" t="s">
        <v>7370</v>
      </c>
    </row>
    <row r="805" spans="2:70" ht="15">
      <c r="B805" s="84"/>
      <c r="D805" s="84"/>
      <c r="E805" s="84"/>
      <c r="F805" s="84"/>
      <c r="G805" s="84"/>
      <c r="R805" s="251"/>
      <c r="S805" s="251"/>
      <c r="BD805" s="399">
        <v>802</v>
      </c>
      <c r="BE805" s="399" t="s">
        <v>2756</v>
      </c>
      <c r="BF805" s="251" t="s">
        <v>2401</v>
      </c>
      <c r="BG805" s="399" t="s">
        <v>475</v>
      </c>
      <c r="BH805" s="252" t="s">
        <v>510</v>
      </c>
      <c r="BI805" s="251" t="s">
        <v>2757</v>
      </c>
      <c r="BJ805" s="251" t="s">
        <v>2460</v>
      </c>
      <c r="BK805" s="251" t="s">
        <v>2758</v>
      </c>
      <c r="BL805" s="251" t="s">
        <v>479</v>
      </c>
      <c r="BQ805" s="27" t="s">
        <v>8811</v>
      </c>
      <c r="BR805" s="27" t="s">
        <v>8812</v>
      </c>
    </row>
    <row r="806" spans="2:70" ht="15">
      <c r="B806" s="84"/>
      <c r="D806" s="84"/>
      <c r="E806" s="84"/>
      <c r="F806" s="84"/>
      <c r="G806" s="84"/>
      <c r="R806" s="251"/>
      <c r="S806" s="251"/>
      <c r="BD806" s="399">
        <v>803</v>
      </c>
      <c r="BE806" s="399" t="s">
        <v>2759</v>
      </c>
      <c r="BF806" s="251" t="s">
        <v>2401</v>
      </c>
      <c r="BG806" s="399" t="s">
        <v>475</v>
      </c>
      <c r="BH806" s="252" t="s">
        <v>510</v>
      </c>
      <c r="BI806" s="251" t="s">
        <v>740</v>
      </c>
      <c r="BJ806" s="251" t="s">
        <v>380</v>
      </c>
      <c r="BK806" s="251" t="s">
        <v>2760</v>
      </c>
      <c r="BL806" s="251" t="s">
        <v>479</v>
      </c>
      <c r="BQ806" s="27" t="s">
        <v>8813</v>
      </c>
      <c r="BR806" s="27" t="s">
        <v>7372</v>
      </c>
    </row>
    <row r="807" spans="2:70" ht="15">
      <c r="B807" s="84"/>
      <c r="D807" s="84"/>
      <c r="E807" s="84"/>
      <c r="F807" s="84"/>
      <c r="G807" s="84"/>
      <c r="R807" s="251"/>
      <c r="S807" s="251"/>
      <c r="BD807" s="399">
        <v>804</v>
      </c>
      <c r="BE807" s="399" t="s">
        <v>2761</v>
      </c>
      <c r="BF807" s="251" t="s">
        <v>2401</v>
      </c>
      <c r="BG807" s="399" t="s">
        <v>475</v>
      </c>
      <c r="BH807" s="252" t="s">
        <v>510</v>
      </c>
      <c r="BI807" s="251" t="s">
        <v>740</v>
      </c>
      <c r="BJ807" s="251" t="s">
        <v>407</v>
      </c>
      <c r="BK807" s="251" t="s">
        <v>2762</v>
      </c>
      <c r="BL807" s="251" t="s">
        <v>479</v>
      </c>
      <c r="BQ807" s="27" t="s">
        <v>8814</v>
      </c>
      <c r="BR807" s="27" t="s">
        <v>8815</v>
      </c>
    </row>
    <row r="808" spans="2:70" ht="15">
      <c r="B808" s="84"/>
      <c r="D808" s="84"/>
      <c r="E808" s="84"/>
      <c r="F808" s="84"/>
      <c r="G808" s="84"/>
      <c r="R808" s="251"/>
      <c r="S808" s="251"/>
      <c r="BD808" s="399">
        <v>805</v>
      </c>
      <c r="BE808" s="399" t="s">
        <v>2763</v>
      </c>
      <c r="BF808" s="251" t="s">
        <v>2401</v>
      </c>
      <c r="BG808" s="399" t="s">
        <v>475</v>
      </c>
      <c r="BH808" s="252" t="s">
        <v>534</v>
      </c>
      <c r="BI808" s="251" t="s">
        <v>740</v>
      </c>
      <c r="BJ808" s="251" t="s">
        <v>2460</v>
      </c>
      <c r="BK808" s="251" t="s">
        <v>2764</v>
      </c>
      <c r="BL808" s="251" t="s">
        <v>479</v>
      </c>
      <c r="BQ808" s="27" t="s">
        <v>8816</v>
      </c>
      <c r="BR808" s="27" t="s">
        <v>8817</v>
      </c>
    </row>
    <row r="809" spans="2:70" ht="15">
      <c r="B809" s="84"/>
      <c r="D809" s="84"/>
      <c r="E809" s="84"/>
      <c r="F809" s="84"/>
      <c r="G809" s="84"/>
      <c r="R809" s="251"/>
      <c r="S809" s="251"/>
      <c r="BD809" s="399">
        <v>806</v>
      </c>
      <c r="BE809" s="399" t="s">
        <v>2763</v>
      </c>
      <c r="BF809" s="251" t="s">
        <v>2401</v>
      </c>
      <c r="BG809" s="399" t="s">
        <v>475</v>
      </c>
      <c r="BH809" s="252" t="s">
        <v>510</v>
      </c>
      <c r="BI809" s="251" t="s">
        <v>740</v>
      </c>
      <c r="BJ809" s="251" t="s">
        <v>2460</v>
      </c>
      <c r="BK809" s="251" t="s">
        <v>2765</v>
      </c>
      <c r="BL809" s="251" t="s">
        <v>479</v>
      </c>
      <c r="BQ809" s="27" t="s">
        <v>8818</v>
      </c>
      <c r="BR809" s="27" t="s">
        <v>8819</v>
      </c>
    </row>
    <row r="810" spans="2:70" ht="15">
      <c r="B810" s="84"/>
      <c r="D810" s="84"/>
      <c r="E810" s="84"/>
      <c r="F810" s="84"/>
      <c r="G810" s="84"/>
      <c r="R810" s="251"/>
      <c r="S810" s="251"/>
      <c r="BD810" s="399">
        <v>807</v>
      </c>
      <c r="BE810" s="399" t="s">
        <v>2766</v>
      </c>
      <c r="BF810" s="251" t="s">
        <v>2401</v>
      </c>
      <c r="BG810" s="399" t="s">
        <v>475</v>
      </c>
      <c r="BH810" s="252" t="s">
        <v>534</v>
      </c>
      <c r="BI810" s="251" t="s">
        <v>379</v>
      </c>
      <c r="BJ810" s="251" t="s">
        <v>380</v>
      </c>
      <c r="BK810" s="251" t="s">
        <v>2767</v>
      </c>
      <c r="BL810" s="251" t="s">
        <v>479</v>
      </c>
      <c r="BQ810" s="27" t="s">
        <v>8820</v>
      </c>
      <c r="BR810" s="27" t="s">
        <v>8821</v>
      </c>
    </row>
    <row r="811" spans="2:70" ht="15">
      <c r="B811" s="84"/>
      <c r="D811" s="84"/>
      <c r="E811" s="84"/>
      <c r="F811" s="84"/>
      <c r="G811" s="84"/>
      <c r="R811" s="251"/>
      <c r="S811" s="251"/>
      <c r="BD811" s="399">
        <v>808</v>
      </c>
      <c r="BE811" s="399" t="s">
        <v>2768</v>
      </c>
      <c r="BF811" s="251" t="s">
        <v>2401</v>
      </c>
      <c r="BG811" s="399" t="s">
        <v>475</v>
      </c>
      <c r="BH811" s="252" t="s">
        <v>476</v>
      </c>
      <c r="BI811" s="251" t="s">
        <v>379</v>
      </c>
      <c r="BJ811" s="251" t="s">
        <v>1638</v>
      </c>
      <c r="BK811" s="251" t="s">
        <v>2769</v>
      </c>
      <c r="BL811" s="251" t="s">
        <v>479</v>
      </c>
      <c r="BQ811" s="27" t="s">
        <v>8822</v>
      </c>
      <c r="BR811" s="27" t="s">
        <v>7387</v>
      </c>
    </row>
    <row r="812" spans="2:70" ht="15">
      <c r="B812" s="84"/>
      <c r="D812" s="84"/>
      <c r="E812" s="84"/>
      <c r="F812" s="84"/>
      <c r="G812" s="84"/>
      <c r="R812" s="251"/>
      <c r="S812" s="251"/>
      <c r="BD812" s="399">
        <v>809</v>
      </c>
      <c r="BE812" s="399" t="s">
        <v>2770</v>
      </c>
      <c r="BF812" s="251" t="s">
        <v>2401</v>
      </c>
      <c r="BG812" s="399" t="s">
        <v>475</v>
      </c>
      <c r="BH812" s="252" t="s">
        <v>476</v>
      </c>
      <c r="BI812" s="251" t="s">
        <v>390</v>
      </c>
      <c r="BJ812" s="251" t="s">
        <v>407</v>
      </c>
      <c r="BK812" s="251" t="s">
        <v>2771</v>
      </c>
      <c r="BL812" s="251" t="s">
        <v>479</v>
      </c>
      <c r="BQ812" s="27" t="s">
        <v>8823</v>
      </c>
      <c r="BR812" s="27" t="s">
        <v>7390</v>
      </c>
    </row>
    <row r="813" spans="2:70" ht="15">
      <c r="B813" s="84"/>
      <c r="D813" s="84"/>
      <c r="E813" s="84"/>
      <c r="F813" s="84"/>
      <c r="G813" s="84"/>
      <c r="R813" s="251"/>
      <c r="S813" s="251"/>
      <c r="BD813" s="399">
        <v>810</v>
      </c>
      <c r="BE813" s="399" t="s">
        <v>2772</v>
      </c>
      <c r="BF813" s="251" t="s">
        <v>2401</v>
      </c>
      <c r="BG813" s="399" t="s">
        <v>475</v>
      </c>
      <c r="BH813" s="252" t="s">
        <v>534</v>
      </c>
      <c r="BI813" s="251" t="s">
        <v>491</v>
      </c>
      <c r="BJ813" s="251" t="s">
        <v>380</v>
      </c>
      <c r="BK813" s="251" t="s">
        <v>2773</v>
      </c>
      <c r="BL813" s="251" t="s">
        <v>479</v>
      </c>
      <c r="BQ813" s="27" t="s">
        <v>8824</v>
      </c>
      <c r="BR813" s="27" t="s">
        <v>8825</v>
      </c>
    </row>
    <row r="814" spans="2:70" ht="15">
      <c r="B814" s="84"/>
      <c r="D814" s="84"/>
      <c r="E814" s="84"/>
      <c r="F814" s="84"/>
      <c r="G814" s="84"/>
      <c r="R814" s="251"/>
      <c r="S814" s="251"/>
      <c r="BD814" s="399">
        <v>811</v>
      </c>
      <c r="BE814" s="399" t="s">
        <v>2772</v>
      </c>
      <c r="BF814" s="251" t="s">
        <v>2401</v>
      </c>
      <c r="BG814" s="399" t="s">
        <v>475</v>
      </c>
      <c r="BH814" s="252" t="s">
        <v>476</v>
      </c>
      <c r="BI814" s="251" t="s">
        <v>491</v>
      </c>
      <c r="BJ814" s="251" t="s">
        <v>380</v>
      </c>
      <c r="BK814" s="251" t="s">
        <v>2774</v>
      </c>
      <c r="BL814" s="251" t="s">
        <v>479</v>
      </c>
      <c r="BQ814" s="27" t="s">
        <v>8826</v>
      </c>
      <c r="BR814" s="27" t="s">
        <v>7484</v>
      </c>
    </row>
    <row r="815" spans="2:70" ht="15">
      <c r="B815" s="84"/>
      <c r="D815" s="84"/>
      <c r="E815" s="84"/>
      <c r="F815" s="84"/>
      <c r="G815" s="84"/>
      <c r="R815" s="251"/>
      <c r="S815" s="251"/>
      <c r="BD815" s="399">
        <v>812</v>
      </c>
      <c r="BE815" s="399" t="s">
        <v>2775</v>
      </c>
      <c r="BF815" s="251" t="s">
        <v>2401</v>
      </c>
      <c r="BG815" s="399" t="s">
        <v>475</v>
      </c>
      <c r="BH815" s="252" t="s">
        <v>476</v>
      </c>
      <c r="BI815" s="251" t="s">
        <v>491</v>
      </c>
      <c r="BJ815" s="251" t="s">
        <v>397</v>
      </c>
      <c r="BK815" s="251" t="s">
        <v>2776</v>
      </c>
      <c r="BL815" s="251" t="s">
        <v>479</v>
      </c>
      <c r="BQ815" s="27" t="s">
        <v>8827</v>
      </c>
      <c r="BR815" s="27" t="s">
        <v>8828</v>
      </c>
    </row>
    <row r="816" spans="2:70" ht="15">
      <c r="B816" s="84"/>
      <c r="D816" s="84"/>
      <c r="E816" s="84"/>
      <c r="F816" s="84"/>
      <c r="G816" s="84"/>
      <c r="R816" s="251"/>
      <c r="S816" s="251"/>
      <c r="BD816" s="399">
        <v>813</v>
      </c>
      <c r="BE816" s="399" t="s">
        <v>2777</v>
      </c>
      <c r="BF816" s="251" t="s">
        <v>2401</v>
      </c>
      <c r="BG816" s="399" t="s">
        <v>475</v>
      </c>
      <c r="BH816" s="252" t="s">
        <v>510</v>
      </c>
      <c r="BI816" s="251" t="s">
        <v>491</v>
      </c>
      <c r="BJ816" s="251" t="s">
        <v>2460</v>
      </c>
      <c r="BK816" s="251" t="s">
        <v>2778</v>
      </c>
      <c r="BL816" s="251" t="s">
        <v>479</v>
      </c>
      <c r="BQ816" s="27" t="s">
        <v>8829</v>
      </c>
      <c r="BR816" s="27" t="s">
        <v>8830</v>
      </c>
    </row>
    <row r="817" spans="2:70" ht="15">
      <c r="B817" s="84"/>
      <c r="D817" s="84"/>
      <c r="E817" s="84"/>
      <c r="F817" s="84"/>
      <c r="G817" s="84"/>
      <c r="R817" s="251"/>
      <c r="S817" s="251"/>
      <c r="BD817" s="399">
        <v>814</v>
      </c>
      <c r="BE817" s="399" t="s">
        <v>2779</v>
      </c>
      <c r="BF817" s="251" t="s">
        <v>2401</v>
      </c>
      <c r="BG817" s="399" t="s">
        <v>475</v>
      </c>
      <c r="BH817" s="252" t="s">
        <v>510</v>
      </c>
      <c r="BI817" s="251" t="s">
        <v>728</v>
      </c>
      <c r="BJ817" s="251" t="s">
        <v>380</v>
      </c>
      <c r="BK817" s="251" t="s">
        <v>2780</v>
      </c>
      <c r="BL817" s="251" t="s">
        <v>479</v>
      </c>
      <c r="BQ817" s="27" t="s">
        <v>8631</v>
      </c>
      <c r="BR817" s="27" t="s">
        <v>7410</v>
      </c>
    </row>
    <row r="818" spans="2:70" ht="15">
      <c r="B818" s="84"/>
      <c r="D818" s="84"/>
      <c r="E818" s="84"/>
      <c r="F818" s="84"/>
      <c r="G818" s="84"/>
      <c r="R818" s="251"/>
      <c r="S818" s="251"/>
      <c r="BD818" s="399">
        <v>815</v>
      </c>
      <c r="BE818" s="399" t="s">
        <v>2781</v>
      </c>
      <c r="BF818" s="251" t="s">
        <v>2401</v>
      </c>
      <c r="BG818" s="399" t="s">
        <v>475</v>
      </c>
      <c r="BH818" s="252" t="s">
        <v>510</v>
      </c>
      <c r="BI818" s="251" t="s">
        <v>728</v>
      </c>
      <c r="BJ818" s="251" t="s">
        <v>2460</v>
      </c>
      <c r="BK818" s="251" t="s">
        <v>2782</v>
      </c>
      <c r="BL818" s="251" t="s">
        <v>479</v>
      </c>
      <c r="BQ818" s="27" t="s">
        <v>8831</v>
      </c>
      <c r="BR818" s="27" t="s">
        <v>7443</v>
      </c>
    </row>
    <row r="819" spans="2:70" ht="15">
      <c r="B819" s="84"/>
      <c r="D819" s="84"/>
      <c r="E819" s="84"/>
      <c r="F819" s="84"/>
      <c r="G819" s="84"/>
      <c r="R819" s="251"/>
      <c r="S819" s="251"/>
      <c r="BD819" s="399">
        <v>816</v>
      </c>
      <c r="BE819" s="399" t="s">
        <v>2783</v>
      </c>
      <c r="BF819" s="251" t="s">
        <v>2401</v>
      </c>
      <c r="BG819" s="399" t="s">
        <v>475</v>
      </c>
      <c r="BH819" s="252" t="s">
        <v>534</v>
      </c>
      <c r="BI819" s="251" t="s">
        <v>728</v>
      </c>
      <c r="BJ819" s="251" t="s">
        <v>413</v>
      </c>
      <c r="BK819" s="251" t="s">
        <v>2784</v>
      </c>
      <c r="BL819" s="251" t="s">
        <v>479</v>
      </c>
      <c r="BQ819" s="27" t="s">
        <v>8832</v>
      </c>
      <c r="BR819" s="27" t="s">
        <v>8833</v>
      </c>
    </row>
    <row r="820" spans="2:70" ht="15">
      <c r="B820" s="84"/>
      <c r="D820" s="84"/>
      <c r="E820" s="84"/>
      <c r="F820" s="84"/>
      <c r="G820" s="84"/>
      <c r="R820" s="251"/>
      <c r="S820" s="251"/>
      <c r="BD820" s="399">
        <v>817</v>
      </c>
      <c r="BE820" s="399" t="s">
        <v>2785</v>
      </c>
      <c r="BF820" s="251" t="s">
        <v>2401</v>
      </c>
      <c r="BG820" s="399" t="s">
        <v>475</v>
      </c>
      <c r="BH820" s="252" t="s">
        <v>1631</v>
      </c>
      <c r="BI820" s="251" t="s">
        <v>450</v>
      </c>
      <c r="BJ820" s="251" t="s">
        <v>397</v>
      </c>
      <c r="BK820" s="251" t="s">
        <v>2786</v>
      </c>
      <c r="BL820" s="251" t="s">
        <v>479</v>
      </c>
      <c r="BQ820" s="27" t="s">
        <v>8834</v>
      </c>
      <c r="BR820" s="27" t="s">
        <v>7413</v>
      </c>
    </row>
    <row r="821" spans="2:70" ht="15">
      <c r="B821" s="84"/>
      <c r="D821" s="84"/>
      <c r="E821" s="84"/>
      <c r="F821" s="84"/>
      <c r="G821" s="84"/>
      <c r="R821" s="251"/>
      <c r="S821" s="251"/>
      <c r="BD821" s="399">
        <v>818</v>
      </c>
      <c r="BE821" s="399" t="s">
        <v>2787</v>
      </c>
      <c r="BF821" s="251" t="s">
        <v>2401</v>
      </c>
      <c r="BG821" s="399" t="s">
        <v>475</v>
      </c>
      <c r="BH821" s="252" t="s">
        <v>534</v>
      </c>
      <c r="BI821" s="251" t="s">
        <v>535</v>
      </c>
      <c r="BJ821" s="251" t="s">
        <v>380</v>
      </c>
      <c r="BK821" s="251" t="s">
        <v>2788</v>
      </c>
      <c r="BL821" s="251" t="s">
        <v>479</v>
      </c>
      <c r="BQ821" s="27" t="s">
        <v>8835</v>
      </c>
      <c r="BR821" s="27" t="s">
        <v>8836</v>
      </c>
    </row>
    <row r="822" spans="2:70" ht="15">
      <c r="B822" s="84"/>
      <c r="D822" s="84"/>
      <c r="E822" s="84"/>
      <c r="F822" s="84"/>
      <c r="G822" s="84"/>
      <c r="R822" s="251"/>
      <c r="S822" s="251"/>
      <c r="BD822" s="399">
        <v>819</v>
      </c>
      <c r="BE822" s="399" t="s">
        <v>2789</v>
      </c>
      <c r="BF822" s="251" t="s">
        <v>2401</v>
      </c>
      <c r="BG822" s="399" t="s">
        <v>475</v>
      </c>
      <c r="BH822" s="252" t="s">
        <v>534</v>
      </c>
      <c r="BI822" s="251" t="s">
        <v>535</v>
      </c>
      <c r="BJ822" s="251" t="s">
        <v>407</v>
      </c>
      <c r="BK822" s="251" t="s">
        <v>2790</v>
      </c>
      <c r="BL822" s="251" t="s">
        <v>479</v>
      </c>
      <c r="BQ822" s="27" t="s">
        <v>8837</v>
      </c>
      <c r="BR822" s="27" t="s">
        <v>8838</v>
      </c>
    </row>
    <row r="823" spans="2:70" ht="15">
      <c r="B823" s="84"/>
      <c r="D823" s="84"/>
      <c r="E823" s="84"/>
      <c r="F823" s="84"/>
      <c r="G823" s="84"/>
      <c r="R823" s="251"/>
      <c r="S823" s="251"/>
      <c r="BD823" s="399">
        <v>820</v>
      </c>
      <c r="BE823" s="399" t="s">
        <v>2787</v>
      </c>
      <c r="BF823" s="251" t="s">
        <v>2401</v>
      </c>
      <c r="BG823" s="399" t="s">
        <v>475</v>
      </c>
      <c r="BH823" s="252" t="s">
        <v>510</v>
      </c>
      <c r="BI823" s="251" t="s">
        <v>535</v>
      </c>
      <c r="BJ823" s="251" t="s">
        <v>380</v>
      </c>
      <c r="BK823" s="251" t="s">
        <v>2791</v>
      </c>
      <c r="BL823" s="251" t="s">
        <v>479</v>
      </c>
      <c r="BQ823" s="27" t="s">
        <v>8839</v>
      </c>
      <c r="BR823" s="27" t="s">
        <v>7441</v>
      </c>
    </row>
    <row r="824" spans="2:70" ht="15">
      <c r="B824" s="84"/>
      <c r="D824" s="84"/>
      <c r="E824" s="84"/>
      <c r="F824" s="84"/>
      <c r="G824" s="84"/>
      <c r="R824" s="251"/>
      <c r="S824" s="251"/>
      <c r="BD824" s="399">
        <v>821</v>
      </c>
      <c r="BE824" s="399" t="s">
        <v>2789</v>
      </c>
      <c r="BF824" s="251" t="s">
        <v>2401</v>
      </c>
      <c r="BG824" s="399" t="s">
        <v>475</v>
      </c>
      <c r="BH824" s="252" t="s">
        <v>510</v>
      </c>
      <c r="BI824" s="251" t="s">
        <v>535</v>
      </c>
      <c r="BJ824" s="251" t="s">
        <v>407</v>
      </c>
      <c r="BK824" s="251" t="s">
        <v>2792</v>
      </c>
      <c r="BL824" s="251" t="s">
        <v>479</v>
      </c>
      <c r="BQ824" s="27" t="s">
        <v>8647</v>
      </c>
      <c r="BR824" s="27" t="s">
        <v>7442</v>
      </c>
    </row>
    <row r="825" spans="2:70" ht="15">
      <c r="B825" s="84"/>
      <c r="D825" s="84"/>
      <c r="E825" s="84"/>
      <c r="F825" s="84"/>
      <c r="G825" s="84"/>
      <c r="R825" s="251"/>
      <c r="S825" s="251"/>
      <c r="BD825" s="399">
        <v>822</v>
      </c>
      <c r="BE825" s="399" t="s">
        <v>2793</v>
      </c>
      <c r="BF825" s="251" t="s">
        <v>2401</v>
      </c>
      <c r="BG825" s="399" t="s">
        <v>475</v>
      </c>
      <c r="BH825" s="252" t="s">
        <v>534</v>
      </c>
      <c r="BI825" s="251" t="s">
        <v>2159</v>
      </c>
      <c r="BJ825" s="251" t="s">
        <v>539</v>
      </c>
      <c r="BK825" s="251" t="s">
        <v>2794</v>
      </c>
      <c r="BL825" s="251" t="s">
        <v>479</v>
      </c>
      <c r="BQ825" s="27" t="s">
        <v>8840</v>
      </c>
      <c r="BR825" s="27" t="s">
        <v>8841</v>
      </c>
    </row>
    <row r="826" spans="2:70" ht="15">
      <c r="B826" s="84"/>
      <c r="D826" s="84"/>
      <c r="E826" s="84"/>
      <c r="F826" s="84"/>
      <c r="G826" s="84"/>
      <c r="R826" s="251"/>
      <c r="S826" s="251"/>
      <c r="BD826" s="399">
        <v>823</v>
      </c>
      <c r="BE826" s="399" t="s">
        <v>2795</v>
      </c>
      <c r="BF826" s="251" t="s">
        <v>2401</v>
      </c>
      <c r="BG826" s="399" t="s">
        <v>475</v>
      </c>
      <c r="BH826" s="252" t="s">
        <v>510</v>
      </c>
      <c r="BI826" s="251" t="s">
        <v>2159</v>
      </c>
      <c r="BJ826" s="251" t="s">
        <v>2333</v>
      </c>
      <c r="BK826" s="251" t="s">
        <v>2796</v>
      </c>
      <c r="BL826" s="251" t="s">
        <v>479</v>
      </c>
      <c r="BQ826" s="27" t="s">
        <v>8842</v>
      </c>
      <c r="BR826" s="27" t="s">
        <v>8843</v>
      </c>
    </row>
    <row r="827" spans="2:70" ht="15">
      <c r="B827" s="84"/>
      <c r="D827" s="84"/>
      <c r="E827" s="84"/>
      <c r="F827" s="84"/>
      <c r="G827" s="84"/>
      <c r="R827" s="251"/>
      <c r="S827" s="251"/>
      <c r="BD827" s="399">
        <v>824</v>
      </c>
      <c r="BE827" s="399" t="s">
        <v>2797</v>
      </c>
      <c r="BF827" s="251" t="s">
        <v>2401</v>
      </c>
      <c r="BG827" s="399" t="s">
        <v>475</v>
      </c>
      <c r="BH827" s="252" t="s">
        <v>510</v>
      </c>
      <c r="BI827" s="251" t="s">
        <v>2482</v>
      </c>
      <c r="BJ827" s="251" t="s">
        <v>2416</v>
      </c>
      <c r="BK827" s="251" t="s">
        <v>2798</v>
      </c>
      <c r="BL827" s="251" t="s">
        <v>479</v>
      </c>
      <c r="BQ827" s="27" t="s">
        <v>8844</v>
      </c>
      <c r="BR827" s="27" t="s">
        <v>8845</v>
      </c>
    </row>
    <row r="828" spans="2:70" ht="15">
      <c r="B828" s="84"/>
      <c r="D828" s="84"/>
      <c r="E828" s="84"/>
      <c r="F828" s="84"/>
      <c r="G828" s="84"/>
      <c r="R828" s="251"/>
      <c r="S828" s="251"/>
      <c r="BD828" s="399">
        <v>825</v>
      </c>
      <c r="BE828" s="399" t="s">
        <v>2799</v>
      </c>
      <c r="BF828" s="251" t="s">
        <v>2401</v>
      </c>
      <c r="BG828" s="399" t="s">
        <v>475</v>
      </c>
      <c r="BH828" s="252" t="s">
        <v>476</v>
      </c>
      <c r="BI828" s="251" t="s">
        <v>413</v>
      </c>
      <c r="BJ828" s="251" t="s">
        <v>351</v>
      </c>
      <c r="BK828" s="251" t="s">
        <v>2800</v>
      </c>
      <c r="BL828" s="251" t="s">
        <v>479</v>
      </c>
      <c r="BQ828" s="27" t="s">
        <v>8846</v>
      </c>
      <c r="BR828" s="27" t="s">
        <v>8847</v>
      </c>
    </row>
    <row r="829" spans="2:70" ht="15">
      <c r="B829" s="84"/>
      <c r="D829" s="84"/>
      <c r="E829" s="84"/>
      <c r="F829" s="84"/>
      <c r="G829" s="84"/>
      <c r="R829" s="251"/>
      <c r="S829" s="251"/>
      <c r="BD829" s="399">
        <v>826</v>
      </c>
      <c r="BE829" s="399" t="s">
        <v>2801</v>
      </c>
      <c r="BF829" s="251" t="s">
        <v>2401</v>
      </c>
      <c r="BG829" s="399" t="s">
        <v>489</v>
      </c>
      <c r="BH829" s="252" t="s">
        <v>2802</v>
      </c>
      <c r="BI829" s="251" t="s">
        <v>740</v>
      </c>
      <c r="BJ829" s="251" t="s">
        <v>380</v>
      </c>
      <c r="BK829" s="251" t="s">
        <v>2803</v>
      </c>
      <c r="BL829" s="251" t="s">
        <v>493</v>
      </c>
      <c r="BQ829" s="27" t="s">
        <v>8848</v>
      </c>
      <c r="BR829" s="27" t="s">
        <v>8849</v>
      </c>
    </row>
    <row r="830" spans="2:70" ht="15">
      <c r="B830" s="84"/>
      <c r="D830" s="84"/>
      <c r="E830" s="84"/>
      <c r="F830" s="84"/>
      <c r="G830" s="84"/>
      <c r="R830" s="251"/>
      <c r="S830" s="251"/>
      <c r="BD830" s="399">
        <v>827</v>
      </c>
      <c r="BE830" s="399" t="s">
        <v>2804</v>
      </c>
      <c r="BF830" s="251" t="s">
        <v>2401</v>
      </c>
      <c r="BG830" s="399" t="s">
        <v>489</v>
      </c>
      <c r="BH830" s="252" t="s">
        <v>639</v>
      </c>
      <c r="BI830" s="251" t="s">
        <v>740</v>
      </c>
      <c r="BJ830" s="251" t="s">
        <v>407</v>
      </c>
      <c r="BK830" s="251" t="s">
        <v>2805</v>
      </c>
      <c r="BL830" s="251" t="s">
        <v>493</v>
      </c>
      <c r="BQ830" s="27" t="s">
        <v>8850</v>
      </c>
      <c r="BR830" s="27" t="s">
        <v>8851</v>
      </c>
    </row>
    <row r="831" spans="2:70" ht="15">
      <c r="B831" s="84"/>
      <c r="D831" s="84"/>
      <c r="E831" s="84"/>
      <c r="F831" s="84"/>
      <c r="G831" s="84"/>
      <c r="R831" s="251"/>
      <c r="S831" s="251"/>
      <c r="BD831" s="399">
        <v>828</v>
      </c>
      <c r="BE831" s="399" t="s">
        <v>2806</v>
      </c>
      <c r="BF831" s="251" t="s">
        <v>2401</v>
      </c>
      <c r="BG831" s="399" t="s">
        <v>489</v>
      </c>
      <c r="BH831" s="252" t="s">
        <v>860</v>
      </c>
      <c r="BI831" s="251" t="s">
        <v>379</v>
      </c>
      <c r="BJ831" s="251" t="s">
        <v>351</v>
      </c>
      <c r="BK831" s="251" t="s">
        <v>2807</v>
      </c>
      <c r="BL831" s="251" t="s">
        <v>493</v>
      </c>
      <c r="BQ831" s="27" t="s">
        <v>8852</v>
      </c>
      <c r="BR831" s="27" t="s">
        <v>7352</v>
      </c>
    </row>
    <row r="832" spans="2:70" ht="15">
      <c r="B832" s="84"/>
      <c r="D832" s="84"/>
      <c r="E832" s="84"/>
      <c r="F832" s="84"/>
      <c r="G832" s="84"/>
      <c r="R832" s="251"/>
      <c r="S832" s="251"/>
      <c r="BD832" s="399">
        <v>829</v>
      </c>
      <c r="BE832" s="399" t="s">
        <v>2808</v>
      </c>
      <c r="BF832" s="251" t="s">
        <v>2401</v>
      </c>
      <c r="BG832" s="399" t="s">
        <v>489</v>
      </c>
      <c r="BH832" s="252" t="s">
        <v>639</v>
      </c>
      <c r="BI832" s="251" t="s">
        <v>379</v>
      </c>
      <c r="BJ832" s="251" t="s">
        <v>407</v>
      </c>
      <c r="BK832" s="251" t="s">
        <v>2809</v>
      </c>
      <c r="BL832" s="251" t="s">
        <v>493</v>
      </c>
      <c r="BQ832" s="27" t="s">
        <v>8853</v>
      </c>
      <c r="BR832" s="27" t="s">
        <v>8854</v>
      </c>
    </row>
    <row r="833" spans="2:70" ht="15">
      <c r="B833" s="84"/>
      <c r="D833" s="84"/>
      <c r="E833" s="84"/>
      <c r="F833" s="84"/>
      <c r="G833" s="84"/>
      <c r="R833" s="251"/>
      <c r="S833" s="251"/>
      <c r="BD833" s="399">
        <v>830</v>
      </c>
      <c r="BE833" s="399" t="s">
        <v>2810</v>
      </c>
      <c r="BF833" s="251" t="s">
        <v>2401</v>
      </c>
      <c r="BG833" s="399" t="s">
        <v>489</v>
      </c>
      <c r="BH833" s="252" t="s">
        <v>2802</v>
      </c>
      <c r="BI833" s="251" t="s">
        <v>379</v>
      </c>
      <c r="BJ833" s="251" t="s">
        <v>397</v>
      </c>
      <c r="BK833" s="251" t="s">
        <v>2811</v>
      </c>
      <c r="BL833" s="251" t="s">
        <v>493</v>
      </c>
      <c r="BQ833" s="27" t="s">
        <v>8855</v>
      </c>
      <c r="BR833" s="27" t="s">
        <v>7464</v>
      </c>
    </row>
    <row r="834" spans="2:70" ht="15">
      <c r="B834" s="84"/>
      <c r="D834" s="84"/>
      <c r="E834" s="84"/>
      <c r="F834" s="84"/>
      <c r="G834" s="84"/>
      <c r="R834" s="251"/>
      <c r="S834" s="251"/>
      <c r="BD834" s="399">
        <v>831</v>
      </c>
      <c r="BE834" s="399" t="s">
        <v>2812</v>
      </c>
      <c r="BF834" s="251" t="s">
        <v>2401</v>
      </c>
      <c r="BG834" s="399" t="s">
        <v>489</v>
      </c>
      <c r="BH834" s="252" t="s">
        <v>2802</v>
      </c>
      <c r="BI834" s="251" t="s">
        <v>450</v>
      </c>
      <c r="BJ834" s="251" t="s">
        <v>380</v>
      </c>
      <c r="BK834" s="251" t="s">
        <v>2813</v>
      </c>
      <c r="BL834" s="251" t="s">
        <v>493</v>
      </c>
      <c r="BQ834" s="27" t="s">
        <v>8856</v>
      </c>
      <c r="BR834" s="27" t="s">
        <v>8857</v>
      </c>
    </row>
    <row r="835" spans="2:70" ht="15">
      <c r="B835" s="84"/>
      <c r="D835" s="84"/>
      <c r="E835" s="84"/>
      <c r="F835" s="84"/>
      <c r="G835" s="84"/>
      <c r="R835" s="251"/>
      <c r="S835" s="251"/>
      <c r="BD835" s="399">
        <v>832</v>
      </c>
      <c r="BE835" s="399" t="s">
        <v>2814</v>
      </c>
      <c r="BF835" s="251" t="s">
        <v>2401</v>
      </c>
      <c r="BG835" s="399" t="s">
        <v>489</v>
      </c>
      <c r="BH835" s="252" t="s">
        <v>2802</v>
      </c>
      <c r="BI835" s="251" t="s">
        <v>450</v>
      </c>
      <c r="BJ835" s="251" t="s">
        <v>397</v>
      </c>
      <c r="BK835" s="251" t="s">
        <v>2815</v>
      </c>
      <c r="BL835" s="251" t="s">
        <v>493</v>
      </c>
      <c r="BQ835" s="27" t="s">
        <v>8858</v>
      </c>
      <c r="BR835" s="27" t="s">
        <v>7472</v>
      </c>
    </row>
    <row r="836" spans="2:70" ht="15">
      <c r="B836" s="84"/>
      <c r="D836" s="84"/>
      <c r="E836" s="84"/>
      <c r="F836" s="84"/>
      <c r="G836" s="84"/>
      <c r="R836" s="251"/>
      <c r="S836" s="251"/>
      <c r="BD836" s="399">
        <v>833</v>
      </c>
      <c r="BE836" s="399" t="s">
        <v>2816</v>
      </c>
      <c r="BF836" s="251" t="s">
        <v>2401</v>
      </c>
      <c r="BG836" s="399" t="s">
        <v>489</v>
      </c>
      <c r="BH836" s="252" t="s">
        <v>639</v>
      </c>
      <c r="BI836" s="251" t="s">
        <v>873</v>
      </c>
      <c r="BJ836" s="251" t="s">
        <v>413</v>
      </c>
      <c r="BK836" s="251" t="s">
        <v>2817</v>
      </c>
      <c r="BL836" s="251" t="s">
        <v>493</v>
      </c>
      <c r="BQ836" s="27" t="s">
        <v>8859</v>
      </c>
      <c r="BR836" s="27" t="s">
        <v>8860</v>
      </c>
    </row>
    <row r="837" spans="2:70" ht="15">
      <c r="B837" s="84"/>
      <c r="D837" s="84"/>
      <c r="E837" s="84"/>
      <c r="F837" s="84"/>
      <c r="G837" s="84"/>
      <c r="R837" s="251"/>
      <c r="S837" s="251"/>
      <c r="BD837" s="399">
        <v>834</v>
      </c>
      <c r="BE837" s="399" t="s">
        <v>2818</v>
      </c>
      <c r="BF837" s="251" t="s">
        <v>2401</v>
      </c>
      <c r="BG837" s="399" t="s">
        <v>489</v>
      </c>
      <c r="BH837" s="252" t="s">
        <v>2802</v>
      </c>
      <c r="BI837" s="251" t="s">
        <v>2460</v>
      </c>
      <c r="BJ837" s="251" t="s">
        <v>351</v>
      </c>
      <c r="BK837" s="251" t="s">
        <v>2819</v>
      </c>
      <c r="BL837" s="251" t="s">
        <v>493</v>
      </c>
      <c r="BQ837" s="27" t="s">
        <v>8677</v>
      </c>
      <c r="BR837" s="27" t="s">
        <v>8678</v>
      </c>
    </row>
    <row r="838" spans="2:70" ht="15">
      <c r="B838" s="84"/>
      <c r="D838" s="84"/>
      <c r="E838" s="84"/>
      <c r="F838" s="84"/>
      <c r="G838" s="84"/>
      <c r="R838" s="251"/>
      <c r="S838" s="251"/>
      <c r="BD838" s="399">
        <v>835</v>
      </c>
      <c r="BE838" s="399" t="s">
        <v>2385</v>
      </c>
      <c r="BF838" s="251" t="s">
        <v>2401</v>
      </c>
      <c r="BG838" s="399" t="s">
        <v>395</v>
      </c>
      <c r="BH838" s="252">
        <v>16</v>
      </c>
      <c r="BI838" s="251" t="s">
        <v>332</v>
      </c>
      <c r="BJ838" s="251" t="s">
        <v>407</v>
      </c>
      <c r="BK838" s="251" t="s">
        <v>2387</v>
      </c>
      <c r="BL838" s="251" t="s">
        <v>399</v>
      </c>
      <c r="BQ838" s="27" t="s">
        <v>8861</v>
      </c>
      <c r="BR838" s="27" t="s">
        <v>8862</v>
      </c>
    </row>
    <row r="839" spans="2:70" ht="15">
      <c r="B839" s="84"/>
      <c r="D839" s="84"/>
      <c r="E839" s="84"/>
      <c r="F839" s="84"/>
      <c r="G839" s="84"/>
      <c r="R839" s="251"/>
      <c r="S839" s="251"/>
      <c r="BD839" s="399">
        <v>836</v>
      </c>
      <c r="BE839" s="399" t="s">
        <v>2820</v>
      </c>
      <c r="BF839" s="251" t="s">
        <v>2401</v>
      </c>
      <c r="BG839" s="399" t="s">
        <v>395</v>
      </c>
      <c r="BH839" s="252">
        <v>16</v>
      </c>
      <c r="BI839" s="251" t="s">
        <v>332</v>
      </c>
      <c r="BJ839" s="251" t="s">
        <v>2159</v>
      </c>
      <c r="BK839" s="251" t="s">
        <v>2821</v>
      </c>
      <c r="BL839" s="251" t="s">
        <v>399</v>
      </c>
      <c r="BQ839" s="27" t="s">
        <v>8863</v>
      </c>
      <c r="BR839" s="27" t="s">
        <v>7486</v>
      </c>
    </row>
    <row r="840" spans="2:70" ht="15">
      <c r="B840" s="84"/>
      <c r="D840" s="84"/>
      <c r="E840" s="84"/>
      <c r="F840" s="84"/>
      <c r="G840" s="84"/>
      <c r="R840" s="251"/>
      <c r="S840" s="251"/>
      <c r="BD840" s="399">
        <v>837</v>
      </c>
      <c r="BE840" s="399" t="s">
        <v>2822</v>
      </c>
      <c r="BF840" s="251" t="s">
        <v>2401</v>
      </c>
      <c r="BG840" s="399" t="s">
        <v>395</v>
      </c>
      <c r="BH840" s="252">
        <v>16</v>
      </c>
      <c r="BI840" s="251" t="s">
        <v>332</v>
      </c>
      <c r="BJ840" s="251" t="s">
        <v>2460</v>
      </c>
      <c r="BK840" s="251" t="s">
        <v>2823</v>
      </c>
      <c r="BL840" s="251" t="s">
        <v>399</v>
      </c>
      <c r="BQ840" s="27" t="s">
        <v>8864</v>
      </c>
      <c r="BR840" s="27" t="s">
        <v>8865</v>
      </c>
    </row>
    <row r="841" spans="2:70" ht="15">
      <c r="B841" s="84"/>
      <c r="D841" s="84"/>
      <c r="E841" s="84"/>
      <c r="F841" s="84"/>
      <c r="G841" s="84"/>
      <c r="R841" s="251"/>
      <c r="S841" s="251"/>
      <c r="BD841" s="399">
        <v>838</v>
      </c>
      <c r="BE841" s="399" t="s">
        <v>2824</v>
      </c>
      <c r="BF841" s="251" t="s">
        <v>2401</v>
      </c>
      <c r="BG841" s="399" t="s">
        <v>395</v>
      </c>
      <c r="BH841" s="252">
        <v>16</v>
      </c>
      <c r="BI841" s="251" t="s">
        <v>334</v>
      </c>
      <c r="BJ841" s="251" t="s">
        <v>380</v>
      </c>
      <c r="BK841" s="251" t="s">
        <v>2825</v>
      </c>
      <c r="BL841" s="251" t="s">
        <v>399</v>
      </c>
      <c r="BQ841" s="27" t="s">
        <v>8866</v>
      </c>
      <c r="BR841" s="27" t="s">
        <v>8867</v>
      </c>
    </row>
    <row r="842" spans="2:70" ht="15">
      <c r="B842" s="84"/>
      <c r="D842" s="84"/>
      <c r="E842" s="84"/>
      <c r="F842" s="84"/>
      <c r="G842" s="84"/>
      <c r="R842" s="251"/>
      <c r="S842" s="251"/>
      <c r="BD842" s="399">
        <v>839</v>
      </c>
      <c r="BE842" s="399" t="s">
        <v>924</v>
      </c>
      <c r="BF842" s="251" t="s">
        <v>2401</v>
      </c>
      <c r="BG842" s="399" t="s">
        <v>395</v>
      </c>
      <c r="BH842" s="252">
        <v>16</v>
      </c>
      <c r="BI842" s="251" t="s">
        <v>334</v>
      </c>
      <c r="BJ842" s="251" t="s">
        <v>407</v>
      </c>
      <c r="BK842" s="251" t="s">
        <v>926</v>
      </c>
      <c r="BL842" s="251" t="s">
        <v>399</v>
      </c>
      <c r="BQ842" s="27" t="s">
        <v>8868</v>
      </c>
      <c r="BR842" s="27" t="s">
        <v>8869</v>
      </c>
    </row>
    <row r="843" spans="2:70" ht="15">
      <c r="B843" s="84"/>
      <c r="D843" s="84"/>
      <c r="E843" s="84"/>
      <c r="F843" s="84"/>
      <c r="G843" s="84"/>
      <c r="R843" s="251"/>
      <c r="S843" s="251"/>
      <c r="BD843" s="399">
        <v>840</v>
      </c>
      <c r="BE843" s="399" t="s">
        <v>2826</v>
      </c>
      <c r="BF843" s="251" t="s">
        <v>2401</v>
      </c>
      <c r="BG843" s="399" t="s">
        <v>395</v>
      </c>
      <c r="BH843" s="252">
        <v>16</v>
      </c>
      <c r="BI843" s="251" t="s">
        <v>407</v>
      </c>
      <c r="BJ843" s="251" t="s">
        <v>2827</v>
      </c>
      <c r="BK843" s="251" t="s">
        <v>2828</v>
      </c>
      <c r="BL843" s="251" t="s">
        <v>399</v>
      </c>
      <c r="BQ843" s="27" t="s">
        <v>8870</v>
      </c>
      <c r="BR843" s="27" t="s">
        <v>8871</v>
      </c>
    </row>
    <row r="844" spans="2:70" ht="15">
      <c r="B844" s="84"/>
      <c r="D844" s="84"/>
      <c r="E844" s="84"/>
      <c r="F844" s="84"/>
      <c r="G844" s="84"/>
      <c r="R844" s="251"/>
      <c r="S844" s="251"/>
      <c r="BD844" s="399">
        <v>841</v>
      </c>
      <c r="BE844" s="399" t="s">
        <v>2829</v>
      </c>
      <c r="BF844" s="251" t="s">
        <v>2401</v>
      </c>
      <c r="BG844" s="399" t="s">
        <v>395</v>
      </c>
      <c r="BH844" s="252">
        <v>16</v>
      </c>
      <c r="BI844" s="251" t="s">
        <v>407</v>
      </c>
      <c r="BJ844" s="251" t="s">
        <v>351</v>
      </c>
      <c r="BK844" s="251" t="s">
        <v>2830</v>
      </c>
      <c r="BL844" s="251" t="s">
        <v>399</v>
      </c>
      <c r="BQ844" s="27" t="s">
        <v>8872</v>
      </c>
      <c r="BR844" s="27" t="s">
        <v>7427</v>
      </c>
    </row>
    <row r="845" spans="2:70" ht="15">
      <c r="B845" s="84"/>
      <c r="D845" s="84"/>
      <c r="E845" s="84"/>
      <c r="F845" s="84"/>
      <c r="G845" s="84"/>
      <c r="R845" s="251"/>
      <c r="S845" s="251"/>
      <c r="BD845" s="399">
        <v>842</v>
      </c>
      <c r="BE845" s="399" t="s">
        <v>2831</v>
      </c>
      <c r="BF845" s="251" t="s">
        <v>2401</v>
      </c>
      <c r="BG845" s="399" t="s">
        <v>395</v>
      </c>
      <c r="BH845" s="252">
        <v>16</v>
      </c>
      <c r="BI845" s="251" t="s">
        <v>2421</v>
      </c>
      <c r="BJ845" s="251" t="s">
        <v>2832</v>
      </c>
      <c r="BK845" s="251" t="s">
        <v>2833</v>
      </c>
      <c r="BL845" s="251" t="s">
        <v>399</v>
      </c>
      <c r="BQ845" s="27" t="s">
        <v>8873</v>
      </c>
      <c r="BR845" s="27" t="s">
        <v>8874</v>
      </c>
    </row>
    <row r="846" spans="2:70" ht="15">
      <c r="B846" s="84"/>
      <c r="D846" s="84"/>
      <c r="E846" s="84"/>
      <c r="F846" s="84"/>
      <c r="G846" s="84"/>
      <c r="R846" s="251"/>
      <c r="S846" s="251"/>
      <c r="BD846" s="399">
        <v>843</v>
      </c>
      <c r="BE846" s="399" t="s">
        <v>2834</v>
      </c>
      <c r="BF846" s="251" t="s">
        <v>2401</v>
      </c>
      <c r="BG846" s="399" t="s">
        <v>395</v>
      </c>
      <c r="BH846" s="252">
        <v>16</v>
      </c>
      <c r="BI846" s="251" t="s">
        <v>2421</v>
      </c>
      <c r="BJ846" s="251" t="s">
        <v>2623</v>
      </c>
      <c r="BK846" s="251" t="s">
        <v>2835</v>
      </c>
      <c r="BL846" s="251" t="s">
        <v>399</v>
      </c>
      <c r="BQ846" s="27" t="s">
        <v>8875</v>
      </c>
      <c r="BR846" s="27" t="s">
        <v>8876</v>
      </c>
    </row>
    <row r="847" spans="2:70" ht="15">
      <c r="B847" s="84"/>
      <c r="D847" s="84"/>
      <c r="E847" s="84"/>
      <c r="F847" s="84"/>
      <c r="G847" s="84"/>
      <c r="R847" s="251"/>
      <c r="S847" s="251"/>
      <c r="BD847" s="399">
        <v>844</v>
      </c>
      <c r="BE847" s="399" t="s">
        <v>2836</v>
      </c>
      <c r="BF847" s="251" t="s">
        <v>2401</v>
      </c>
      <c r="BG847" s="399" t="s">
        <v>395</v>
      </c>
      <c r="BH847" s="252">
        <v>16</v>
      </c>
      <c r="BI847" s="251" t="s">
        <v>740</v>
      </c>
      <c r="BJ847" s="251" t="s">
        <v>407</v>
      </c>
      <c r="BK847" s="251" t="s">
        <v>2837</v>
      </c>
      <c r="BL847" s="251" t="s">
        <v>399</v>
      </c>
      <c r="BQ847" s="27" t="s">
        <v>8877</v>
      </c>
      <c r="BR847" s="27" t="s">
        <v>8878</v>
      </c>
    </row>
    <row r="848" spans="2:70" ht="15">
      <c r="B848" s="84"/>
      <c r="D848" s="84"/>
      <c r="E848" s="84"/>
      <c r="F848" s="84"/>
      <c r="G848" s="84"/>
      <c r="R848" s="251"/>
      <c r="S848" s="251"/>
      <c r="BD848" s="399">
        <v>845</v>
      </c>
      <c r="BE848" s="399" t="s">
        <v>2838</v>
      </c>
      <c r="BF848" s="251" t="s">
        <v>2401</v>
      </c>
      <c r="BG848" s="399" t="s">
        <v>395</v>
      </c>
      <c r="BH848" s="252">
        <v>16</v>
      </c>
      <c r="BI848" s="251" t="s">
        <v>740</v>
      </c>
      <c r="BJ848" s="251" t="s">
        <v>2482</v>
      </c>
      <c r="BK848" s="251" t="s">
        <v>2839</v>
      </c>
      <c r="BL848" s="251" t="s">
        <v>399</v>
      </c>
      <c r="BQ848" s="27" t="s">
        <v>8879</v>
      </c>
      <c r="BR848" s="27" t="s">
        <v>7256</v>
      </c>
    </row>
    <row r="849" spans="2:70" ht="15">
      <c r="B849" s="84"/>
      <c r="D849" s="84"/>
      <c r="E849" s="84"/>
      <c r="F849" s="84"/>
      <c r="G849" s="84"/>
      <c r="R849" s="251"/>
      <c r="S849" s="251"/>
      <c r="BD849" s="399">
        <v>846</v>
      </c>
      <c r="BE849" s="399" t="s">
        <v>1847</v>
      </c>
      <c r="BF849" s="251" t="s">
        <v>2401</v>
      </c>
      <c r="BG849" s="399" t="s">
        <v>395</v>
      </c>
      <c r="BH849" s="252">
        <v>16</v>
      </c>
      <c r="BI849" s="251" t="s">
        <v>390</v>
      </c>
      <c r="BJ849" s="251" t="s">
        <v>397</v>
      </c>
      <c r="BK849" s="251" t="s">
        <v>1849</v>
      </c>
      <c r="BL849" s="251" t="s">
        <v>399</v>
      </c>
      <c r="BQ849" s="27" t="s">
        <v>8880</v>
      </c>
      <c r="BR849" s="27" t="s">
        <v>7407</v>
      </c>
    </row>
    <row r="850" spans="2:70" ht="15">
      <c r="B850" s="84"/>
      <c r="D850" s="84"/>
      <c r="E850" s="84"/>
      <c r="F850" s="84"/>
      <c r="G850" s="84"/>
      <c r="R850" s="251"/>
      <c r="S850" s="251"/>
      <c r="BD850" s="399">
        <v>847</v>
      </c>
      <c r="BE850" s="399" t="s">
        <v>2840</v>
      </c>
      <c r="BF850" s="251" t="s">
        <v>2401</v>
      </c>
      <c r="BG850" s="399" t="s">
        <v>395</v>
      </c>
      <c r="BH850" s="252">
        <v>16</v>
      </c>
      <c r="BI850" s="251" t="s">
        <v>491</v>
      </c>
      <c r="BJ850" s="251" t="s">
        <v>2460</v>
      </c>
      <c r="BK850" s="251" t="s">
        <v>2841</v>
      </c>
      <c r="BL850" s="251" t="s">
        <v>399</v>
      </c>
      <c r="BQ850" s="27" t="s">
        <v>8881</v>
      </c>
      <c r="BR850" s="27" t="s">
        <v>7290</v>
      </c>
    </row>
    <row r="851" spans="2:70" ht="15">
      <c r="B851" s="84"/>
      <c r="D851" s="84"/>
      <c r="E851" s="84"/>
      <c r="F851" s="84"/>
      <c r="G851" s="84"/>
      <c r="R851" s="251"/>
      <c r="S851" s="251"/>
      <c r="BD851" s="399">
        <v>848</v>
      </c>
      <c r="BE851" s="399" t="s">
        <v>2842</v>
      </c>
      <c r="BF851" s="251" t="s">
        <v>2401</v>
      </c>
      <c r="BG851" s="399" t="s">
        <v>395</v>
      </c>
      <c r="BH851" s="252">
        <v>16</v>
      </c>
      <c r="BI851" s="251" t="s">
        <v>728</v>
      </c>
      <c r="BJ851" s="251" t="s">
        <v>407</v>
      </c>
      <c r="BK851" s="251" t="s">
        <v>2843</v>
      </c>
      <c r="BL851" s="251" t="s">
        <v>399</v>
      </c>
      <c r="BQ851" s="27" t="s">
        <v>8882</v>
      </c>
      <c r="BR851" s="27" t="s">
        <v>8883</v>
      </c>
    </row>
    <row r="852" spans="2:70" ht="15">
      <c r="B852" s="84"/>
      <c r="D852" s="84"/>
      <c r="E852" s="84"/>
      <c r="F852" s="84"/>
      <c r="G852" s="84"/>
      <c r="R852" s="251"/>
      <c r="S852" s="251"/>
      <c r="BD852" s="399">
        <v>849</v>
      </c>
      <c r="BE852" s="399" t="s">
        <v>2844</v>
      </c>
      <c r="BF852" s="251" t="s">
        <v>2401</v>
      </c>
      <c r="BG852" s="399" t="s">
        <v>395</v>
      </c>
      <c r="BH852" s="252">
        <v>16</v>
      </c>
      <c r="BI852" s="251" t="s">
        <v>728</v>
      </c>
      <c r="BJ852" s="251" t="s">
        <v>2460</v>
      </c>
      <c r="BK852" s="251" t="s">
        <v>2845</v>
      </c>
      <c r="BL852" s="251" t="s">
        <v>399</v>
      </c>
      <c r="BQ852" s="27" t="s">
        <v>8884</v>
      </c>
      <c r="BR852" s="27" t="s">
        <v>7316</v>
      </c>
    </row>
    <row r="853" spans="2:70" ht="15">
      <c r="B853" s="84"/>
      <c r="D853" s="84"/>
      <c r="E853" s="84"/>
      <c r="F853" s="84"/>
      <c r="G853" s="84"/>
      <c r="R853" s="251"/>
      <c r="S853" s="251"/>
      <c r="BD853" s="399">
        <v>850</v>
      </c>
      <c r="BE853" s="399" t="s">
        <v>2846</v>
      </c>
      <c r="BF853" s="251" t="s">
        <v>2401</v>
      </c>
      <c r="BG853" s="399" t="s">
        <v>395</v>
      </c>
      <c r="BH853" s="252">
        <v>16</v>
      </c>
      <c r="BI853" s="251" t="s">
        <v>357</v>
      </c>
      <c r="BJ853" s="251" t="s">
        <v>413</v>
      </c>
      <c r="BK853" s="251" t="s">
        <v>2847</v>
      </c>
      <c r="BL853" s="251" t="s">
        <v>399</v>
      </c>
      <c r="BQ853" s="27" t="s">
        <v>8885</v>
      </c>
      <c r="BR853" s="27" t="s">
        <v>7492</v>
      </c>
    </row>
    <row r="854" spans="2:70" ht="15">
      <c r="B854" s="84"/>
      <c r="D854" s="84"/>
      <c r="E854" s="84"/>
      <c r="F854" s="84"/>
      <c r="G854" s="84"/>
      <c r="R854" s="251"/>
      <c r="S854" s="251"/>
      <c r="BD854" s="399">
        <v>851</v>
      </c>
      <c r="BE854" s="399" t="s">
        <v>2848</v>
      </c>
      <c r="BF854" s="251" t="s">
        <v>2401</v>
      </c>
      <c r="BG854" s="399" t="s">
        <v>395</v>
      </c>
      <c r="BH854" s="252">
        <v>16</v>
      </c>
      <c r="BI854" s="251" t="s">
        <v>583</v>
      </c>
      <c r="BJ854" s="251" t="s">
        <v>413</v>
      </c>
      <c r="BK854" s="251" t="s">
        <v>2849</v>
      </c>
      <c r="BL854" s="251" t="s">
        <v>399</v>
      </c>
      <c r="BQ854" s="27" t="s">
        <v>8886</v>
      </c>
      <c r="BR854" s="27" t="s">
        <v>8887</v>
      </c>
    </row>
    <row r="855" spans="2:70" ht="15">
      <c r="B855" s="84"/>
      <c r="D855" s="84"/>
      <c r="E855" s="84"/>
      <c r="F855" s="84"/>
      <c r="G855" s="84"/>
      <c r="R855" s="251"/>
      <c r="S855" s="251"/>
      <c r="BD855" s="399">
        <v>852</v>
      </c>
      <c r="BE855" s="399" t="s">
        <v>2850</v>
      </c>
      <c r="BF855" s="251" t="s">
        <v>2401</v>
      </c>
      <c r="BG855" s="399" t="s">
        <v>395</v>
      </c>
      <c r="BH855" s="252">
        <v>16</v>
      </c>
      <c r="BI855" s="251" t="s">
        <v>397</v>
      </c>
      <c r="BJ855" s="251" t="s">
        <v>351</v>
      </c>
      <c r="BK855" s="251" t="s">
        <v>2851</v>
      </c>
      <c r="BL855" s="251" t="s">
        <v>399</v>
      </c>
      <c r="BQ855" s="27" t="s">
        <v>8888</v>
      </c>
      <c r="BR855" s="27" t="s">
        <v>7396</v>
      </c>
    </row>
    <row r="856" spans="2:70" ht="15">
      <c r="B856" s="84"/>
      <c r="D856" s="84"/>
      <c r="E856" s="84"/>
      <c r="F856" s="84"/>
      <c r="G856" s="84"/>
      <c r="R856" s="251"/>
      <c r="S856" s="251"/>
      <c r="BD856" s="399">
        <v>853</v>
      </c>
      <c r="BE856" s="399" t="s">
        <v>2852</v>
      </c>
      <c r="BF856" s="251" t="s">
        <v>2401</v>
      </c>
      <c r="BG856" s="399" t="s">
        <v>395</v>
      </c>
      <c r="BH856" s="252">
        <v>16</v>
      </c>
      <c r="BI856" s="251" t="s">
        <v>535</v>
      </c>
      <c r="BJ856" s="251" t="s">
        <v>380</v>
      </c>
      <c r="BK856" s="251" t="s">
        <v>2853</v>
      </c>
      <c r="BL856" s="251" t="s">
        <v>399</v>
      </c>
      <c r="BQ856" s="27" t="s">
        <v>8889</v>
      </c>
      <c r="BR856" s="27" t="s">
        <v>7399</v>
      </c>
    </row>
    <row r="857" spans="2:70" ht="15">
      <c r="B857" s="84"/>
      <c r="D857" s="84"/>
      <c r="E857" s="84"/>
      <c r="F857" s="84"/>
      <c r="G857" s="84"/>
      <c r="R857" s="251"/>
      <c r="S857" s="251"/>
      <c r="BD857" s="399">
        <v>854</v>
      </c>
      <c r="BE857" s="399" t="s">
        <v>2854</v>
      </c>
      <c r="BF857" s="251" t="s">
        <v>2401</v>
      </c>
      <c r="BG857" s="399" t="s">
        <v>395</v>
      </c>
      <c r="BH857" s="252">
        <v>16</v>
      </c>
      <c r="BI857" s="251" t="s">
        <v>535</v>
      </c>
      <c r="BJ857" s="251" t="s">
        <v>407</v>
      </c>
      <c r="BK857" s="251" t="s">
        <v>2855</v>
      </c>
      <c r="BL857" s="251" t="s">
        <v>399</v>
      </c>
      <c r="BQ857" s="27" t="s">
        <v>8890</v>
      </c>
      <c r="BR857" s="27" t="s">
        <v>8891</v>
      </c>
    </row>
    <row r="858" spans="2:70" ht="15">
      <c r="B858" s="84"/>
      <c r="D858" s="84"/>
      <c r="E858" s="84"/>
      <c r="F858" s="84"/>
      <c r="G858" s="84"/>
      <c r="R858" s="251"/>
      <c r="S858" s="251"/>
      <c r="BD858" s="399">
        <v>855</v>
      </c>
      <c r="BE858" s="399" t="s">
        <v>2856</v>
      </c>
      <c r="BF858" s="251" t="s">
        <v>2401</v>
      </c>
      <c r="BG858" s="399" t="s">
        <v>395</v>
      </c>
      <c r="BH858" s="252">
        <v>16</v>
      </c>
      <c r="BI858" s="251" t="s">
        <v>350</v>
      </c>
      <c r="BJ858" s="251" t="s">
        <v>407</v>
      </c>
      <c r="BK858" s="251" t="s">
        <v>2857</v>
      </c>
      <c r="BL858" s="251" t="s">
        <v>399</v>
      </c>
      <c r="BQ858" s="27" t="s">
        <v>8892</v>
      </c>
      <c r="BR858" s="27" t="s">
        <v>7404</v>
      </c>
    </row>
    <row r="859" spans="2:70" ht="15">
      <c r="B859" s="84"/>
      <c r="D859" s="84"/>
      <c r="E859" s="84"/>
      <c r="F859" s="84"/>
      <c r="G859" s="84"/>
      <c r="R859" s="251"/>
      <c r="S859" s="251"/>
      <c r="BD859" s="399">
        <v>856</v>
      </c>
      <c r="BE859" s="399" t="s">
        <v>2858</v>
      </c>
      <c r="BF859" s="251" t="s">
        <v>2401</v>
      </c>
      <c r="BG859" s="399" t="s">
        <v>395</v>
      </c>
      <c r="BH859" s="252">
        <v>16</v>
      </c>
      <c r="BI859" s="251" t="s">
        <v>873</v>
      </c>
      <c r="BJ859" s="251" t="s">
        <v>366</v>
      </c>
      <c r="BK859" s="251" t="s">
        <v>2859</v>
      </c>
      <c r="BL859" s="251" t="s">
        <v>399</v>
      </c>
      <c r="BQ859" s="27" t="s">
        <v>8893</v>
      </c>
      <c r="BR859" s="27" t="s">
        <v>7406</v>
      </c>
    </row>
    <row r="860" spans="2:70" ht="15">
      <c r="B860" s="84"/>
      <c r="D860" s="84"/>
      <c r="E860" s="84"/>
      <c r="F860" s="84"/>
      <c r="G860" s="84"/>
      <c r="R860" s="251"/>
      <c r="S860" s="251"/>
      <c r="BD860" s="399">
        <v>857</v>
      </c>
      <c r="BE860" s="399" t="s">
        <v>2860</v>
      </c>
      <c r="BF860" s="251" t="s">
        <v>2401</v>
      </c>
      <c r="BG860" s="399" t="s">
        <v>395</v>
      </c>
      <c r="BH860" s="252">
        <v>16</v>
      </c>
      <c r="BI860" s="251" t="s">
        <v>2460</v>
      </c>
      <c r="BJ860" s="251" t="s">
        <v>2827</v>
      </c>
      <c r="BK860" s="251" t="s">
        <v>2861</v>
      </c>
      <c r="BL860" s="251" t="s">
        <v>399</v>
      </c>
      <c r="BQ860" s="27" t="s">
        <v>8894</v>
      </c>
      <c r="BR860" s="27" t="s">
        <v>8895</v>
      </c>
    </row>
    <row r="861" spans="2:70" ht="15">
      <c r="B861" s="84"/>
      <c r="D861" s="84"/>
      <c r="E861" s="84"/>
      <c r="F861" s="84"/>
      <c r="G861" s="84"/>
      <c r="R861" s="251"/>
      <c r="S861" s="251"/>
      <c r="BD861" s="399">
        <v>858</v>
      </c>
      <c r="BE861" s="399" t="s">
        <v>2862</v>
      </c>
      <c r="BF861" s="251" t="s">
        <v>2401</v>
      </c>
      <c r="BG861" s="399" t="s">
        <v>395</v>
      </c>
      <c r="BH861" s="252">
        <v>16</v>
      </c>
      <c r="BI861" s="251" t="s">
        <v>2460</v>
      </c>
      <c r="BJ861" s="251" t="s">
        <v>351</v>
      </c>
      <c r="BK861" s="251" t="s">
        <v>2863</v>
      </c>
      <c r="BL861" s="251" t="s">
        <v>399</v>
      </c>
      <c r="BQ861" s="27" t="s">
        <v>8896</v>
      </c>
      <c r="BR861" s="27" t="s">
        <v>8897</v>
      </c>
    </row>
    <row r="862" spans="2:70" ht="15">
      <c r="B862" s="84"/>
      <c r="D862" s="84"/>
      <c r="E862" s="84"/>
      <c r="F862" s="84"/>
      <c r="G862" s="84"/>
      <c r="R862" s="251"/>
      <c r="S862" s="251"/>
      <c r="BD862" s="399">
        <v>859</v>
      </c>
      <c r="BE862" s="399" t="s">
        <v>2864</v>
      </c>
      <c r="BF862" s="251" t="s">
        <v>2401</v>
      </c>
      <c r="BG862" s="399" t="s">
        <v>349</v>
      </c>
      <c r="BH862" s="252">
        <v>17</v>
      </c>
      <c r="BI862" s="251" t="s">
        <v>332</v>
      </c>
      <c r="BJ862" s="251" t="s">
        <v>1855</v>
      </c>
      <c r="BK862" s="251" t="s">
        <v>2865</v>
      </c>
      <c r="BL862" s="251" t="s">
        <v>353</v>
      </c>
      <c r="BQ862" s="27" t="s">
        <v>8898</v>
      </c>
      <c r="BR862" s="27" t="s">
        <v>8899</v>
      </c>
    </row>
    <row r="863" spans="2:70" ht="15">
      <c r="B863" s="84"/>
      <c r="D863" s="84"/>
      <c r="E863" s="84"/>
      <c r="F863" s="84"/>
      <c r="G863" s="84"/>
      <c r="R863" s="251"/>
      <c r="S863" s="251"/>
      <c r="BD863" s="399">
        <v>860</v>
      </c>
      <c r="BE863" s="399" t="s">
        <v>2866</v>
      </c>
      <c r="BF863" s="251" t="s">
        <v>2401</v>
      </c>
      <c r="BG863" s="399" t="s">
        <v>349</v>
      </c>
      <c r="BH863" s="252">
        <v>17</v>
      </c>
      <c r="BI863" s="251" t="s">
        <v>332</v>
      </c>
      <c r="BJ863" s="251" t="s">
        <v>397</v>
      </c>
      <c r="BK863" s="251" t="s">
        <v>2867</v>
      </c>
      <c r="BL863" s="251" t="s">
        <v>353</v>
      </c>
      <c r="BQ863" s="27" t="s">
        <v>8900</v>
      </c>
      <c r="BR863" s="27" t="s">
        <v>8901</v>
      </c>
    </row>
    <row r="864" spans="2:70" ht="15">
      <c r="B864" s="84"/>
      <c r="D864" s="84"/>
      <c r="E864" s="84"/>
      <c r="F864" s="84"/>
      <c r="G864" s="84"/>
      <c r="R864" s="251"/>
      <c r="S864" s="251"/>
      <c r="BD864" s="399">
        <v>861</v>
      </c>
      <c r="BE864" s="399" t="s">
        <v>2868</v>
      </c>
      <c r="BF864" s="251" t="s">
        <v>2401</v>
      </c>
      <c r="BG864" s="399" t="s">
        <v>349</v>
      </c>
      <c r="BH864" s="252">
        <v>17</v>
      </c>
      <c r="BI864" s="251" t="s">
        <v>333</v>
      </c>
      <c r="BJ864" s="251" t="s">
        <v>2159</v>
      </c>
      <c r="BK864" s="251" t="s">
        <v>2869</v>
      </c>
      <c r="BL864" s="251" t="s">
        <v>353</v>
      </c>
      <c r="BQ864" s="27" t="s">
        <v>8902</v>
      </c>
      <c r="BR864" s="27" t="s">
        <v>7273</v>
      </c>
    </row>
    <row r="865" spans="2:70" ht="15">
      <c r="B865" s="84"/>
      <c r="D865" s="84"/>
      <c r="E865" s="84"/>
      <c r="F865" s="84"/>
      <c r="G865" s="84"/>
      <c r="R865" s="251"/>
      <c r="S865" s="251"/>
      <c r="BD865" s="399">
        <v>862</v>
      </c>
      <c r="BE865" s="399" t="s">
        <v>2870</v>
      </c>
      <c r="BF865" s="251" t="s">
        <v>2401</v>
      </c>
      <c r="BG865" s="399" t="s">
        <v>349</v>
      </c>
      <c r="BH865" s="252">
        <v>17</v>
      </c>
      <c r="BI865" s="251" t="s">
        <v>1855</v>
      </c>
      <c r="BJ865" s="251" t="s">
        <v>351</v>
      </c>
      <c r="BK865" s="251" t="s">
        <v>2871</v>
      </c>
      <c r="BL865" s="251" t="s">
        <v>353</v>
      </c>
      <c r="BQ865" s="27" t="s">
        <v>8903</v>
      </c>
      <c r="BR865" s="27" t="s">
        <v>8904</v>
      </c>
    </row>
    <row r="866" spans="2:70" ht="15">
      <c r="B866" s="84"/>
      <c r="D866" s="84"/>
      <c r="E866" s="84"/>
      <c r="F866" s="84"/>
      <c r="G866" s="84"/>
      <c r="R866" s="251"/>
      <c r="S866" s="251"/>
      <c r="BD866" s="399">
        <v>863</v>
      </c>
      <c r="BE866" s="399" t="s">
        <v>2872</v>
      </c>
      <c r="BF866" s="251" t="s">
        <v>2401</v>
      </c>
      <c r="BG866" s="399" t="s">
        <v>349</v>
      </c>
      <c r="BH866" s="252">
        <v>17</v>
      </c>
      <c r="BI866" s="251" t="s">
        <v>1855</v>
      </c>
      <c r="BJ866" s="251" t="s">
        <v>2416</v>
      </c>
      <c r="BK866" s="251" t="s">
        <v>2873</v>
      </c>
      <c r="BL866" s="251" t="s">
        <v>353</v>
      </c>
      <c r="BQ866" s="27" t="s">
        <v>8905</v>
      </c>
      <c r="BR866" s="27" t="s">
        <v>8906</v>
      </c>
    </row>
    <row r="867" spans="2:70" ht="15">
      <c r="B867" s="84"/>
      <c r="D867" s="84"/>
      <c r="E867" s="84"/>
      <c r="F867" s="84"/>
      <c r="G867" s="84"/>
      <c r="R867" s="251"/>
      <c r="S867" s="251"/>
      <c r="BD867" s="399">
        <v>864</v>
      </c>
      <c r="BE867" s="399" t="s">
        <v>2874</v>
      </c>
      <c r="BF867" s="251" t="s">
        <v>2401</v>
      </c>
      <c r="BG867" s="399" t="s">
        <v>349</v>
      </c>
      <c r="BH867" s="252">
        <v>17</v>
      </c>
      <c r="BI867" s="251" t="s">
        <v>2478</v>
      </c>
      <c r="BJ867" s="251" t="s">
        <v>413</v>
      </c>
      <c r="BK867" s="251" t="s">
        <v>2875</v>
      </c>
      <c r="BL867" s="251" t="s">
        <v>353</v>
      </c>
      <c r="BQ867" s="27" t="s">
        <v>8907</v>
      </c>
      <c r="BR867" s="27" t="s">
        <v>8908</v>
      </c>
    </row>
    <row r="868" spans="2:70" ht="15">
      <c r="B868" s="84"/>
      <c r="D868" s="84"/>
      <c r="E868" s="84"/>
      <c r="F868" s="84"/>
      <c r="G868" s="84"/>
      <c r="R868" s="251"/>
      <c r="S868" s="251"/>
      <c r="BD868" s="399">
        <v>865</v>
      </c>
      <c r="BE868" s="399" t="s">
        <v>2876</v>
      </c>
      <c r="BF868" s="251" t="s">
        <v>2401</v>
      </c>
      <c r="BG868" s="399" t="s">
        <v>349</v>
      </c>
      <c r="BH868" s="252">
        <v>17</v>
      </c>
      <c r="BI868" s="251" t="s">
        <v>524</v>
      </c>
      <c r="BJ868" s="251" t="s">
        <v>2877</v>
      </c>
      <c r="BK868" s="251" t="s">
        <v>2878</v>
      </c>
      <c r="BL868" s="251" t="s">
        <v>353</v>
      </c>
      <c r="BQ868" s="27" t="s">
        <v>8454</v>
      </c>
      <c r="BR868" s="27" t="s">
        <v>8455</v>
      </c>
    </row>
    <row r="869" spans="2:70" ht="15">
      <c r="B869" s="84"/>
      <c r="D869" s="84"/>
      <c r="E869" s="84"/>
      <c r="F869" s="84"/>
      <c r="G869" s="84"/>
      <c r="R869" s="251"/>
      <c r="S869" s="251"/>
      <c r="BD869" s="399">
        <v>866</v>
      </c>
      <c r="BE869" s="399" t="s">
        <v>2879</v>
      </c>
      <c r="BF869" s="251" t="s">
        <v>2401</v>
      </c>
      <c r="BG869" s="399" t="s">
        <v>349</v>
      </c>
      <c r="BH869" s="252">
        <v>17</v>
      </c>
      <c r="BI869" s="251" t="s">
        <v>524</v>
      </c>
      <c r="BJ869" s="251" t="s">
        <v>2159</v>
      </c>
      <c r="BK869" s="251" t="s">
        <v>2880</v>
      </c>
      <c r="BL869" s="251" t="s">
        <v>353</v>
      </c>
      <c r="BQ869" s="27" t="s">
        <v>8909</v>
      </c>
      <c r="BR869" s="27" t="s">
        <v>7383</v>
      </c>
    </row>
    <row r="870" spans="2:70" ht="15">
      <c r="B870" s="84"/>
      <c r="D870" s="84"/>
      <c r="E870" s="84"/>
      <c r="F870" s="84"/>
      <c r="G870" s="84"/>
      <c r="R870" s="251"/>
      <c r="S870" s="251"/>
      <c r="BD870" s="399">
        <v>867</v>
      </c>
      <c r="BE870" s="399" t="s">
        <v>879</v>
      </c>
      <c r="BF870" s="251" t="s">
        <v>2401</v>
      </c>
      <c r="BG870" s="399" t="s">
        <v>349</v>
      </c>
      <c r="BH870" s="252">
        <v>17</v>
      </c>
      <c r="BI870" s="251" t="s">
        <v>740</v>
      </c>
      <c r="BJ870" s="251" t="s">
        <v>413</v>
      </c>
      <c r="BK870" s="251" t="s">
        <v>881</v>
      </c>
      <c r="BL870" s="251" t="s">
        <v>353</v>
      </c>
      <c r="BQ870" s="27" t="s">
        <v>8910</v>
      </c>
      <c r="BR870" s="27" t="s">
        <v>7270</v>
      </c>
    </row>
    <row r="871" spans="2:70" ht="15">
      <c r="B871" s="84"/>
      <c r="D871" s="84"/>
      <c r="E871" s="84"/>
      <c r="F871" s="84"/>
      <c r="G871" s="84"/>
      <c r="R871" s="251"/>
      <c r="S871" s="251"/>
      <c r="BD871" s="399">
        <v>868</v>
      </c>
      <c r="BE871" s="399" t="s">
        <v>2881</v>
      </c>
      <c r="BF871" s="251" t="s">
        <v>2401</v>
      </c>
      <c r="BG871" s="399" t="s">
        <v>349</v>
      </c>
      <c r="BH871" s="252">
        <v>17</v>
      </c>
      <c r="BI871" s="251" t="s">
        <v>379</v>
      </c>
      <c r="BJ871" s="251" t="s">
        <v>413</v>
      </c>
      <c r="BK871" s="251" t="s">
        <v>2882</v>
      </c>
      <c r="BL871" s="251" t="s">
        <v>353</v>
      </c>
      <c r="BQ871" s="27" t="s">
        <v>8401</v>
      </c>
      <c r="BR871" s="27" t="s">
        <v>8402</v>
      </c>
    </row>
    <row r="872" spans="2:70" ht="15">
      <c r="B872" s="84"/>
      <c r="D872" s="84"/>
      <c r="E872" s="84"/>
      <c r="F872" s="84"/>
      <c r="G872" s="84"/>
      <c r="R872" s="251"/>
      <c r="S872" s="251"/>
      <c r="BD872" s="399">
        <v>869</v>
      </c>
      <c r="BE872" s="399" t="s">
        <v>2883</v>
      </c>
      <c r="BF872" s="251" t="s">
        <v>2401</v>
      </c>
      <c r="BG872" s="399" t="s">
        <v>349</v>
      </c>
      <c r="BH872" s="252">
        <v>17</v>
      </c>
      <c r="BI872" s="251" t="s">
        <v>563</v>
      </c>
      <c r="BJ872" s="251" t="s">
        <v>413</v>
      </c>
      <c r="BK872" s="251" t="s">
        <v>2884</v>
      </c>
      <c r="BL872" s="251" t="s">
        <v>353</v>
      </c>
      <c r="BQ872" s="27" t="s">
        <v>8403</v>
      </c>
      <c r="BR872" s="27" t="s">
        <v>7335</v>
      </c>
    </row>
    <row r="873" spans="2:70" ht="15">
      <c r="B873" s="84"/>
      <c r="D873" s="84"/>
      <c r="E873" s="84"/>
      <c r="F873" s="84"/>
      <c r="G873" s="84"/>
      <c r="R873" s="251"/>
      <c r="S873" s="251"/>
      <c r="BD873" s="399">
        <v>870</v>
      </c>
      <c r="BE873" s="399" t="s">
        <v>2885</v>
      </c>
      <c r="BF873" s="251" t="s">
        <v>2401</v>
      </c>
      <c r="BG873" s="399" t="s">
        <v>349</v>
      </c>
      <c r="BH873" s="252">
        <v>17</v>
      </c>
      <c r="BI873" s="251" t="s">
        <v>728</v>
      </c>
      <c r="BJ873" s="251" t="s">
        <v>539</v>
      </c>
      <c r="BK873" s="251" t="s">
        <v>2886</v>
      </c>
      <c r="BL873" s="251" t="s">
        <v>353</v>
      </c>
      <c r="BQ873" s="27" t="s">
        <v>8404</v>
      </c>
      <c r="BR873" s="27" t="s">
        <v>7289</v>
      </c>
    </row>
    <row r="874" spans="2:70" ht="15">
      <c r="B874" s="84"/>
      <c r="D874" s="84"/>
      <c r="E874" s="84"/>
      <c r="F874" s="84"/>
      <c r="G874" s="84"/>
      <c r="R874" s="251"/>
      <c r="S874" s="251"/>
      <c r="BD874" s="399">
        <v>871</v>
      </c>
      <c r="BE874" s="399" t="s">
        <v>2887</v>
      </c>
      <c r="BF874" s="251" t="s">
        <v>2401</v>
      </c>
      <c r="BG874" s="399" t="s">
        <v>349</v>
      </c>
      <c r="BH874" s="252">
        <v>17</v>
      </c>
      <c r="BI874" s="251" t="s">
        <v>728</v>
      </c>
      <c r="BJ874" s="251" t="s">
        <v>390</v>
      </c>
      <c r="BK874" s="251" t="s">
        <v>2888</v>
      </c>
      <c r="BL874" s="251" t="s">
        <v>353</v>
      </c>
      <c r="BQ874" s="27" t="s">
        <v>8405</v>
      </c>
      <c r="BR874" s="27" t="s">
        <v>8406</v>
      </c>
    </row>
    <row r="875" spans="2:70" ht="15">
      <c r="B875" s="84"/>
      <c r="D875" s="84"/>
      <c r="E875" s="84"/>
      <c r="F875" s="84"/>
      <c r="G875" s="84"/>
      <c r="R875" s="251"/>
      <c r="S875" s="251"/>
      <c r="BD875" s="399">
        <v>872</v>
      </c>
      <c r="BE875" s="399" t="s">
        <v>2889</v>
      </c>
      <c r="BF875" s="251" t="s">
        <v>2401</v>
      </c>
      <c r="BG875" s="399" t="s">
        <v>349</v>
      </c>
      <c r="BH875" s="252">
        <v>17</v>
      </c>
      <c r="BI875" s="251" t="s">
        <v>450</v>
      </c>
      <c r="BJ875" s="251" t="s">
        <v>413</v>
      </c>
      <c r="BK875" s="251" t="s">
        <v>2890</v>
      </c>
      <c r="BL875" s="251" t="s">
        <v>353</v>
      </c>
      <c r="BQ875" s="27" t="s">
        <v>8911</v>
      </c>
      <c r="BR875" s="27" t="s">
        <v>8408</v>
      </c>
    </row>
    <row r="876" spans="2:70" ht="15">
      <c r="B876" s="84"/>
      <c r="D876" s="84"/>
      <c r="E876" s="84"/>
      <c r="F876" s="84"/>
      <c r="G876" s="84"/>
      <c r="R876" s="251"/>
      <c r="S876" s="251"/>
      <c r="BD876" s="399">
        <v>873</v>
      </c>
      <c r="BE876" s="399" t="s">
        <v>2891</v>
      </c>
      <c r="BF876" s="251" t="s">
        <v>2401</v>
      </c>
      <c r="BG876" s="399" t="s">
        <v>356</v>
      </c>
      <c r="BH876" s="252">
        <v>18</v>
      </c>
      <c r="BI876" s="251" t="s">
        <v>740</v>
      </c>
      <c r="BJ876" s="251" t="s">
        <v>380</v>
      </c>
      <c r="BK876" s="251" t="s">
        <v>2892</v>
      </c>
      <c r="BL876" s="251" t="s">
        <v>360</v>
      </c>
      <c r="BQ876" s="27" t="s">
        <v>8912</v>
      </c>
      <c r="BR876" s="27" t="s">
        <v>8410</v>
      </c>
    </row>
    <row r="877" spans="2:70" ht="15">
      <c r="B877" s="84"/>
      <c r="D877" s="84"/>
      <c r="E877" s="84"/>
      <c r="F877" s="84"/>
      <c r="G877" s="84"/>
      <c r="R877" s="251"/>
      <c r="S877" s="251"/>
      <c r="BD877" s="399">
        <v>874</v>
      </c>
      <c r="BE877" s="399" t="s">
        <v>2893</v>
      </c>
      <c r="BF877" s="251" t="s">
        <v>2401</v>
      </c>
      <c r="BG877" s="399" t="s">
        <v>356</v>
      </c>
      <c r="BH877" s="252">
        <v>18</v>
      </c>
      <c r="BI877" s="251" t="s">
        <v>563</v>
      </c>
      <c r="BJ877" s="251" t="s">
        <v>1855</v>
      </c>
      <c r="BK877" s="251" t="s">
        <v>2894</v>
      </c>
      <c r="BL877" s="251" t="s">
        <v>360</v>
      </c>
      <c r="BQ877" s="27" t="s">
        <v>8913</v>
      </c>
      <c r="BR877" s="27" t="s">
        <v>7336</v>
      </c>
    </row>
    <row r="878" spans="2:70" ht="15">
      <c r="B878" s="84"/>
      <c r="D878" s="84"/>
      <c r="E878" s="84"/>
      <c r="F878" s="84"/>
      <c r="G878" s="84"/>
      <c r="R878" s="251"/>
      <c r="S878" s="251"/>
      <c r="BD878" s="399">
        <v>875</v>
      </c>
      <c r="BE878" s="399" t="s">
        <v>2895</v>
      </c>
      <c r="BF878" s="251" t="s">
        <v>2401</v>
      </c>
      <c r="BG878" s="399" t="s">
        <v>356</v>
      </c>
      <c r="BH878" s="252">
        <v>18</v>
      </c>
      <c r="BI878" s="251" t="s">
        <v>357</v>
      </c>
      <c r="BJ878" s="251" t="s">
        <v>413</v>
      </c>
      <c r="BK878" s="251" t="s">
        <v>2896</v>
      </c>
      <c r="BL878" s="251" t="s">
        <v>360</v>
      </c>
      <c r="BQ878" s="27" t="s">
        <v>8412</v>
      </c>
      <c r="BR878" s="27" t="s">
        <v>7471</v>
      </c>
    </row>
    <row r="879" spans="2:70" ht="15">
      <c r="B879" s="84"/>
      <c r="D879" s="84"/>
      <c r="E879" s="84"/>
      <c r="F879" s="84"/>
      <c r="G879" s="84"/>
      <c r="R879" s="251"/>
      <c r="S879" s="251"/>
      <c r="BD879" s="399">
        <v>876</v>
      </c>
      <c r="BE879" s="399" t="s">
        <v>1073</v>
      </c>
      <c r="BF879" s="251" t="s">
        <v>2401</v>
      </c>
      <c r="BG879" s="399" t="s">
        <v>356</v>
      </c>
      <c r="BH879" s="252">
        <v>18</v>
      </c>
      <c r="BI879" s="251" t="s">
        <v>583</v>
      </c>
      <c r="BJ879" s="251" t="s">
        <v>413</v>
      </c>
      <c r="BK879" s="251" t="s">
        <v>2897</v>
      </c>
      <c r="BL879" s="251" t="s">
        <v>360</v>
      </c>
      <c r="BQ879" s="27" t="s">
        <v>8413</v>
      </c>
      <c r="BR879" s="27" t="s">
        <v>8414</v>
      </c>
    </row>
    <row r="880" spans="2:70" ht="15">
      <c r="B880" s="84"/>
      <c r="D880" s="84"/>
      <c r="E880" s="84"/>
      <c r="F880" s="84"/>
      <c r="G880" s="84"/>
      <c r="R880" s="251"/>
      <c r="S880" s="251"/>
      <c r="BD880" s="399">
        <v>877</v>
      </c>
      <c r="BE880" s="399" t="s">
        <v>1335</v>
      </c>
      <c r="BF880" s="251" t="s">
        <v>2401</v>
      </c>
      <c r="BG880" s="399" t="s">
        <v>356</v>
      </c>
      <c r="BH880" s="252">
        <v>18</v>
      </c>
      <c r="BI880" s="251" t="s">
        <v>450</v>
      </c>
      <c r="BJ880" s="251" t="s">
        <v>397</v>
      </c>
      <c r="BK880" s="251" t="s">
        <v>1337</v>
      </c>
      <c r="BL880" s="251" t="s">
        <v>360</v>
      </c>
      <c r="BQ880" s="27" t="s">
        <v>8415</v>
      </c>
      <c r="BR880" s="27" t="s">
        <v>7490</v>
      </c>
    </row>
    <row r="881" spans="2:70" ht="15">
      <c r="B881" s="84"/>
      <c r="D881" s="84"/>
      <c r="E881" s="84"/>
      <c r="F881" s="84"/>
      <c r="G881" s="84"/>
      <c r="R881" s="251"/>
      <c r="S881" s="251"/>
      <c r="BD881" s="399">
        <v>878</v>
      </c>
      <c r="BE881" s="399" t="s">
        <v>2898</v>
      </c>
      <c r="BF881" s="251" t="s">
        <v>2401</v>
      </c>
      <c r="BG881" s="399" t="s">
        <v>356</v>
      </c>
      <c r="BH881" s="252">
        <v>18</v>
      </c>
      <c r="BI881" s="251" t="s">
        <v>873</v>
      </c>
      <c r="BJ881" s="251" t="s">
        <v>413</v>
      </c>
      <c r="BK881" s="251" t="s">
        <v>2899</v>
      </c>
      <c r="BL881" s="251" t="s">
        <v>360</v>
      </c>
      <c r="BQ881" s="27" t="s">
        <v>8416</v>
      </c>
      <c r="BR881" s="27" t="s">
        <v>7337</v>
      </c>
    </row>
    <row r="882" spans="2:70" ht="15">
      <c r="B882" s="84"/>
      <c r="D882" s="84"/>
      <c r="E882" s="84"/>
      <c r="F882" s="84"/>
      <c r="G882" s="84"/>
      <c r="R882" s="251"/>
      <c r="S882" s="251"/>
      <c r="BD882" s="399">
        <v>879</v>
      </c>
      <c r="BE882" s="399" t="s">
        <v>2900</v>
      </c>
      <c r="BF882" s="251" t="s">
        <v>2401</v>
      </c>
      <c r="BG882" s="399" t="s">
        <v>777</v>
      </c>
      <c r="BH882" s="252">
        <v>21</v>
      </c>
      <c r="BI882" s="251" t="s">
        <v>332</v>
      </c>
      <c r="BJ882" s="251" t="s">
        <v>380</v>
      </c>
      <c r="BK882" s="251" t="s">
        <v>2901</v>
      </c>
      <c r="BL882" s="251" t="s">
        <v>780</v>
      </c>
      <c r="BQ882" s="27" t="s">
        <v>8914</v>
      </c>
      <c r="BR882" s="27" t="s">
        <v>7338</v>
      </c>
    </row>
    <row r="883" spans="2:70" ht="15">
      <c r="B883" s="84"/>
      <c r="D883" s="84"/>
      <c r="E883" s="84"/>
      <c r="F883" s="84"/>
      <c r="G883" s="84"/>
      <c r="R883" s="251"/>
      <c r="S883" s="251"/>
      <c r="BD883" s="399">
        <v>880</v>
      </c>
      <c r="BE883" s="399" t="s">
        <v>2902</v>
      </c>
      <c r="BF883" s="251" t="s">
        <v>2401</v>
      </c>
      <c r="BG883" s="399" t="s">
        <v>777</v>
      </c>
      <c r="BH883" s="252">
        <v>21</v>
      </c>
      <c r="BI883" s="251" t="s">
        <v>333</v>
      </c>
      <c r="BJ883" s="251" t="s">
        <v>407</v>
      </c>
      <c r="BK883" s="251" t="s">
        <v>2903</v>
      </c>
      <c r="BL883" s="251" t="s">
        <v>780</v>
      </c>
      <c r="BQ883" s="27" t="s">
        <v>8915</v>
      </c>
      <c r="BR883" s="27" t="s">
        <v>8916</v>
      </c>
    </row>
    <row r="884" spans="2:70" ht="15">
      <c r="B884" s="84"/>
      <c r="D884" s="84"/>
      <c r="E884" s="84"/>
      <c r="F884" s="84"/>
      <c r="G884" s="84"/>
      <c r="R884" s="251"/>
      <c r="S884" s="251"/>
      <c r="BD884" s="399">
        <v>881</v>
      </c>
      <c r="BE884" s="399" t="s">
        <v>2904</v>
      </c>
      <c r="BF884" s="251" t="s">
        <v>2401</v>
      </c>
      <c r="BG884" s="399" t="s">
        <v>777</v>
      </c>
      <c r="BH884" s="252">
        <v>21</v>
      </c>
      <c r="BI884" s="251" t="s">
        <v>2421</v>
      </c>
      <c r="BJ884" s="251" t="s">
        <v>2905</v>
      </c>
      <c r="BK884" s="251" t="s">
        <v>2906</v>
      </c>
      <c r="BL884" s="251" t="s">
        <v>780</v>
      </c>
      <c r="BQ884" s="27" t="s">
        <v>8917</v>
      </c>
      <c r="BR884" s="27" t="s">
        <v>7395</v>
      </c>
    </row>
    <row r="885" spans="2:70" ht="15">
      <c r="B885" s="84"/>
      <c r="D885" s="84"/>
      <c r="E885" s="84"/>
      <c r="F885" s="84"/>
      <c r="G885" s="84"/>
      <c r="R885" s="251"/>
      <c r="S885" s="251"/>
      <c r="BD885" s="399">
        <v>882</v>
      </c>
      <c r="BE885" s="399" t="s">
        <v>2907</v>
      </c>
      <c r="BF885" s="251" t="s">
        <v>2401</v>
      </c>
      <c r="BG885" s="399" t="s">
        <v>777</v>
      </c>
      <c r="BH885" s="252">
        <v>21</v>
      </c>
      <c r="BI885" s="251" t="s">
        <v>740</v>
      </c>
      <c r="BJ885" s="251" t="s">
        <v>413</v>
      </c>
      <c r="BK885" s="251" t="s">
        <v>2908</v>
      </c>
      <c r="BL885" s="251" t="s">
        <v>780</v>
      </c>
      <c r="BQ885" s="27" t="s">
        <v>8918</v>
      </c>
      <c r="BR885" s="27" t="s">
        <v>7399</v>
      </c>
    </row>
    <row r="886" spans="2:70" ht="15">
      <c r="B886" s="84"/>
      <c r="D886" s="84"/>
      <c r="E886" s="84"/>
      <c r="F886" s="84"/>
      <c r="G886" s="84"/>
      <c r="R886" s="251"/>
      <c r="S886" s="251"/>
      <c r="BD886" s="399">
        <v>883</v>
      </c>
      <c r="BE886" s="399" t="s">
        <v>2909</v>
      </c>
      <c r="BF886" s="251" t="s">
        <v>2401</v>
      </c>
      <c r="BG886" s="399" t="s">
        <v>777</v>
      </c>
      <c r="BH886" s="252">
        <v>21</v>
      </c>
      <c r="BI886" s="251" t="s">
        <v>728</v>
      </c>
      <c r="BJ886" s="251" t="s">
        <v>413</v>
      </c>
      <c r="BK886" s="251" t="s">
        <v>2910</v>
      </c>
      <c r="BL886" s="251" t="s">
        <v>780</v>
      </c>
      <c r="BQ886" s="27" t="s">
        <v>8919</v>
      </c>
      <c r="BR886" s="27" t="s">
        <v>7377</v>
      </c>
    </row>
    <row r="887" spans="2:70" ht="15">
      <c r="B887" s="84"/>
      <c r="D887" s="84"/>
      <c r="E887" s="84"/>
      <c r="F887" s="84"/>
      <c r="G887" s="84"/>
      <c r="R887" s="251"/>
      <c r="S887" s="251"/>
      <c r="BD887" s="399">
        <v>884</v>
      </c>
      <c r="BE887" s="399" t="s">
        <v>2911</v>
      </c>
      <c r="BF887" s="251" t="s">
        <v>2401</v>
      </c>
      <c r="BG887" s="399" t="s">
        <v>777</v>
      </c>
      <c r="BH887" s="252">
        <v>21</v>
      </c>
      <c r="BI887" s="251" t="s">
        <v>583</v>
      </c>
      <c r="BJ887" s="251" t="s">
        <v>413</v>
      </c>
      <c r="BK887" s="251" t="s">
        <v>2912</v>
      </c>
      <c r="BL887" s="251" t="s">
        <v>780</v>
      </c>
      <c r="BQ887" s="27" t="s">
        <v>8920</v>
      </c>
      <c r="BR887" s="27" t="s">
        <v>7432</v>
      </c>
    </row>
    <row r="888" spans="2:70" ht="15">
      <c r="B888" s="84"/>
      <c r="D888" s="84"/>
      <c r="E888" s="84"/>
      <c r="F888" s="84"/>
      <c r="G888" s="84"/>
      <c r="R888" s="251"/>
      <c r="S888" s="251"/>
      <c r="BD888" s="399">
        <v>885</v>
      </c>
      <c r="BE888" s="399" t="s">
        <v>2913</v>
      </c>
      <c r="BF888" s="251" t="s">
        <v>2401</v>
      </c>
      <c r="BG888" s="399" t="s">
        <v>777</v>
      </c>
      <c r="BH888" s="252">
        <v>21</v>
      </c>
      <c r="BI888" s="251" t="s">
        <v>450</v>
      </c>
      <c r="BJ888" s="251" t="s">
        <v>954</v>
      </c>
      <c r="BK888" s="251" t="s">
        <v>2914</v>
      </c>
      <c r="BL888" s="251" t="s">
        <v>780</v>
      </c>
      <c r="BQ888" s="27" t="s">
        <v>8921</v>
      </c>
      <c r="BR888" s="27" t="s">
        <v>7433</v>
      </c>
    </row>
    <row r="889" spans="2:70" ht="15">
      <c r="B889" s="84"/>
      <c r="D889" s="84"/>
      <c r="E889" s="84"/>
      <c r="F889" s="84"/>
      <c r="G889" s="84"/>
      <c r="R889" s="251"/>
      <c r="S889" s="251"/>
      <c r="BD889" s="399">
        <v>886</v>
      </c>
      <c r="BE889" s="399" t="s">
        <v>2915</v>
      </c>
      <c r="BF889" s="251" t="s">
        <v>2401</v>
      </c>
      <c r="BG889" s="399" t="s">
        <v>371</v>
      </c>
      <c r="BH889" s="252">
        <v>28</v>
      </c>
      <c r="BI889" s="251" t="s">
        <v>331</v>
      </c>
      <c r="BJ889" s="251" t="s">
        <v>407</v>
      </c>
      <c r="BK889" s="251" t="s">
        <v>2916</v>
      </c>
      <c r="BL889" s="251" t="s">
        <v>375</v>
      </c>
      <c r="BQ889" s="27" t="s">
        <v>8922</v>
      </c>
      <c r="BR889" s="27" t="s">
        <v>7434</v>
      </c>
    </row>
    <row r="890" spans="2:70" ht="15">
      <c r="B890" s="84"/>
      <c r="D890" s="84"/>
      <c r="E890" s="84"/>
      <c r="F890" s="84"/>
      <c r="G890" s="84"/>
      <c r="R890" s="251"/>
      <c r="S890" s="251"/>
      <c r="BD890" s="399">
        <v>887</v>
      </c>
      <c r="BE890" s="399" t="s">
        <v>2917</v>
      </c>
      <c r="BF890" s="251" t="s">
        <v>2401</v>
      </c>
      <c r="BG890" s="399" t="s">
        <v>371</v>
      </c>
      <c r="BH890" s="252">
        <v>28</v>
      </c>
      <c r="BI890" s="251" t="s">
        <v>332</v>
      </c>
      <c r="BJ890" s="251" t="s">
        <v>407</v>
      </c>
      <c r="BK890" s="251" t="s">
        <v>2918</v>
      </c>
      <c r="BL890" s="251" t="s">
        <v>375</v>
      </c>
      <c r="BQ890" s="27" t="s">
        <v>8923</v>
      </c>
      <c r="BR890" s="27" t="s">
        <v>7371</v>
      </c>
    </row>
    <row r="891" spans="2:70" ht="15">
      <c r="B891" s="84"/>
      <c r="D891" s="84"/>
      <c r="E891" s="84"/>
      <c r="F891" s="84"/>
      <c r="G891" s="84"/>
      <c r="R891" s="251"/>
      <c r="S891" s="251"/>
      <c r="BD891" s="399">
        <v>888</v>
      </c>
      <c r="BE891" s="399" t="s">
        <v>2919</v>
      </c>
      <c r="BF891" s="251" t="s">
        <v>2401</v>
      </c>
      <c r="BG891" s="399" t="s">
        <v>371</v>
      </c>
      <c r="BH891" s="252">
        <v>28</v>
      </c>
      <c r="BI891" s="251" t="s">
        <v>332</v>
      </c>
      <c r="BJ891" s="251" t="s">
        <v>397</v>
      </c>
      <c r="BK891" s="251" t="s">
        <v>2920</v>
      </c>
      <c r="BL891" s="251" t="s">
        <v>375</v>
      </c>
      <c r="BQ891" s="27" t="s">
        <v>8924</v>
      </c>
      <c r="BR891" s="27" t="s">
        <v>7430</v>
      </c>
    </row>
    <row r="892" spans="2:70" ht="15">
      <c r="B892" s="84"/>
      <c r="D892" s="84"/>
      <c r="E892" s="84"/>
      <c r="F892" s="84"/>
      <c r="G892" s="84"/>
      <c r="R892" s="251"/>
      <c r="S892" s="251"/>
      <c r="BD892" s="399">
        <v>889</v>
      </c>
      <c r="BE892" s="399" t="s">
        <v>2921</v>
      </c>
      <c r="BF892" s="251" t="s">
        <v>2401</v>
      </c>
      <c r="BG892" s="399" t="s">
        <v>371</v>
      </c>
      <c r="BH892" s="252">
        <v>28</v>
      </c>
      <c r="BI892" s="251" t="s">
        <v>407</v>
      </c>
      <c r="BJ892" s="251" t="s">
        <v>539</v>
      </c>
      <c r="BK892" s="251" t="s">
        <v>2922</v>
      </c>
      <c r="BL892" s="251" t="s">
        <v>375</v>
      </c>
      <c r="BQ892" s="27" t="s">
        <v>8417</v>
      </c>
      <c r="BR892" s="27" t="s">
        <v>8418</v>
      </c>
    </row>
    <row r="893" spans="2:70" ht="15">
      <c r="B893" s="84"/>
      <c r="D893" s="84"/>
      <c r="E893" s="84"/>
      <c r="F893" s="84"/>
      <c r="G893" s="84"/>
      <c r="R893" s="251"/>
      <c r="S893" s="251"/>
      <c r="BD893" s="399">
        <v>890</v>
      </c>
      <c r="BE893" s="399" t="s">
        <v>2923</v>
      </c>
      <c r="BF893" s="251" t="s">
        <v>2401</v>
      </c>
      <c r="BG893" s="399" t="s">
        <v>371</v>
      </c>
      <c r="BH893" s="252">
        <v>28</v>
      </c>
      <c r="BI893" s="251" t="s">
        <v>366</v>
      </c>
      <c r="BJ893" s="251" t="s">
        <v>2924</v>
      </c>
      <c r="BK893" s="251" t="s">
        <v>2925</v>
      </c>
      <c r="BL893" s="251" t="s">
        <v>375</v>
      </c>
      <c r="BQ893" s="27" t="s">
        <v>8925</v>
      </c>
      <c r="BR893" s="27" t="s">
        <v>8926</v>
      </c>
    </row>
    <row r="894" spans="2:70" ht="15">
      <c r="B894" s="84"/>
      <c r="D894" s="84"/>
      <c r="E894" s="84"/>
      <c r="F894" s="84"/>
      <c r="G894" s="84"/>
      <c r="R894" s="251"/>
      <c r="S894" s="251"/>
      <c r="BD894" s="399">
        <v>891</v>
      </c>
      <c r="BE894" s="399" t="s">
        <v>2926</v>
      </c>
      <c r="BF894" s="251" t="s">
        <v>2401</v>
      </c>
      <c r="BG894" s="399" t="s">
        <v>371</v>
      </c>
      <c r="BH894" s="252">
        <v>28</v>
      </c>
      <c r="BI894" s="251" t="s">
        <v>2927</v>
      </c>
      <c r="BJ894" s="251" t="s">
        <v>2475</v>
      </c>
      <c r="BK894" s="251" t="s">
        <v>2928</v>
      </c>
      <c r="BL894" s="251" t="s">
        <v>375</v>
      </c>
      <c r="BQ894" s="27" t="s">
        <v>8927</v>
      </c>
      <c r="BR894" s="27" t="s">
        <v>8928</v>
      </c>
    </row>
    <row r="895" spans="2:70" ht="15">
      <c r="B895" s="84"/>
      <c r="D895" s="84"/>
      <c r="E895" s="84"/>
      <c r="F895" s="84"/>
      <c r="G895" s="84"/>
      <c r="R895" s="251"/>
      <c r="S895" s="251"/>
      <c r="BD895" s="399">
        <v>892</v>
      </c>
      <c r="BE895" s="399" t="s">
        <v>2929</v>
      </c>
      <c r="BF895" s="251" t="s">
        <v>2401</v>
      </c>
      <c r="BG895" s="399" t="s">
        <v>371</v>
      </c>
      <c r="BH895" s="252">
        <v>28</v>
      </c>
      <c r="BI895" s="251" t="s">
        <v>1295</v>
      </c>
      <c r="BJ895" s="251" t="s">
        <v>407</v>
      </c>
      <c r="BK895" s="251" t="s">
        <v>2930</v>
      </c>
      <c r="BL895" s="251" t="s">
        <v>375</v>
      </c>
      <c r="BQ895" s="27" t="s">
        <v>8929</v>
      </c>
      <c r="BR895" s="27" t="s">
        <v>7459</v>
      </c>
    </row>
    <row r="896" spans="2:70" ht="15">
      <c r="B896" s="84"/>
      <c r="D896" s="84"/>
      <c r="E896" s="84"/>
      <c r="F896" s="84"/>
      <c r="G896" s="84"/>
      <c r="R896" s="251"/>
      <c r="S896" s="251"/>
      <c r="BD896" s="399">
        <v>893</v>
      </c>
      <c r="BE896" s="399" t="s">
        <v>2931</v>
      </c>
      <c r="BF896" s="251" t="s">
        <v>2401</v>
      </c>
      <c r="BG896" s="399" t="s">
        <v>371</v>
      </c>
      <c r="BH896" s="252">
        <v>28</v>
      </c>
      <c r="BI896" s="251" t="s">
        <v>1295</v>
      </c>
      <c r="BJ896" s="251" t="s">
        <v>2159</v>
      </c>
      <c r="BK896" s="251" t="s">
        <v>2932</v>
      </c>
      <c r="BL896" s="251" t="s">
        <v>375</v>
      </c>
      <c r="BQ896" s="27" t="s">
        <v>8930</v>
      </c>
      <c r="BR896" s="27" t="s">
        <v>8931</v>
      </c>
    </row>
    <row r="897" spans="2:70" ht="15">
      <c r="B897" s="84"/>
      <c r="D897" s="84"/>
      <c r="E897" s="84"/>
      <c r="F897" s="84"/>
      <c r="G897" s="84"/>
      <c r="R897" s="251"/>
      <c r="S897" s="251"/>
      <c r="BD897" s="399">
        <v>894</v>
      </c>
      <c r="BE897" s="399" t="s">
        <v>2933</v>
      </c>
      <c r="BF897" s="251" t="s">
        <v>2401</v>
      </c>
      <c r="BG897" s="399" t="s">
        <v>371</v>
      </c>
      <c r="BH897" s="252">
        <v>28</v>
      </c>
      <c r="BI897" s="251" t="s">
        <v>635</v>
      </c>
      <c r="BJ897" s="251" t="s">
        <v>407</v>
      </c>
      <c r="BK897" s="251" t="s">
        <v>2934</v>
      </c>
      <c r="BL897" s="251" t="s">
        <v>375</v>
      </c>
      <c r="BQ897" s="27" t="s">
        <v>8932</v>
      </c>
      <c r="BR897" s="27" t="s">
        <v>7268</v>
      </c>
    </row>
    <row r="898" spans="2:70" ht="15">
      <c r="B898" s="84"/>
      <c r="D898" s="84"/>
      <c r="E898" s="84"/>
      <c r="F898" s="84"/>
      <c r="G898" s="84"/>
      <c r="R898" s="251"/>
      <c r="S898" s="251"/>
      <c r="BD898" s="399">
        <v>895</v>
      </c>
      <c r="BE898" s="399" t="s">
        <v>2935</v>
      </c>
      <c r="BF898" s="251" t="s">
        <v>2401</v>
      </c>
      <c r="BG898" s="399" t="s">
        <v>371</v>
      </c>
      <c r="BH898" s="252">
        <v>28</v>
      </c>
      <c r="BI898" s="251" t="s">
        <v>740</v>
      </c>
      <c r="BJ898" s="251" t="s">
        <v>1385</v>
      </c>
      <c r="BK898" s="251" t="s">
        <v>2936</v>
      </c>
      <c r="BL898" s="251" t="s">
        <v>375</v>
      </c>
      <c r="BQ898" s="27" t="s">
        <v>8933</v>
      </c>
      <c r="BR898" s="27" t="s">
        <v>7274</v>
      </c>
    </row>
    <row r="899" spans="2:70" ht="15">
      <c r="B899" s="84"/>
      <c r="D899" s="84"/>
      <c r="E899" s="84"/>
      <c r="F899" s="84"/>
      <c r="G899" s="84"/>
      <c r="R899" s="251"/>
      <c r="S899" s="251"/>
      <c r="BD899" s="399">
        <v>896</v>
      </c>
      <c r="BE899" s="399" t="s">
        <v>2937</v>
      </c>
      <c r="BF899" s="251" t="s">
        <v>2401</v>
      </c>
      <c r="BG899" s="399" t="s">
        <v>371</v>
      </c>
      <c r="BH899" s="252">
        <v>28</v>
      </c>
      <c r="BI899" s="251" t="s">
        <v>740</v>
      </c>
      <c r="BJ899" s="251" t="s">
        <v>2159</v>
      </c>
      <c r="BK899" s="251" t="s">
        <v>2938</v>
      </c>
      <c r="BL899" s="251" t="s">
        <v>375</v>
      </c>
      <c r="BQ899" s="27" t="s">
        <v>8724</v>
      </c>
      <c r="BR899" s="27" t="s">
        <v>7291</v>
      </c>
    </row>
    <row r="900" spans="2:70" ht="15">
      <c r="B900" s="84"/>
      <c r="D900" s="84"/>
      <c r="E900" s="84"/>
      <c r="F900" s="84"/>
      <c r="G900" s="84"/>
      <c r="R900" s="251"/>
      <c r="S900" s="251"/>
      <c r="BD900" s="399">
        <v>897</v>
      </c>
      <c r="BE900" s="399" t="s">
        <v>2939</v>
      </c>
      <c r="BF900" s="251" t="s">
        <v>2401</v>
      </c>
      <c r="BG900" s="399" t="s">
        <v>371</v>
      </c>
      <c r="BH900" s="252">
        <v>28</v>
      </c>
      <c r="BI900" s="251" t="s">
        <v>491</v>
      </c>
      <c r="BJ900" s="251" t="s">
        <v>380</v>
      </c>
      <c r="BK900" s="251" t="s">
        <v>2940</v>
      </c>
      <c r="BL900" s="251" t="s">
        <v>375</v>
      </c>
      <c r="BQ900" s="27" t="s">
        <v>8934</v>
      </c>
      <c r="BR900" s="27" t="s">
        <v>7295</v>
      </c>
    </row>
    <row r="901" spans="2:70" ht="15">
      <c r="B901" s="84"/>
      <c r="D901" s="84"/>
      <c r="E901" s="84"/>
      <c r="F901" s="84"/>
      <c r="G901" s="84"/>
      <c r="R901" s="251"/>
      <c r="S901" s="251"/>
      <c r="BD901" s="399">
        <v>898</v>
      </c>
      <c r="BE901" s="399" t="s">
        <v>1869</v>
      </c>
      <c r="BF901" s="251" t="s">
        <v>2401</v>
      </c>
      <c r="BG901" s="399" t="s">
        <v>371</v>
      </c>
      <c r="BH901" s="252">
        <v>28</v>
      </c>
      <c r="BI901" s="251" t="s">
        <v>491</v>
      </c>
      <c r="BJ901" s="251" t="s">
        <v>407</v>
      </c>
      <c r="BK901" s="251" t="s">
        <v>1871</v>
      </c>
      <c r="BL901" s="251" t="s">
        <v>375</v>
      </c>
      <c r="BQ901" s="27" t="s">
        <v>8935</v>
      </c>
      <c r="BR901" s="27" t="s">
        <v>7301</v>
      </c>
    </row>
    <row r="902" spans="2:70" ht="15">
      <c r="B902" s="84"/>
      <c r="D902" s="84"/>
      <c r="E902" s="84"/>
      <c r="F902" s="84"/>
      <c r="G902" s="84"/>
      <c r="R902" s="251"/>
      <c r="S902" s="251"/>
      <c r="BD902" s="399">
        <v>899</v>
      </c>
      <c r="BE902" s="399" t="s">
        <v>2941</v>
      </c>
      <c r="BF902" s="251" t="s">
        <v>2401</v>
      </c>
      <c r="BG902" s="399" t="s">
        <v>371</v>
      </c>
      <c r="BH902" s="252">
        <v>28</v>
      </c>
      <c r="BI902" s="251" t="s">
        <v>477</v>
      </c>
      <c r="BJ902" s="251" t="s">
        <v>366</v>
      </c>
      <c r="BK902" s="251" t="s">
        <v>2942</v>
      </c>
      <c r="BL902" s="251" t="s">
        <v>375</v>
      </c>
      <c r="BQ902" s="27" t="s">
        <v>8538</v>
      </c>
      <c r="BR902" s="27" t="s">
        <v>7309</v>
      </c>
    </row>
    <row r="903" spans="2:70" ht="15">
      <c r="B903" s="84"/>
      <c r="D903" s="84"/>
      <c r="E903" s="84"/>
      <c r="F903" s="84"/>
      <c r="G903" s="84"/>
      <c r="R903" s="251"/>
      <c r="S903" s="251"/>
      <c r="BD903" s="399">
        <v>900</v>
      </c>
      <c r="BE903" s="399" t="s">
        <v>2943</v>
      </c>
      <c r="BF903" s="251" t="s">
        <v>2401</v>
      </c>
      <c r="BG903" s="399" t="s">
        <v>371</v>
      </c>
      <c r="BH903" s="252">
        <v>28</v>
      </c>
      <c r="BI903" s="251" t="s">
        <v>728</v>
      </c>
      <c r="BJ903" s="251" t="s">
        <v>380</v>
      </c>
      <c r="BK903" s="251" t="s">
        <v>2944</v>
      </c>
      <c r="BL903" s="251" t="s">
        <v>375</v>
      </c>
      <c r="BQ903" s="27" t="s">
        <v>8936</v>
      </c>
      <c r="BR903" s="27" t="s">
        <v>8937</v>
      </c>
    </row>
    <row r="904" spans="2:70" ht="15">
      <c r="B904" s="84"/>
      <c r="D904" s="84"/>
      <c r="E904" s="84"/>
      <c r="F904" s="84"/>
      <c r="G904" s="84"/>
      <c r="R904" s="251"/>
      <c r="S904" s="251"/>
      <c r="BD904" s="399">
        <v>901</v>
      </c>
      <c r="BE904" s="399" t="s">
        <v>2945</v>
      </c>
      <c r="BF904" s="251" t="s">
        <v>2401</v>
      </c>
      <c r="BG904" s="399" t="s">
        <v>371</v>
      </c>
      <c r="BH904" s="252">
        <v>28</v>
      </c>
      <c r="BI904" s="251" t="s">
        <v>728</v>
      </c>
      <c r="BJ904" s="251" t="s">
        <v>2159</v>
      </c>
      <c r="BK904" s="251" t="s">
        <v>2946</v>
      </c>
      <c r="BL904" s="251" t="s">
        <v>375</v>
      </c>
      <c r="BQ904" s="27" t="s">
        <v>8938</v>
      </c>
      <c r="BR904" s="27" t="s">
        <v>7388</v>
      </c>
    </row>
    <row r="905" spans="2:70" ht="15">
      <c r="B905" s="84"/>
      <c r="D905" s="84"/>
      <c r="E905" s="84"/>
      <c r="F905" s="84"/>
      <c r="G905" s="84"/>
      <c r="R905" s="251"/>
      <c r="S905" s="251"/>
      <c r="BD905" s="399">
        <v>902</v>
      </c>
      <c r="BE905" s="399" t="s">
        <v>2947</v>
      </c>
      <c r="BF905" s="251" t="s">
        <v>2401</v>
      </c>
      <c r="BG905" s="399" t="s">
        <v>371</v>
      </c>
      <c r="BH905" s="252">
        <v>28</v>
      </c>
      <c r="BI905" s="251" t="s">
        <v>535</v>
      </c>
      <c r="BJ905" s="251" t="s">
        <v>380</v>
      </c>
      <c r="BK905" s="251" t="s">
        <v>2948</v>
      </c>
      <c r="BL905" s="251" t="s">
        <v>375</v>
      </c>
      <c r="BQ905" s="27" t="s">
        <v>8939</v>
      </c>
      <c r="BR905" s="27" t="s">
        <v>8940</v>
      </c>
    </row>
    <row r="906" spans="2:70" ht="15">
      <c r="B906" s="84"/>
      <c r="D906" s="84"/>
      <c r="E906" s="84"/>
      <c r="F906" s="84"/>
      <c r="G906" s="84"/>
      <c r="R906" s="251"/>
      <c r="S906" s="251"/>
      <c r="BD906" s="399">
        <v>903</v>
      </c>
      <c r="BE906" s="399" t="s">
        <v>2949</v>
      </c>
      <c r="BF906" s="251" t="s">
        <v>2401</v>
      </c>
      <c r="BG906" s="399" t="s">
        <v>371</v>
      </c>
      <c r="BH906" s="252">
        <v>28</v>
      </c>
      <c r="BI906" s="251" t="s">
        <v>535</v>
      </c>
      <c r="BJ906" s="251" t="s">
        <v>407</v>
      </c>
      <c r="BK906" s="251" t="s">
        <v>2950</v>
      </c>
      <c r="BL906" s="251" t="s">
        <v>375</v>
      </c>
      <c r="BQ906" s="27" t="s">
        <v>8941</v>
      </c>
      <c r="BR906" s="27" t="s">
        <v>8942</v>
      </c>
    </row>
    <row r="907" spans="2:70" ht="15">
      <c r="B907" s="84"/>
      <c r="D907" s="84"/>
      <c r="E907" s="84"/>
      <c r="F907" s="84"/>
      <c r="G907" s="84"/>
      <c r="R907" s="251"/>
      <c r="S907" s="251"/>
      <c r="BD907" s="399">
        <v>904</v>
      </c>
      <c r="BE907" s="399" t="s">
        <v>2951</v>
      </c>
      <c r="BF907" s="251" t="s">
        <v>2401</v>
      </c>
      <c r="BG907" s="399" t="s">
        <v>519</v>
      </c>
      <c r="BH907" s="252">
        <v>30</v>
      </c>
      <c r="BI907" s="251" t="s">
        <v>331</v>
      </c>
      <c r="BJ907" s="251" t="s">
        <v>2159</v>
      </c>
      <c r="BK907" s="251" t="s">
        <v>2952</v>
      </c>
      <c r="BL907" s="251" t="s">
        <v>521</v>
      </c>
      <c r="BQ907" s="27" t="s">
        <v>8943</v>
      </c>
      <c r="BR907" s="27" t="s">
        <v>8944</v>
      </c>
    </row>
    <row r="908" spans="2:70" ht="15">
      <c r="B908" s="84"/>
      <c r="D908" s="84"/>
      <c r="E908" s="84"/>
      <c r="F908" s="84"/>
      <c r="G908" s="84"/>
      <c r="R908" s="251"/>
      <c r="S908" s="251"/>
      <c r="BD908" s="399">
        <v>905</v>
      </c>
      <c r="BE908" s="399" t="s">
        <v>2953</v>
      </c>
      <c r="BF908" s="251" t="s">
        <v>2401</v>
      </c>
      <c r="BG908" s="399" t="s">
        <v>519</v>
      </c>
      <c r="BH908" s="252">
        <v>30</v>
      </c>
      <c r="BI908" s="251" t="s">
        <v>332</v>
      </c>
      <c r="BJ908" s="251" t="s">
        <v>397</v>
      </c>
      <c r="BK908" s="251" t="s">
        <v>2954</v>
      </c>
      <c r="BL908" s="251" t="s">
        <v>521</v>
      </c>
      <c r="BQ908" s="27" t="s">
        <v>8935</v>
      </c>
      <c r="BR908" s="27" t="s">
        <v>7301</v>
      </c>
    </row>
    <row r="909" spans="2:70" ht="15">
      <c r="B909" s="84"/>
      <c r="D909" s="84"/>
      <c r="E909" s="84"/>
      <c r="F909" s="84"/>
      <c r="G909" s="84"/>
      <c r="R909" s="251"/>
      <c r="S909" s="251"/>
      <c r="BD909" s="399">
        <v>906</v>
      </c>
      <c r="BE909" s="399" t="s">
        <v>2955</v>
      </c>
      <c r="BF909" s="251" t="s">
        <v>2401</v>
      </c>
      <c r="BG909" s="399" t="s">
        <v>519</v>
      </c>
      <c r="BH909" s="252">
        <v>30</v>
      </c>
      <c r="BI909" s="251" t="s">
        <v>333</v>
      </c>
      <c r="BJ909" s="251" t="s">
        <v>2159</v>
      </c>
      <c r="BK909" s="251" t="s">
        <v>2956</v>
      </c>
      <c r="BL909" s="251" t="s">
        <v>521</v>
      </c>
      <c r="BQ909" s="27" t="s">
        <v>8945</v>
      </c>
      <c r="BR909" s="27" t="s">
        <v>8946</v>
      </c>
    </row>
    <row r="910" spans="2:70" ht="15">
      <c r="B910" s="84"/>
      <c r="D910" s="84"/>
      <c r="E910" s="84"/>
      <c r="F910" s="84"/>
      <c r="G910" s="84"/>
      <c r="R910" s="251"/>
      <c r="S910" s="251"/>
      <c r="BD910" s="399">
        <v>907</v>
      </c>
      <c r="BE910" s="399" t="s">
        <v>2957</v>
      </c>
      <c r="BF910" s="251" t="s">
        <v>2401</v>
      </c>
      <c r="BG910" s="399" t="s">
        <v>519</v>
      </c>
      <c r="BH910" s="252">
        <v>30</v>
      </c>
      <c r="BI910" s="251" t="s">
        <v>798</v>
      </c>
      <c r="BJ910" s="251" t="s">
        <v>407</v>
      </c>
      <c r="BK910" s="251" t="s">
        <v>2958</v>
      </c>
      <c r="BL910" s="251" t="s">
        <v>521</v>
      </c>
      <c r="BQ910" s="27" t="s">
        <v>8431</v>
      </c>
      <c r="BR910" s="27" t="s">
        <v>7392</v>
      </c>
    </row>
    <row r="911" spans="2:70" ht="15">
      <c r="B911" s="84"/>
      <c r="D911" s="84"/>
      <c r="E911" s="84"/>
      <c r="F911" s="84"/>
      <c r="G911" s="84"/>
      <c r="R911" s="251"/>
      <c r="S911" s="251"/>
      <c r="BD911" s="399">
        <v>908</v>
      </c>
      <c r="BE911" s="399" t="s">
        <v>2959</v>
      </c>
      <c r="BF911" s="251" t="s">
        <v>2401</v>
      </c>
      <c r="BG911" s="399" t="s">
        <v>519</v>
      </c>
      <c r="BH911" s="252">
        <v>30</v>
      </c>
      <c r="BI911" s="251" t="s">
        <v>524</v>
      </c>
      <c r="BJ911" s="251" t="s">
        <v>413</v>
      </c>
      <c r="BK911" s="251" t="s">
        <v>2960</v>
      </c>
      <c r="BL911" s="251" t="s">
        <v>521</v>
      </c>
      <c r="BQ911" s="27" t="s">
        <v>8947</v>
      </c>
      <c r="BR911" s="27" t="s">
        <v>8948</v>
      </c>
    </row>
    <row r="912" spans="2:70" ht="15">
      <c r="B912" s="84"/>
      <c r="D912" s="84"/>
      <c r="E912" s="84"/>
      <c r="F912" s="84"/>
      <c r="G912" s="84"/>
      <c r="R912" s="251"/>
      <c r="S912" s="251"/>
      <c r="BD912" s="399">
        <v>909</v>
      </c>
      <c r="BE912" s="399" t="s">
        <v>2961</v>
      </c>
      <c r="BF912" s="251" t="s">
        <v>2401</v>
      </c>
      <c r="BG912" s="399" t="s">
        <v>519</v>
      </c>
      <c r="BH912" s="252">
        <v>30</v>
      </c>
      <c r="BI912" s="251" t="s">
        <v>740</v>
      </c>
      <c r="BJ912" s="251" t="s">
        <v>413</v>
      </c>
      <c r="BK912" s="251" t="s">
        <v>2962</v>
      </c>
      <c r="BL912" s="251" t="s">
        <v>521</v>
      </c>
      <c r="BQ912" s="27" t="s">
        <v>8949</v>
      </c>
      <c r="BR912" s="27" t="s">
        <v>7448</v>
      </c>
    </row>
    <row r="913" spans="2:70" ht="15">
      <c r="B913" s="84"/>
      <c r="D913" s="84"/>
      <c r="E913" s="84"/>
      <c r="F913" s="84"/>
      <c r="G913" s="84"/>
      <c r="R913" s="251"/>
      <c r="S913" s="251"/>
      <c r="BD913" s="399">
        <v>910</v>
      </c>
      <c r="BE913" s="399" t="s">
        <v>2963</v>
      </c>
      <c r="BF913" s="251" t="s">
        <v>2401</v>
      </c>
      <c r="BG913" s="399" t="s">
        <v>519</v>
      </c>
      <c r="BH913" s="252">
        <v>30</v>
      </c>
      <c r="BI913" s="251" t="s">
        <v>379</v>
      </c>
      <c r="BJ913" s="251" t="s">
        <v>1855</v>
      </c>
      <c r="BK913" s="251" t="s">
        <v>2964</v>
      </c>
      <c r="BL913" s="251" t="s">
        <v>521</v>
      </c>
      <c r="BQ913" s="27" t="s">
        <v>8433</v>
      </c>
      <c r="BR913" s="27" t="s">
        <v>7465</v>
      </c>
    </row>
    <row r="914" spans="2:70" ht="15">
      <c r="B914" s="84"/>
      <c r="D914" s="84"/>
      <c r="E914" s="84"/>
      <c r="F914" s="84"/>
      <c r="G914" s="84"/>
      <c r="R914" s="251"/>
      <c r="S914" s="251"/>
      <c r="BD914" s="399">
        <v>911</v>
      </c>
      <c r="BE914" s="399" t="s">
        <v>2965</v>
      </c>
      <c r="BF914" s="251" t="s">
        <v>2401</v>
      </c>
      <c r="BG914" s="399" t="s">
        <v>519</v>
      </c>
      <c r="BH914" s="252">
        <v>30</v>
      </c>
      <c r="BI914" s="251" t="s">
        <v>491</v>
      </c>
      <c r="BJ914" s="251" t="s">
        <v>397</v>
      </c>
      <c r="BK914" s="251" t="s">
        <v>2966</v>
      </c>
      <c r="BL914" s="251" t="s">
        <v>521</v>
      </c>
      <c r="BQ914" s="27" t="s">
        <v>8434</v>
      </c>
      <c r="BR914" s="27" t="s">
        <v>7460</v>
      </c>
    </row>
    <row r="915" spans="2:70" ht="15">
      <c r="B915" s="84"/>
      <c r="D915" s="84"/>
      <c r="E915" s="84"/>
      <c r="F915" s="84"/>
      <c r="G915" s="84"/>
      <c r="R915" s="251"/>
      <c r="S915" s="251"/>
      <c r="BD915" s="399">
        <v>912</v>
      </c>
      <c r="BE915" s="399" t="s">
        <v>2967</v>
      </c>
      <c r="BF915" s="251" t="s">
        <v>2401</v>
      </c>
      <c r="BG915" s="399" t="s">
        <v>519</v>
      </c>
      <c r="BH915" s="252">
        <v>30</v>
      </c>
      <c r="BI915" s="251" t="s">
        <v>397</v>
      </c>
      <c r="BJ915" s="251" t="s">
        <v>351</v>
      </c>
      <c r="BK915" s="251" t="s">
        <v>2968</v>
      </c>
      <c r="BL915" s="251" t="s">
        <v>521</v>
      </c>
      <c r="BQ915" s="27" t="s">
        <v>8950</v>
      </c>
      <c r="BR915" s="27" t="s">
        <v>8951</v>
      </c>
    </row>
    <row r="916" spans="2:70" ht="15">
      <c r="B916" s="84"/>
      <c r="D916" s="84"/>
      <c r="E916" s="84"/>
      <c r="F916" s="84"/>
      <c r="G916" s="84"/>
      <c r="R916" s="251"/>
      <c r="S916" s="251"/>
      <c r="BD916" s="399">
        <v>913</v>
      </c>
      <c r="BE916" s="399" t="s">
        <v>2969</v>
      </c>
      <c r="BF916" s="251" t="s">
        <v>2401</v>
      </c>
      <c r="BG916" s="399" t="s">
        <v>519</v>
      </c>
      <c r="BH916" s="252">
        <v>30</v>
      </c>
      <c r="BI916" s="251" t="s">
        <v>450</v>
      </c>
      <c r="BJ916" s="251" t="s">
        <v>1855</v>
      </c>
      <c r="BK916" s="251" t="s">
        <v>2970</v>
      </c>
      <c r="BL916" s="251" t="s">
        <v>521</v>
      </c>
      <c r="BQ916" s="27" t="s">
        <v>8952</v>
      </c>
      <c r="BR916" s="27" t="s">
        <v>7477</v>
      </c>
    </row>
    <row r="917" spans="2:70" ht="15">
      <c r="B917" s="84"/>
      <c r="D917" s="84"/>
      <c r="E917" s="84"/>
      <c r="F917" s="84"/>
      <c r="G917" s="84"/>
      <c r="R917" s="251"/>
      <c r="S917" s="251"/>
      <c r="BD917" s="399">
        <v>914</v>
      </c>
      <c r="BE917" s="399" t="s">
        <v>2971</v>
      </c>
      <c r="BF917" s="251" t="s">
        <v>2401</v>
      </c>
      <c r="BG917" s="399" t="s">
        <v>519</v>
      </c>
      <c r="BH917" s="252">
        <v>30</v>
      </c>
      <c r="BI917" s="251" t="s">
        <v>2159</v>
      </c>
      <c r="BJ917" s="251" t="s">
        <v>539</v>
      </c>
      <c r="BK917" s="251" t="s">
        <v>2972</v>
      </c>
      <c r="BL917" s="251" t="s">
        <v>521</v>
      </c>
      <c r="BQ917" s="27" t="s">
        <v>8437</v>
      </c>
      <c r="BR917" s="27" t="s">
        <v>7488</v>
      </c>
    </row>
    <row r="918" spans="2:70" ht="15">
      <c r="B918" s="84"/>
      <c r="D918" s="84"/>
      <c r="E918" s="84"/>
      <c r="F918" s="84"/>
      <c r="G918" s="84"/>
      <c r="R918" s="251"/>
      <c r="S918" s="251"/>
      <c r="BD918" s="399">
        <v>915</v>
      </c>
      <c r="BE918" s="399" t="s">
        <v>2973</v>
      </c>
      <c r="BF918" s="251" t="s">
        <v>2401</v>
      </c>
      <c r="BG918" s="399" t="s">
        <v>455</v>
      </c>
      <c r="BH918" s="252">
        <v>35</v>
      </c>
      <c r="BI918" s="251" t="s">
        <v>334</v>
      </c>
      <c r="BJ918" s="251" t="s">
        <v>380</v>
      </c>
      <c r="BK918" s="251" t="s">
        <v>2974</v>
      </c>
      <c r="BL918" s="251" t="s">
        <v>458</v>
      </c>
      <c r="BQ918" s="27" t="s">
        <v>8953</v>
      </c>
      <c r="BR918" s="27" t="s">
        <v>8954</v>
      </c>
    </row>
    <row r="919" spans="2:70" ht="15">
      <c r="B919" s="84"/>
      <c r="D919" s="84"/>
      <c r="E919" s="84"/>
      <c r="F919" s="84"/>
      <c r="G919" s="84"/>
      <c r="R919" s="251"/>
      <c r="S919" s="251"/>
      <c r="BD919" s="399">
        <v>916</v>
      </c>
      <c r="BE919" s="399" t="s">
        <v>2975</v>
      </c>
      <c r="BF919" s="251" t="s">
        <v>2401</v>
      </c>
      <c r="BG919" s="399" t="s">
        <v>455</v>
      </c>
      <c r="BH919" s="252">
        <v>35</v>
      </c>
      <c r="BI919" s="251" t="s">
        <v>2478</v>
      </c>
      <c r="BJ919" s="251" t="s">
        <v>413</v>
      </c>
      <c r="BK919" s="251" t="s">
        <v>2976</v>
      </c>
      <c r="BL919" s="251" t="s">
        <v>458</v>
      </c>
      <c r="BQ919" s="27" t="s">
        <v>8955</v>
      </c>
      <c r="BR919" s="27" t="s">
        <v>8956</v>
      </c>
    </row>
    <row r="920" spans="2:70" ht="15">
      <c r="B920" s="84"/>
      <c r="D920" s="84"/>
      <c r="E920" s="84"/>
      <c r="F920" s="84"/>
      <c r="G920" s="84"/>
      <c r="R920" s="251"/>
      <c r="S920" s="251"/>
      <c r="BD920" s="399">
        <v>917</v>
      </c>
      <c r="BE920" s="399" t="s">
        <v>2977</v>
      </c>
      <c r="BF920" s="251" t="s">
        <v>2401</v>
      </c>
      <c r="BG920" s="399" t="s">
        <v>455</v>
      </c>
      <c r="BH920" s="252">
        <v>35</v>
      </c>
      <c r="BI920" s="251" t="s">
        <v>524</v>
      </c>
      <c r="BJ920" s="251" t="s">
        <v>380</v>
      </c>
      <c r="BK920" s="251" t="s">
        <v>2978</v>
      </c>
      <c r="BL920" s="251" t="s">
        <v>458</v>
      </c>
      <c r="BQ920" s="27" t="s">
        <v>8957</v>
      </c>
      <c r="BR920" s="27" t="s">
        <v>8958</v>
      </c>
    </row>
    <row r="921" spans="2:70" ht="15">
      <c r="B921" s="84"/>
      <c r="D921" s="84"/>
      <c r="E921" s="84"/>
      <c r="F921" s="84"/>
      <c r="G921" s="84"/>
      <c r="R921" s="251"/>
      <c r="S921" s="251"/>
      <c r="BD921" s="399">
        <v>918</v>
      </c>
      <c r="BE921" s="399" t="s">
        <v>2979</v>
      </c>
      <c r="BF921" s="251" t="s">
        <v>2401</v>
      </c>
      <c r="BG921" s="399" t="s">
        <v>455</v>
      </c>
      <c r="BH921" s="252">
        <v>35</v>
      </c>
      <c r="BI921" s="251" t="s">
        <v>524</v>
      </c>
      <c r="BJ921" s="251" t="s">
        <v>2460</v>
      </c>
      <c r="BK921" s="251" t="s">
        <v>2980</v>
      </c>
      <c r="BL921" s="251" t="s">
        <v>458</v>
      </c>
      <c r="BQ921" s="27" t="s">
        <v>8959</v>
      </c>
      <c r="BR921" s="27" t="s">
        <v>8960</v>
      </c>
    </row>
    <row r="922" spans="2:70" ht="15">
      <c r="B922" s="84"/>
      <c r="D922" s="84"/>
      <c r="E922" s="84"/>
      <c r="F922" s="84"/>
      <c r="G922" s="84"/>
      <c r="R922" s="251"/>
      <c r="S922" s="251"/>
      <c r="BD922" s="399">
        <v>919</v>
      </c>
      <c r="BE922" s="399" t="s">
        <v>2981</v>
      </c>
      <c r="BF922" s="251" t="s">
        <v>2401</v>
      </c>
      <c r="BG922" s="399" t="s">
        <v>455</v>
      </c>
      <c r="BH922" s="252">
        <v>35</v>
      </c>
      <c r="BI922" s="251" t="s">
        <v>740</v>
      </c>
      <c r="BJ922" s="251" t="s">
        <v>413</v>
      </c>
      <c r="BK922" s="251" t="s">
        <v>2982</v>
      </c>
      <c r="BL922" s="251" t="s">
        <v>458</v>
      </c>
      <c r="BQ922" s="27" t="s">
        <v>8961</v>
      </c>
      <c r="BR922" s="27" t="s">
        <v>7266</v>
      </c>
    </row>
    <row r="923" spans="2:70" ht="15">
      <c r="B923" s="84"/>
      <c r="D923" s="84"/>
      <c r="E923" s="84"/>
      <c r="F923" s="84"/>
      <c r="G923" s="84"/>
      <c r="R923" s="251"/>
      <c r="S923" s="251"/>
      <c r="BD923" s="399">
        <v>920</v>
      </c>
      <c r="BE923" s="399" t="s">
        <v>2983</v>
      </c>
      <c r="BF923" s="251" t="s">
        <v>2401</v>
      </c>
      <c r="BG923" s="399" t="s">
        <v>455</v>
      </c>
      <c r="BH923" s="252">
        <v>35</v>
      </c>
      <c r="BI923" s="251" t="s">
        <v>491</v>
      </c>
      <c r="BJ923" s="251" t="s">
        <v>413</v>
      </c>
      <c r="BK923" s="251" t="s">
        <v>2984</v>
      </c>
      <c r="BL923" s="251" t="s">
        <v>458</v>
      </c>
      <c r="BQ923" s="27" t="s">
        <v>8962</v>
      </c>
      <c r="BR923" s="27" t="s">
        <v>8963</v>
      </c>
    </row>
    <row r="924" spans="2:70" ht="15">
      <c r="B924" s="84"/>
      <c r="D924" s="84"/>
      <c r="E924" s="84"/>
      <c r="F924" s="84"/>
      <c r="G924" s="84"/>
      <c r="R924" s="251"/>
      <c r="S924" s="251"/>
      <c r="BD924" s="399">
        <v>921</v>
      </c>
      <c r="BE924" s="399" t="s">
        <v>2985</v>
      </c>
      <c r="BF924" s="251" t="s">
        <v>2401</v>
      </c>
      <c r="BG924" s="399" t="s">
        <v>455</v>
      </c>
      <c r="BH924" s="252">
        <v>35</v>
      </c>
      <c r="BI924" s="251" t="s">
        <v>535</v>
      </c>
      <c r="BJ924" s="251" t="s">
        <v>407</v>
      </c>
      <c r="BK924" s="251" t="s">
        <v>2986</v>
      </c>
      <c r="BL924" s="251" t="s">
        <v>458</v>
      </c>
      <c r="BQ924" s="27" t="s">
        <v>8786</v>
      </c>
      <c r="BR924" s="27" t="s">
        <v>7285</v>
      </c>
    </row>
    <row r="925" spans="2:70" ht="15">
      <c r="B925" s="84"/>
      <c r="D925" s="84"/>
      <c r="E925" s="84"/>
      <c r="F925" s="84"/>
      <c r="G925" s="84"/>
      <c r="R925" s="251"/>
      <c r="S925" s="251"/>
      <c r="BD925" s="399">
        <v>922</v>
      </c>
      <c r="BE925" s="399" t="s">
        <v>2987</v>
      </c>
      <c r="BF925" s="251" t="s">
        <v>2401</v>
      </c>
      <c r="BG925" s="399" t="s">
        <v>614</v>
      </c>
      <c r="BH925" s="252">
        <v>38</v>
      </c>
      <c r="BI925" s="251" t="s">
        <v>332</v>
      </c>
      <c r="BJ925" s="251" t="s">
        <v>385</v>
      </c>
      <c r="BK925" s="251" t="s">
        <v>2988</v>
      </c>
      <c r="BL925" s="251" t="s">
        <v>617</v>
      </c>
      <c r="BQ925" s="27" t="s">
        <v>8964</v>
      </c>
      <c r="BR925" s="27" t="s">
        <v>8965</v>
      </c>
    </row>
    <row r="926" spans="2:70" ht="15">
      <c r="B926" s="84"/>
      <c r="D926" s="84"/>
      <c r="E926" s="84"/>
      <c r="F926" s="84"/>
      <c r="G926" s="84"/>
      <c r="R926" s="251"/>
      <c r="S926" s="251"/>
      <c r="BD926" s="399">
        <v>923</v>
      </c>
      <c r="BE926" s="399" t="s">
        <v>2989</v>
      </c>
      <c r="BF926" s="251" t="s">
        <v>2401</v>
      </c>
      <c r="BG926" s="399" t="s">
        <v>614</v>
      </c>
      <c r="BH926" s="252">
        <v>38</v>
      </c>
      <c r="BI926" s="251" t="s">
        <v>334</v>
      </c>
      <c r="BJ926" s="251" t="s">
        <v>778</v>
      </c>
      <c r="BK926" s="251" t="s">
        <v>2990</v>
      </c>
      <c r="BL926" s="251" t="s">
        <v>617</v>
      </c>
      <c r="BQ926" s="27" t="s">
        <v>8966</v>
      </c>
      <c r="BR926" s="27" t="s">
        <v>8967</v>
      </c>
    </row>
    <row r="927" spans="2:70" ht="15">
      <c r="B927" s="84"/>
      <c r="D927" s="84"/>
      <c r="E927" s="84"/>
      <c r="F927" s="84"/>
      <c r="G927" s="84"/>
      <c r="R927" s="251"/>
      <c r="S927" s="251"/>
      <c r="BD927" s="399">
        <v>924</v>
      </c>
      <c r="BE927" s="399" t="s">
        <v>2991</v>
      </c>
      <c r="BF927" s="251" t="s">
        <v>2401</v>
      </c>
      <c r="BG927" s="399" t="s">
        <v>614</v>
      </c>
      <c r="BH927" s="252">
        <v>38</v>
      </c>
      <c r="BI927" s="251" t="s">
        <v>334</v>
      </c>
      <c r="BJ927" s="251" t="s">
        <v>2159</v>
      </c>
      <c r="BK927" s="251" t="s">
        <v>2992</v>
      </c>
      <c r="BL927" s="251" t="s">
        <v>617</v>
      </c>
      <c r="BQ927" s="27" t="s">
        <v>8968</v>
      </c>
      <c r="BR927" s="27" t="s">
        <v>7304</v>
      </c>
    </row>
    <row r="928" spans="2:70" ht="15">
      <c r="B928" s="84"/>
      <c r="D928" s="84"/>
      <c r="E928" s="84"/>
      <c r="F928" s="84"/>
      <c r="G928" s="84"/>
      <c r="R928" s="251"/>
      <c r="S928" s="251"/>
      <c r="BD928" s="399">
        <v>925</v>
      </c>
      <c r="BE928" s="399" t="s">
        <v>2993</v>
      </c>
      <c r="BF928" s="251" t="s">
        <v>2401</v>
      </c>
      <c r="BG928" s="399" t="s">
        <v>614</v>
      </c>
      <c r="BH928" s="252">
        <v>38</v>
      </c>
      <c r="BI928" s="251" t="s">
        <v>524</v>
      </c>
      <c r="BJ928" s="251" t="s">
        <v>413</v>
      </c>
      <c r="BK928" s="251" t="s">
        <v>2994</v>
      </c>
      <c r="BL928" s="251" t="s">
        <v>617</v>
      </c>
      <c r="BQ928" s="27" t="s">
        <v>8969</v>
      </c>
      <c r="BR928" s="27" t="s">
        <v>7305</v>
      </c>
    </row>
    <row r="929" spans="2:70" ht="15">
      <c r="B929" s="84"/>
      <c r="D929" s="84"/>
      <c r="E929" s="84"/>
      <c r="F929" s="84"/>
      <c r="G929" s="84"/>
      <c r="R929" s="251"/>
      <c r="S929" s="251"/>
      <c r="BD929" s="399">
        <v>926</v>
      </c>
      <c r="BE929" s="399" t="s">
        <v>2995</v>
      </c>
      <c r="BF929" s="251" t="s">
        <v>2401</v>
      </c>
      <c r="BG929" s="399" t="s">
        <v>389</v>
      </c>
      <c r="BH929" s="252">
        <v>39</v>
      </c>
      <c r="BI929" s="251" t="s">
        <v>331</v>
      </c>
      <c r="BJ929" s="251" t="s">
        <v>2159</v>
      </c>
      <c r="BK929" s="251" t="s">
        <v>2996</v>
      </c>
      <c r="BL929" s="251" t="s">
        <v>392</v>
      </c>
      <c r="BQ929" s="27" t="s">
        <v>8970</v>
      </c>
      <c r="BR929" s="27" t="s">
        <v>7308</v>
      </c>
    </row>
    <row r="930" spans="2:70" ht="15">
      <c r="B930" s="84"/>
      <c r="D930" s="84"/>
      <c r="E930" s="84"/>
      <c r="F930" s="84"/>
      <c r="G930" s="84"/>
      <c r="R930" s="251"/>
      <c r="S930" s="251"/>
      <c r="BD930" s="399">
        <v>927</v>
      </c>
      <c r="BE930" s="399" t="s">
        <v>2997</v>
      </c>
      <c r="BF930" s="251" t="s">
        <v>2401</v>
      </c>
      <c r="BG930" s="399" t="s">
        <v>389</v>
      </c>
      <c r="BH930" s="252">
        <v>39</v>
      </c>
      <c r="BI930" s="251" t="s">
        <v>333</v>
      </c>
      <c r="BJ930" s="251" t="s">
        <v>407</v>
      </c>
      <c r="BK930" s="251" t="s">
        <v>2998</v>
      </c>
      <c r="BL930" s="251" t="s">
        <v>392</v>
      </c>
      <c r="BQ930" s="27" t="s">
        <v>8971</v>
      </c>
      <c r="BR930" s="27" t="s">
        <v>8972</v>
      </c>
    </row>
    <row r="931" spans="2:70" ht="15">
      <c r="B931" s="84"/>
      <c r="D931" s="84"/>
      <c r="E931" s="84"/>
      <c r="F931" s="84"/>
      <c r="G931" s="84"/>
      <c r="R931" s="251"/>
      <c r="S931" s="251"/>
      <c r="BD931" s="399">
        <v>928</v>
      </c>
      <c r="BE931" s="399" t="s">
        <v>2999</v>
      </c>
      <c r="BF931" s="251" t="s">
        <v>2401</v>
      </c>
      <c r="BG931" s="399" t="s">
        <v>389</v>
      </c>
      <c r="BH931" s="252">
        <v>39</v>
      </c>
      <c r="BI931" s="251" t="s">
        <v>407</v>
      </c>
      <c r="BJ931" s="251" t="s">
        <v>539</v>
      </c>
      <c r="BK931" s="251" t="s">
        <v>3000</v>
      </c>
      <c r="BL931" s="251" t="s">
        <v>392</v>
      </c>
      <c r="BQ931" s="27" t="s">
        <v>8973</v>
      </c>
      <c r="BR931" s="27" t="s">
        <v>7324</v>
      </c>
    </row>
    <row r="932" spans="2:70" ht="15">
      <c r="B932" s="84"/>
      <c r="D932" s="84"/>
      <c r="E932" s="84"/>
      <c r="F932" s="84"/>
      <c r="G932" s="84"/>
      <c r="R932" s="251"/>
      <c r="S932" s="251"/>
      <c r="BD932" s="399">
        <v>929</v>
      </c>
      <c r="BE932" s="399" t="s">
        <v>3001</v>
      </c>
      <c r="BF932" s="251" t="s">
        <v>2401</v>
      </c>
      <c r="BG932" s="399" t="s">
        <v>389</v>
      </c>
      <c r="BH932" s="252">
        <v>39</v>
      </c>
      <c r="BI932" s="251" t="s">
        <v>3002</v>
      </c>
      <c r="BJ932" s="251" t="s">
        <v>1385</v>
      </c>
      <c r="BK932" s="251" t="s">
        <v>3003</v>
      </c>
      <c r="BL932" s="251" t="s">
        <v>392</v>
      </c>
      <c r="BQ932" s="27" t="s">
        <v>8424</v>
      </c>
      <c r="BR932" s="27" t="s">
        <v>8425</v>
      </c>
    </row>
    <row r="933" spans="2:70" ht="15">
      <c r="B933" s="84"/>
      <c r="D933" s="84"/>
      <c r="E933" s="84"/>
      <c r="F933" s="84"/>
      <c r="G933" s="84"/>
      <c r="R933" s="251"/>
      <c r="S933" s="251"/>
      <c r="BD933" s="399">
        <v>930</v>
      </c>
      <c r="BE933" s="399" t="s">
        <v>3004</v>
      </c>
      <c r="BF933" s="251" t="s">
        <v>2401</v>
      </c>
      <c r="BG933" s="399" t="s">
        <v>389</v>
      </c>
      <c r="BH933" s="252">
        <v>39</v>
      </c>
      <c r="BI933" s="251" t="s">
        <v>615</v>
      </c>
      <c r="BJ933" s="251" t="s">
        <v>380</v>
      </c>
      <c r="BK933" s="251" t="s">
        <v>3005</v>
      </c>
      <c r="BL933" s="251" t="s">
        <v>392</v>
      </c>
      <c r="BQ933" s="27" t="s">
        <v>8974</v>
      </c>
      <c r="BR933" s="27" t="s">
        <v>8975</v>
      </c>
    </row>
    <row r="934" spans="2:70" ht="15">
      <c r="B934" s="84"/>
      <c r="D934" s="84"/>
      <c r="E934" s="84"/>
      <c r="F934" s="84"/>
      <c r="G934" s="84"/>
      <c r="R934" s="251"/>
      <c r="S934" s="251"/>
      <c r="BD934" s="399">
        <v>931</v>
      </c>
      <c r="BE934" s="399" t="s">
        <v>3006</v>
      </c>
      <c r="BF934" s="251" t="s">
        <v>2401</v>
      </c>
      <c r="BG934" s="399" t="s">
        <v>389</v>
      </c>
      <c r="BH934" s="252">
        <v>39</v>
      </c>
      <c r="BI934" s="251" t="s">
        <v>491</v>
      </c>
      <c r="BJ934" s="251" t="s">
        <v>407</v>
      </c>
      <c r="BK934" s="251" t="s">
        <v>3007</v>
      </c>
      <c r="BL934" s="251" t="s">
        <v>392</v>
      </c>
      <c r="BQ934" s="27" t="s">
        <v>8976</v>
      </c>
      <c r="BR934" s="27" t="s">
        <v>8977</v>
      </c>
    </row>
    <row r="935" spans="2:70" ht="15">
      <c r="B935" s="84"/>
      <c r="D935" s="84"/>
      <c r="E935" s="84"/>
      <c r="F935" s="84"/>
      <c r="G935" s="84"/>
      <c r="R935" s="251"/>
      <c r="S935" s="251"/>
      <c r="BD935" s="399">
        <v>932</v>
      </c>
      <c r="BE935" s="399" t="s">
        <v>3008</v>
      </c>
      <c r="BF935" s="251" t="s">
        <v>2401</v>
      </c>
      <c r="BG935" s="399" t="s">
        <v>389</v>
      </c>
      <c r="BH935" s="252">
        <v>39</v>
      </c>
      <c r="BI935" s="251" t="s">
        <v>491</v>
      </c>
      <c r="BJ935" s="251" t="s">
        <v>2159</v>
      </c>
      <c r="BK935" s="251" t="s">
        <v>3009</v>
      </c>
      <c r="BL935" s="251" t="s">
        <v>392</v>
      </c>
      <c r="BQ935" s="27" t="s">
        <v>8978</v>
      </c>
      <c r="BR935" s="27" t="s">
        <v>7361</v>
      </c>
    </row>
    <row r="936" spans="2:70" ht="15">
      <c r="B936" s="84"/>
      <c r="D936" s="84"/>
      <c r="E936" s="84"/>
      <c r="F936" s="84"/>
      <c r="G936" s="84"/>
      <c r="R936" s="251"/>
      <c r="S936" s="251"/>
      <c r="BD936" s="399">
        <v>933</v>
      </c>
      <c r="BE936" s="399" t="s">
        <v>3010</v>
      </c>
      <c r="BF936" s="251" t="s">
        <v>2401</v>
      </c>
      <c r="BG936" s="399" t="s">
        <v>389</v>
      </c>
      <c r="BH936" s="252">
        <v>39</v>
      </c>
      <c r="BI936" s="251" t="s">
        <v>450</v>
      </c>
      <c r="BJ936" s="251" t="s">
        <v>397</v>
      </c>
      <c r="BK936" s="251" t="s">
        <v>3011</v>
      </c>
      <c r="BL936" s="251" t="s">
        <v>392</v>
      </c>
      <c r="BQ936" s="27" t="s">
        <v>8426</v>
      </c>
      <c r="BR936" s="27" t="s">
        <v>7373</v>
      </c>
    </row>
    <row r="937" spans="2:70" ht="15">
      <c r="B937" s="84"/>
      <c r="D937" s="84"/>
      <c r="E937" s="84"/>
      <c r="F937" s="84"/>
      <c r="G937" s="84"/>
      <c r="R937" s="251"/>
      <c r="S937" s="251"/>
      <c r="BD937" s="399">
        <v>934</v>
      </c>
      <c r="BE937" s="399" t="s">
        <v>3012</v>
      </c>
      <c r="BF937" s="251" t="s">
        <v>2401</v>
      </c>
      <c r="BG937" s="399" t="s">
        <v>389</v>
      </c>
      <c r="BH937" s="252">
        <v>39</v>
      </c>
      <c r="BI937" s="251" t="s">
        <v>413</v>
      </c>
      <c r="BJ937" s="251" t="s">
        <v>539</v>
      </c>
      <c r="BK937" s="251" t="s">
        <v>3013</v>
      </c>
      <c r="BL937" s="251" t="s">
        <v>392</v>
      </c>
      <c r="BQ937" s="27" t="s">
        <v>8427</v>
      </c>
      <c r="BR937" s="27" t="s">
        <v>8428</v>
      </c>
    </row>
    <row r="938" spans="2:70" ht="15">
      <c r="B938" s="84"/>
      <c r="D938" s="84"/>
      <c r="E938" s="84"/>
      <c r="F938" s="84"/>
      <c r="G938" s="84"/>
      <c r="R938" s="251"/>
      <c r="S938" s="251"/>
      <c r="BD938" s="399">
        <v>935</v>
      </c>
      <c r="BE938" s="399" t="s">
        <v>3014</v>
      </c>
      <c r="BF938" s="251" t="s">
        <v>2401</v>
      </c>
      <c r="BG938" s="399" t="s">
        <v>623</v>
      </c>
      <c r="BH938" s="252">
        <v>40</v>
      </c>
      <c r="BI938" s="251" t="s">
        <v>331</v>
      </c>
      <c r="BJ938" s="251" t="s">
        <v>2159</v>
      </c>
      <c r="BK938" s="251" t="s">
        <v>3015</v>
      </c>
      <c r="BL938" s="251" t="s">
        <v>626</v>
      </c>
      <c r="BQ938" s="27" t="s">
        <v>8979</v>
      </c>
      <c r="BR938" s="27" t="s">
        <v>7386</v>
      </c>
    </row>
    <row r="939" spans="2:70" ht="15">
      <c r="B939" s="84"/>
      <c r="D939" s="84"/>
      <c r="E939" s="84"/>
      <c r="F939" s="84"/>
      <c r="G939" s="84"/>
      <c r="R939" s="251"/>
      <c r="S939" s="251"/>
      <c r="BD939" s="399">
        <v>936</v>
      </c>
      <c r="BE939" s="399" t="s">
        <v>3016</v>
      </c>
      <c r="BF939" s="251" t="s">
        <v>2401</v>
      </c>
      <c r="BG939" s="399" t="s">
        <v>623</v>
      </c>
      <c r="BH939" s="252">
        <v>40</v>
      </c>
      <c r="BI939" s="251" t="s">
        <v>332</v>
      </c>
      <c r="BJ939" s="251" t="s">
        <v>413</v>
      </c>
      <c r="BK939" s="251" t="s">
        <v>3017</v>
      </c>
      <c r="BL939" s="251" t="s">
        <v>626</v>
      </c>
      <c r="BQ939" s="27" t="s">
        <v>8429</v>
      </c>
      <c r="BR939" s="27" t="s">
        <v>8430</v>
      </c>
    </row>
    <row r="940" spans="2:70" ht="15">
      <c r="B940" s="84"/>
      <c r="D940" s="84"/>
      <c r="E940" s="84"/>
      <c r="F940" s="84"/>
      <c r="G940" s="84"/>
      <c r="R940" s="251"/>
      <c r="S940" s="251"/>
      <c r="BD940" s="399">
        <v>937</v>
      </c>
      <c r="BE940" s="399" t="s">
        <v>3018</v>
      </c>
      <c r="BF940" s="251" t="s">
        <v>2401</v>
      </c>
      <c r="BG940" s="399" t="s">
        <v>623</v>
      </c>
      <c r="BH940" s="252" t="s">
        <v>624</v>
      </c>
      <c r="BI940" s="251" t="s">
        <v>333</v>
      </c>
      <c r="BJ940" s="251" t="s">
        <v>1855</v>
      </c>
      <c r="BK940" s="251" t="s">
        <v>3019</v>
      </c>
      <c r="BL940" s="251" t="s">
        <v>626</v>
      </c>
      <c r="BQ940" s="27" t="s">
        <v>8980</v>
      </c>
      <c r="BR940" s="27" t="s">
        <v>7294</v>
      </c>
    </row>
    <row r="941" spans="2:70" ht="15">
      <c r="B941" s="84"/>
      <c r="D941" s="84"/>
      <c r="E941" s="84"/>
      <c r="F941" s="84"/>
      <c r="G941" s="84"/>
      <c r="R941" s="251"/>
      <c r="S941" s="251"/>
      <c r="BD941" s="399">
        <v>938</v>
      </c>
      <c r="BE941" s="399" t="s">
        <v>3020</v>
      </c>
      <c r="BF941" s="251" t="s">
        <v>2401</v>
      </c>
      <c r="BG941" s="399" t="s">
        <v>623</v>
      </c>
      <c r="BH941" s="252">
        <v>40</v>
      </c>
      <c r="BI941" s="251" t="s">
        <v>333</v>
      </c>
      <c r="BJ941" s="251" t="s">
        <v>397</v>
      </c>
      <c r="BK941" s="251" t="s">
        <v>3021</v>
      </c>
      <c r="BL941" s="251" t="s">
        <v>626</v>
      </c>
      <c r="BQ941" s="27" t="s">
        <v>8981</v>
      </c>
      <c r="BR941" s="27" t="s">
        <v>8982</v>
      </c>
    </row>
    <row r="942" spans="2:70" ht="15">
      <c r="B942" s="84"/>
      <c r="D942" s="84"/>
      <c r="E942" s="84"/>
      <c r="F942" s="84"/>
      <c r="G942" s="84"/>
      <c r="R942" s="251"/>
      <c r="S942" s="251"/>
      <c r="BD942" s="399">
        <v>939</v>
      </c>
      <c r="BE942" s="399" t="s">
        <v>3022</v>
      </c>
      <c r="BF942" s="251" t="s">
        <v>2401</v>
      </c>
      <c r="BG942" s="399" t="s">
        <v>623</v>
      </c>
      <c r="BH942" s="252" t="s">
        <v>624</v>
      </c>
      <c r="BI942" s="251" t="s">
        <v>333</v>
      </c>
      <c r="BJ942" s="251" t="s">
        <v>2159</v>
      </c>
      <c r="BK942" s="251" t="s">
        <v>3023</v>
      </c>
      <c r="BL942" s="251" t="s">
        <v>626</v>
      </c>
      <c r="BQ942" s="27" t="s">
        <v>8983</v>
      </c>
      <c r="BR942" s="27" t="s">
        <v>8984</v>
      </c>
    </row>
    <row r="943" spans="2:70" ht="15">
      <c r="B943" s="84"/>
      <c r="D943" s="84"/>
      <c r="E943" s="84"/>
      <c r="F943" s="84"/>
      <c r="G943" s="84"/>
      <c r="R943" s="251"/>
      <c r="S943" s="251"/>
      <c r="BD943" s="399">
        <v>940</v>
      </c>
      <c r="BE943" s="399" t="s">
        <v>3024</v>
      </c>
      <c r="BF943" s="251" t="s">
        <v>2401</v>
      </c>
      <c r="BG943" s="399" t="s">
        <v>623</v>
      </c>
      <c r="BH943" s="252">
        <v>40</v>
      </c>
      <c r="BI943" s="251" t="s">
        <v>334</v>
      </c>
      <c r="BJ943" s="251" t="s">
        <v>413</v>
      </c>
      <c r="BK943" s="251" t="s">
        <v>3025</v>
      </c>
      <c r="BL943" s="251" t="s">
        <v>626</v>
      </c>
      <c r="BQ943" s="27" t="s">
        <v>8985</v>
      </c>
      <c r="BR943" s="27" t="s">
        <v>8986</v>
      </c>
    </row>
    <row r="944" spans="2:70" ht="15">
      <c r="B944" s="84"/>
      <c r="D944" s="84"/>
      <c r="E944" s="84"/>
      <c r="F944" s="84"/>
      <c r="G944" s="84"/>
      <c r="R944" s="251"/>
      <c r="S944" s="251"/>
      <c r="BD944" s="399">
        <v>941</v>
      </c>
      <c r="BE944" s="399" t="s">
        <v>3026</v>
      </c>
      <c r="BF944" s="251" t="s">
        <v>2401</v>
      </c>
      <c r="BG944" s="399" t="s">
        <v>623</v>
      </c>
      <c r="BH944" s="252" t="s">
        <v>624</v>
      </c>
      <c r="BI944" s="251" t="s">
        <v>407</v>
      </c>
      <c r="BJ944" s="251" t="s">
        <v>2416</v>
      </c>
      <c r="BK944" s="251" t="s">
        <v>3027</v>
      </c>
      <c r="BL944" s="251" t="s">
        <v>626</v>
      </c>
      <c r="BQ944" s="27" t="s">
        <v>8432</v>
      </c>
      <c r="BR944" s="27" t="s">
        <v>7391</v>
      </c>
    </row>
    <row r="945" spans="2:70" ht="15">
      <c r="B945" s="84"/>
      <c r="D945" s="84"/>
      <c r="E945" s="84"/>
      <c r="F945" s="84"/>
      <c r="G945" s="84"/>
      <c r="R945" s="251"/>
      <c r="S945" s="251"/>
      <c r="BD945" s="399">
        <v>942</v>
      </c>
      <c r="BE945" s="399" t="s">
        <v>3028</v>
      </c>
      <c r="BF945" s="251" t="s">
        <v>2401</v>
      </c>
      <c r="BG945" s="399" t="s">
        <v>623</v>
      </c>
      <c r="BH945" s="252" t="s">
        <v>624</v>
      </c>
      <c r="BI945" s="251" t="s">
        <v>1855</v>
      </c>
      <c r="BJ945" s="251" t="s">
        <v>351</v>
      </c>
      <c r="BK945" s="251" t="s">
        <v>3029</v>
      </c>
      <c r="BL945" s="251" t="s">
        <v>626</v>
      </c>
      <c r="BQ945" s="27" t="s">
        <v>8987</v>
      </c>
      <c r="BR945" s="27" t="s">
        <v>7429</v>
      </c>
    </row>
    <row r="946" spans="2:70" ht="15">
      <c r="B946" s="84"/>
      <c r="D946" s="84"/>
      <c r="E946" s="84"/>
      <c r="F946" s="84"/>
      <c r="G946" s="84"/>
      <c r="R946" s="251"/>
      <c r="S946" s="251"/>
      <c r="BD946" s="399">
        <v>943</v>
      </c>
      <c r="BE946" s="399" t="s">
        <v>3030</v>
      </c>
      <c r="BF946" s="251" t="s">
        <v>2401</v>
      </c>
      <c r="BG946" s="399" t="s">
        <v>623</v>
      </c>
      <c r="BH946" s="252" t="s">
        <v>624</v>
      </c>
      <c r="BI946" s="251" t="s">
        <v>2421</v>
      </c>
      <c r="BJ946" s="251" t="s">
        <v>3031</v>
      </c>
      <c r="BK946" s="251" t="s">
        <v>3032</v>
      </c>
      <c r="BL946" s="251" t="s">
        <v>626</v>
      </c>
      <c r="BQ946" s="27" t="s">
        <v>8988</v>
      </c>
      <c r="BR946" s="27" t="s">
        <v>7342</v>
      </c>
    </row>
    <row r="947" spans="2:70" ht="15">
      <c r="B947" s="84"/>
      <c r="D947" s="84"/>
      <c r="E947" s="84"/>
      <c r="F947" s="84"/>
      <c r="G947" s="84"/>
      <c r="R947" s="251"/>
      <c r="S947" s="251"/>
      <c r="BD947" s="399">
        <v>944</v>
      </c>
      <c r="BE947" s="399" t="s">
        <v>3033</v>
      </c>
      <c r="BF947" s="251" t="s">
        <v>2401</v>
      </c>
      <c r="BG947" s="399" t="s">
        <v>623</v>
      </c>
      <c r="BH947" s="252" t="s">
        <v>624</v>
      </c>
      <c r="BI947" s="251" t="s">
        <v>2421</v>
      </c>
      <c r="BJ947" s="251" t="s">
        <v>2832</v>
      </c>
      <c r="BK947" s="251" t="s">
        <v>3034</v>
      </c>
      <c r="BL947" s="251" t="s">
        <v>626</v>
      </c>
      <c r="BQ947" s="27" t="s">
        <v>8989</v>
      </c>
      <c r="BR947" s="27" t="s">
        <v>8990</v>
      </c>
    </row>
    <row r="948" spans="2:70" ht="15">
      <c r="B948" s="84"/>
      <c r="D948" s="84"/>
      <c r="E948" s="84"/>
      <c r="F948" s="84"/>
      <c r="G948" s="84"/>
      <c r="R948" s="251"/>
      <c r="S948" s="251"/>
      <c r="BD948" s="399">
        <v>945</v>
      </c>
      <c r="BE948" s="399" t="s">
        <v>3035</v>
      </c>
      <c r="BF948" s="251" t="s">
        <v>2401</v>
      </c>
      <c r="BG948" s="399" t="s">
        <v>623</v>
      </c>
      <c r="BH948" s="252" t="s">
        <v>624</v>
      </c>
      <c r="BI948" s="251" t="s">
        <v>524</v>
      </c>
      <c r="BJ948" s="251" t="s">
        <v>1855</v>
      </c>
      <c r="BK948" s="251" t="s">
        <v>3036</v>
      </c>
      <c r="BL948" s="251" t="s">
        <v>626</v>
      </c>
      <c r="BQ948" s="27" t="s">
        <v>8991</v>
      </c>
      <c r="BR948" s="27" t="s">
        <v>8992</v>
      </c>
    </row>
    <row r="949" spans="2:70" ht="15">
      <c r="B949" s="84"/>
      <c r="D949" s="84"/>
      <c r="E949" s="84"/>
      <c r="F949" s="84"/>
      <c r="G949" s="84"/>
      <c r="R949" s="251"/>
      <c r="S949" s="251"/>
      <c r="BD949" s="399">
        <v>946</v>
      </c>
      <c r="BE949" s="399" t="s">
        <v>3037</v>
      </c>
      <c r="BF949" s="251" t="s">
        <v>2401</v>
      </c>
      <c r="BG949" s="399" t="s">
        <v>623</v>
      </c>
      <c r="BH949" s="252">
        <v>40</v>
      </c>
      <c r="BI949" s="251" t="s">
        <v>524</v>
      </c>
      <c r="BJ949" s="251" t="s">
        <v>2159</v>
      </c>
      <c r="BK949" s="251" t="s">
        <v>3038</v>
      </c>
      <c r="BL949" s="251" t="s">
        <v>626</v>
      </c>
      <c r="BQ949" s="27" t="s">
        <v>8993</v>
      </c>
      <c r="BR949" s="27" t="s">
        <v>7321</v>
      </c>
    </row>
    <row r="950" spans="2:70" ht="15">
      <c r="B950" s="84"/>
      <c r="D950" s="84"/>
      <c r="E950" s="84"/>
      <c r="F950" s="84"/>
      <c r="G950" s="84"/>
      <c r="R950" s="251"/>
      <c r="S950" s="251"/>
      <c r="BD950" s="399">
        <v>947</v>
      </c>
      <c r="BE950" s="399" t="s">
        <v>3039</v>
      </c>
      <c r="BF950" s="251" t="s">
        <v>2401</v>
      </c>
      <c r="BG950" s="399" t="s">
        <v>623</v>
      </c>
      <c r="BH950" s="252" t="s">
        <v>624</v>
      </c>
      <c r="BI950" s="251" t="s">
        <v>2421</v>
      </c>
      <c r="BJ950" s="251" t="s">
        <v>3040</v>
      </c>
      <c r="BK950" s="251" t="s">
        <v>3041</v>
      </c>
      <c r="BL950" s="251" t="s">
        <v>626</v>
      </c>
      <c r="BQ950" s="27" t="s">
        <v>8994</v>
      </c>
      <c r="BR950" s="27" t="s">
        <v>8995</v>
      </c>
    </row>
    <row r="951" spans="2:70" ht="15">
      <c r="B951" s="84"/>
      <c r="D951" s="84"/>
      <c r="E951" s="84"/>
      <c r="F951" s="84"/>
      <c r="G951" s="84"/>
      <c r="R951" s="251"/>
      <c r="S951" s="251"/>
      <c r="BD951" s="399">
        <v>948</v>
      </c>
      <c r="BE951" s="399" t="s">
        <v>3042</v>
      </c>
      <c r="BF951" s="251" t="s">
        <v>2401</v>
      </c>
      <c r="BG951" s="399" t="s">
        <v>623</v>
      </c>
      <c r="BH951" s="252">
        <v>40</v>
      </c>
      <c r="BI951" s="251" t="s">
        <v>740</v>
      </c>
      <c r="BJ951" s="251" t="s">
        <v>407</v>
      </c>
      <c r="BK951" s="251" t="s">
        <v>3043</v>
      </c>
      <c r="BL951" s="251" t="s">
        <v>626</v>
      </c>
      <c r="BQ951" s="27" t="s">
        <v>8996</v>
      </c>
      <c r="BR951" s="27" t="s">
        <v>7454</v>
      </c>
    </row>
    <row r="952" spans="2:70" ht="15">
      <c r="B952" s="84"/>
      <c r="D952" s="84"/>
      <c r="E952" s="84"/>
      <c r="F952" s="84"/>
      <c r="G952" s="84"/>
      <c r="R952" s="251"/>
      <c r="S952" s="251"/>
      <c r="BD952" s="399">
        <v>949</v>
      </c>
      <c r="BE952" s="399" t="s">
        <v>3044</v>
      </c>
      <c r="BF952" s="251" t="s">
        <v>2401</v>
      </c>
      <c r="BG952" s="399" t="s">
        <v>623</v>
      </c>
      <c r="BH952" s="252">
        <v>40</v>
      </c>
      <c r="BI952" s="251" t="s">
        <v>740</v>
      </c>
      <c r="BJ952" s="251" t="s">
        <v>2159</v>
      </c>
      <c r="BK952" s="251" t="s">
        <v>3045</v>
      </c>
      <c r="BL952" s="251" t="s">
        <v>626</v>
      </c>
      <c r="BQ952" s="27" t="s">
        <v>8997</v>
      </c>
      <c r="BR952" s="27" t="s">
        <v>7457</v>
      </c>
    </row>
    <row r="953" spans="2:70" ht="15">
      <c r="B953" s="84"/>
      <c r="D953" s="84"/>
      <c r="E953" s="84"/>
      <c r="F953" s="84"/>
      <c r="G953" s="84"/>
      <c r="R953" s="251"/>
      <c r="S953" s="251"/>
      <c r="BD953" s="399">
        <v>950</v>
      </c>
      <c r="BE953" s="399" t="s">
        <v>3046</v>
      </c>
      <c r="BF953" s="251" t="s">
        <v>2401</v>
      </c>
      <c r="BG953" s="399" t="s">
        <v>623</v>
      </c>
      <c r="BH953" s="252" t="s">
        <v>624</v>
      </c>
      <c r="BI953" s="251" t="s">
        <v>740</v>
      </c>
      <c r="BJ953" s="251" t="s">
        <v>2460</v>
      </c>
      <c r="BK953" s="251" t="s">
        <v>3047</v>
      </c>
      <c r="BL953" s="251" t="s">
        <v>626</v>
      </c>
      <c r="BQ953" s="27" t="s">
        <v>8998</v>
      </c>
      <c r="BR953" s="27" t="s">
        <v>8999</v>
      </c>
    </row>
    <row r="954" spans="2:70" ht="15">
      <c r="B954" s="84"/>
      <c r="D954" s="84"/>
      <c r="E954" s="84"/>
      <c r="F954" s="84"/>
      <c r="G954" s="84"/>
      <c r="R954" s="251"/>
      <c r="S954" s="251"/>
      <c r="BD954" s="399">
        <v>951</v>
      </c>
      <c r="BE954" s="399" t="s">
        <v>3048</v>
      </c>
      <c r="BF954" s="251" t="s">
        <v>2401</v>
      </c>
      <c r="BG954" s="399" t="s">
        <v>623</v>
      </c>
      <c r="BH954" s="252" t="s">
        <v>624</v>
      </c>
      <c r="BI954" s="251" t="s">
        <v>379</v>
      </c>
      <c r="BJ954" s="251" t="s">
        <v>1855</v>
      </c>
      <c r="BK954" s="251" t="s">
        <v>3049</v>
      </c>
      <c r="BL954" s="251" t="s">
        <v>626</v>
      </c>
      <c r="BQ954" s="27" t="s">
        <v>9000</v>
      </c>
      <c r="BR954" s="27" t="s">
        <v>9001</v>
      </c>
    </row>
    <row r="955" spans="2:70" ht="15">
      <c r="B955" s="84"/>
      <c r="D955" s="84"/>
      <c r="E955" s="84"/>
      <c r="F955" s="84"/>
      <c r="G955" s="84"/>
      <c r="R955" s="251"/>
      <c r="S955" s="251"/>
      <c r="BD955" s="399">
        <v>952</v>
      </c>
      <c r="BE955" s="399" t="s">
        <v>3050</v>
      </c>
      <c r="BF955" s="251" t="s">
        <v>2401</v>
      </c>
      <c r="BG955" s="399" t="s">
        <v>623</v>
      </c>
      <c r="BH955" s="252">
        <v>40</v>
      </c>
      <c r="BI955" s="251" t="s">
        <v>379</v>
      </c>
      <c r="BJ955" s="251" t="s">
        <v>397</v>
      </c>
      <c r="BK955" s="251" t="s">
        <v>3051</v>
      </c>
      <c r="BL955" s="251" t="s">
        <v>626</v>
      </c>
      <c r="BQ955" s="27" t="s">
        <v>9002</v>
      </c>
      <c r="BR955" s="27" t="s">
        <v>7298</v>
      </c>
    </row>
    <row r="956" spans="2:70" ht="15">
      <c r="B956" s="84"/>
      <c r="D956" s="84"/>
      <c r="E956" s="84"/>
      <c r="F956" s="84"/>
      <c r="G956" s="84"/>
      <c r="R956" s="251"/>
      <c r="S956" s="251"/>
      <c r="BD956" s="399">
        <v>953</v>
      </c>
      <c r="BE956" s="399" t="s">
        <v>3052</v>
      </c>
      <c r="BF956" s="251" t="s">
        <v>2401</v>
      </c>
      <c r="BG956" s="399" t="s">
        <v>623</v>
      </c>
      <c r="BH956" s="252">
        <v>40</v>
      </c>
      <c r="BI956" s="251" t="s">
        <v>615</v>
      </c>
      <c r="BJ956" s="251" t="s">
        <v>407</v>
      </c>
      <c r="BK956" s="251" t="s">
        <v>3053</v>
      </c>
      <c r="BL956" s="251" t="s">
        <v>626</v>
      </c>
      <c r="BQ956" s="27" t="s">
        <v>9003</v>
      </c>
      <c r="BR956" s="27" t="s">
        <v>7440</v>
      </c>
    </row>
    <row r="957" spans="2:70" ht="15">
      <c r="B957" s="84"/>
      <c r="D957" s="84"/>
      <c r="E957" s="84"/>
      <c r="F957" s="84"/>
      <c r="G957" s="84"/>
      <c r="R957" s="251"/>
      <c r="S957" s="251"/>
      <c r="BD957" s="399">
        <v>954</v>
      </c>
      <c r="BE957" s="399" t="s">
        <v>3054</v>
      </c>
      <c r="BF957" s="251" t="s">
        <v>2401</v>
      </c>
      <c r="BG957" s="399" t="s">
        <v>623</v>
      </c>
      <c r="BH957" s="252">
        <v>40</v>
      </c>
      <c r="BI957" s="251" t="s">
        <v>491</v>
      </c>
      <c r="BJ957" s="251" t="s">
        <v>407</v>
      </c>
      <c r="BK957" s="251" t="s">
        <v>3055</v>
      </c>
      <c r="BL957" s="251" t="s">
        <v>626</v>
      </c>
      <c r="BQ957" s="27" t="s">
        <v>9004</v>
      </c>
      <c r="BR957" s="27" t="s">
        <v>9005</v>
      </c>
    </row>
    <row r="958" spans="2:70" ht="15">
      <c r="B958" s="84"/>
      <c r="D958" s="84"/>
      <c r="E958" s="84"/>
      <c r="F958" s="84"/>
      <c r="G958" s="84"/>
      <c r="R958" s="251"/>
      <c r="S958" s="251"/>
      <c r="BD958" s="399">
        <v>955</v>
      </c>
      <c r="BE958" s="399" t="s">
        <v>1243</v>
      </c>
      <c r="BF958" s="251" t="s">
        <v>2401</v>
      </c>
      <c r="BG958" s="399" t="s">
        <v>623</v>
      </c>
      <c r="BH958" s="252" t="s">
        <v>624</v>
      </c>
      <c r="BI958" s="251" t="s">
        <v>491</v>
      </c>
      <c r="BJ958" s="251" t="s">
        <v>380</v>
      </c>
      <c r="BK958" s="251" t="s">
        <v>1245</v>
      </c>
      <c r="BL958" s="251" t="s">
        <v>626</v>
      </c>
      <c r="BQ958" s="27" t="s">
        <v>8435</v>
      </c>
      <c r="BR958" s="27" t="s">
        <v>8436</v>
      </c>
    </row>
    <row r="959" spans="2:70" ht="15">
      <c r="B959" s="84"/>
      <c r="D959" s="84"/>
      <c r="E959" s="84"/>
      <c r="F959" s="84"/>
      <c r="G959" s="84"/>
      <c r="R959" s="251"/>
      <c r="S959" s="251"/>
      <c r="BD959" s="399">
        <v>956</v>
      </c>
      <c r="BE959" s="399" t="s">
        <v>3056</v>
      </c>
      <c r="BF959" s="251" t="s">
        <v>2401</v>
      </c>
      <c r="BG959" s="399" t="s">
        <v>623</v>
      </c>
      <c r="BH959" s="252" t="s">
        <v>624</v>
      </c>
      <c r="BI959" s="251" t="s">
        <v>491</v>
      </c>
      <c r="BJ959" s="251" t="s">
        <v>2159</v>
      </c>
      <c r="BK959" s="251" t="s">
        <v>3057</v>
      </c>
      <c r="BL959" s="251" t="s">
        <v>626</v>
      </c>
      <c r="BQ959" s="27" t="s">
        <v>9006</v>
      </c>
      <c r="BR959" s="27" t="s">
        <v>7481</v>
      </c>
    </row>
    <row r="960" spans="2:70" ht="15">
      <c r="B960" s="84"/>
      <c r="D960" s="84"/>
      <c r="E960" s="84"/>
      <c r="F960" s="84"/>
      <c r="G960" s="84"/>
      <c r="R960" s="251"/>
      <c r="S960" s="251"/>
      <c r="BD960" s="399">
        <v>957</v>
      </c>
      <c r="BE960" s="399" t="s">
        <v>3058</v>
      </c>
      <c r="BF960" s="251" t="s">
        <v>2401</v>
      </c>
      <c r="BG960" s="399" t="s">
        <v>623</v>
      </c>
      <c r="BH960" s="252" t="s">
        <v>624</v>
      </c>
      <c r="BI960" s="251" t="s">
        <v>728</v>
      </c>
      <c r="BJ960" s="251" t="s">
        <v>380</v>
      </c>
      <c r="BK960" s="251" t="s">
        <v>3059</v>
      </c>
      <c r="BL960" s="251" t="s">
        <v>626</v>
      </c>
      <c r="BQ960" s="27" t="s">
        <v>9007</v>
      </c>
      <c r="BR960" s="27" t="s">
        <v>9008</v>
      </c>
    </row>
    <row r="961" spans="2:70" ht="15">
      <c r="B961" s="84"/>
      <c r="D961" s="84"/>
      <c r="E961" s="84"/>
      <c r="F961" s="84"/>
      <c r="G961" s="84"/>
      <c r="R961" s="251"/>
      <c r="S961" s="251"/>
      <c r="BD961" s="399">
        <v>958</v>
      </c>
      <c r="BE961" s="399" t="s">
        <v>3060</v>
      </c>
      <c r="BF961" s="251" t="s">
        <v>2401</v>
      </c>
      <c r="BG961" s="399" t="s">
        <v>623</v>
      </c>
      <c r="BH961" s="252" t="s">
        <v>624</v>
      </c>
      <c r="BI961" s="251" t="s">
        <v>728</v>
      </c>
      <c r="BJ961" s="251" t="s">
        <v>397</v>
      </c>
      <c r="BK961" s="251" t="s">
        <v>3061</v>
      </c>
      <c r="BL961" s="251" t="s">
        <v>626</v>
      </c>
      <c r="BQ961" s="27" t="s">
        <v>9009</v>
      </c>
      <c r="BR961" s="27" t="s">
        <v>9010</v>
      </c>
    </row>
    <row r="962" spans="2:70" ht="15">
      <c r="B962" s="84"/>
      <c r="D962" s="84"/>
      <c r="E962" s="84"/>
      <c r="F962" s="84"/>
      <c r="G962" s="84"/>
      <c r="R962" s="251"/>
      <c r="S962" s="251"/>
      <c r="BD962" s="399">
        <v>959</v>
      </c>
      <c r="BE962" s="399" t="s">
        <v>3062</v>
      </c>
      <c r="BF962" s="251" t="s">
        <v>2401</v>
      </c>
      <c r="BG962" s="399" t="s">
        <v>623</v>
      </c>
      <c r="BH962" s="252" t="s">
        <v>624</v>
      </c>
      <c r="BI962" s="251" t="s">
        <v>728</v>
      </c>
      <c r="BJ962" s="251" t="s">
        <v>2159</v>
      </c>
      <c r="BK962" s="251" t="s">
        <v>3063</v>
      </c>
      <c r="BL962" s="251" t="s">
        <v>626</v>
      </c>
      <c r="BQ962" s="27" t="s">
        <v>9011</v>
      </c>
      <c r="BR962" s="27" t="s">
        <v>9012</v>
      </c>
    </row>
    <row r="963" spans="2:70" ht="15">
      <c r="B963" s="84"/>
      <c r="D963" s="84"/>
      <c r="E963" s="84"/>
      <c r="F963" s="84"/>
      <c r="G963" s="84"/>
      <c r="R963" s="251"/>
      <c r="S963" s="251"/>
      <c r="BD963" s="399">
        <v>960</v>
      </c>
      <c r="BE963" s="399" t="s">
        <v>3064</v>
      </c>
      <c r="BF963" s="251" t="s">
        <v>2401</v>
      </c>
      <c r="BG963" s="399" t="s">
        <v>623</v>
      </c>
      <c r="BH963" s="252">
        <v>40</v>
      </c>
      <c r="BI963" s="251" t="s">
        <v>728</v>
      </c>
      <c r="BJ963" s="251" t="s">
        <v>2460</v>
      </c>
      <c r="BK963" s="251" t="s">
        <v>3065</v>
      </c>
      <c r="BL963" s="251" t="s">
        <v>626</v>
      </c>
      <c r="BQ963" s="27" t="s">
        <v>9013</v>
      </c>
      <c r="BR963" s="27" t="s">
        <v>9014</v>
      </c>
    </row>
    <row r="964" spans="2:70" ht="15">
      <c r="B964" s="84"/>
      <c r="D964" s="84"/>
      <c r="E964" s="84"/>
      <c r="F964" s="84"/>
      <c r="G964" s="84"/>
      <c r="R964" s="251"/>
      <c r="S964" s="251"/>
      <c r="BD964" s="399">
        <v>961</v>
      </c>
      <c r="BE964" s="399" t="s">
        <v>3066</v>
      </c>
      <c r="BF964" s="251" t="s">
        <v>2401</v>
      </c>
      <c r="BG964" s="399" t="s">
        <v>623</v>
      </c>
      <c r="BH964" s="252">
        <v>40</v>
      </c>
      <c r="BI964" s="251" t="s">
        <v>583</v>
      </c>
      <c r="BJ964" s="251" t="s">
        <v>2159</v>
      </c>
      <c r="BK964" s="251" t="s">
        <v>3067</v>
      </c>
      <c r="BL964" s="251" t="s">
        <v>626</v>
      </c>
      <c r="BQ964" s="27" t="s">
        <v>9015</v>
      </c>
      <c r="BR964" s="27" t="s">
        <v>9016</v>
      </c>
    </row>
    <row r="965" spans="2:70" ht="15">
      <c r="B965" s="84"/>
      <c r="D965" s="84"/>
      <c r="E965" s="84"/>
      <c r="F965" s="84"/>
      <c r="G965" s="84"/>
      <c r="R965" s="251"/>
      <c r="S965" s="251"/>
      <c r="BD965" s="399">
        <v>962</v>
      </c>
      <c r="BE965" s="399" t="s">
        <v>3068</v>
      </c>
      <c r="BF965" s="251" t="s">
        <v>2401</v>
      </c>
      <c r="BG965" s="399" t="s">
        <v>623</v>
      </c>
      <c r="BH965" s="252" t="s">
        <v>624</v>
      </c>
      <c r="BI965" s="251" t="s">
        <v>397</v>
      </c>
      <c r="BJ965" s="251" t="s">
        <v>380</v>
      </c>
      <c r="BK965" s="251" t="s">
        <v>3069</v>
      </c>
      <c r="BL965" s="251" t="s">
        <v>626</v>
      </c>
      <c r="BQ965" s="27" t="s">
        <v>9017</v>
      </c>
      <c r="BR965" s="27" t="s">
        <v>9018</v>
      </c>
    </row>
    <row r="966" spans="2:70" ht="15">
      <c r="B966" s="84"/>
      <c r="D966" s="84"/>
      <c r="E966" s="84"/>
      <c r="F966" s="84"/>
      <c r="G966" s="84"/>
      <c r="R966" s="251"/>
      <c r="S966" s="251"/>
      <c r="BD966" s="399">
        <v>963</v>
      </c>
      <c r="BE966" s="399" t="s">
        <v>3070</v>
      </c>
      <c r="BF966" s="251" t="s">
        <v>2401</v>
      </c>
      <c r="BG966" s="399" t="s">
        <v>623</v>
      </c>
      <c r="BH966" s="252">
        <v>40</v>
      </c>
      <c r="BI966" s="251" t="s">
        <v>450</v>
      </c>
      <c r="BJ966" s="251" t="s">
        <v>407</v>
      </c>
      <c r="BK966" s="251" t="s">
        <v>3071</v>
      </c>
      <c r="BL966" s="251" t="s">
        <v>626</v>
      </c>
      <c r="BQ966" s="27" t="s">
        <v>9019</v>
      </c>
      <c r="BR966" s="27" t="s">
        <v>7381</v>
      </c>
    </row>
    <row r="967" spans="2:70" ht="15">
      <c r="B967" s="84"/>
      <c r="D967" s="84"/>
      <c r="E967" s="84"/>
      <c r="F967" s="84"/>
      <c r="G967" s="84"/>
      <c r="R967" s="251"/>
      <c r="S967" s="251"/>
      <c r="BD967" s="399">
        <v>964</v>
      </c>
      <c r="BE967" s="399" t="s">
        <v>3072</v>
      </c>
      <c r="BF967" s="251" t="s">
        <v>2401</v>
      </c>
      <c r="BG967" s="399" t="s">
        <v>623</v>
      </c>
      <c r="BH967" s="252" t="s">
        <v>624</v>
      </c>
      <c r="BI967" s="251" t="s">
        <v>350</v>
      </c>
      <c r="BJ967" s="251" t="s">
        <v>1855</v>
      </c>
      <c r="BK967" s="251" t="s">
        <v>3073</v>
      </c>
      <c r="BL967" s="251" t="s">
        <v>626</v>
      </c>
      <c r="BQ967" s="27" t="s">
        <v>9020</v>
      </c>
      <c r="BR967" s="27" t="s">
        <v>9021</v>
      </c>
    </row>
    <row r="968" spans="2:70" ht="15">
      <c r="B968" s="84"/>
      <c r="D968" s="84"/>
      <c r="E968" s="84"/>
      <c r="F968" s="84"/>
      <c r="G968" s="84"/>
      <c r="R968" s="251"/>
      <c r="S968" s="251"/>
      <c r="BD968" s="399">
        <v>965</v>
      </c>
      <c r="BE968" s="399" t="s">
        <v>3074</v>
      </c>
      <c r="BF968" s="251" t="s">
        <v>2401</v>
      </c>
      <c r="BG968" s="399" t="s">
        <v>623</v>
      </c>
      <c r="BH968" s="252" t="s">
        <v>624</v>
      </c>
      <c r="BI968" s="251" t="s">
        <v>2159</v>
      </c>
      <c r="BJ968" s="251" t="s">
        <v>380</v>
      </c>
      <c r="BK968" s="251" t="s">
        <v>3075</v>
      </c>
      <c r="BL968" s="251" t="s">
        <v>626</v>
      </c>
      <c r="BQ968" s="27" t="s">
        <v>9022</v>
      </c>
      <c r="BR968" s="27" t="s">
        <v>9023</v>
      </c>
    </row>
    <row r="969" spans="2:70" ht="15">
      <c r="B969" s="84"/>
      <c r="D969" s="84"/>
      <c r="E969" s="84"/>
      <c r="F969" s="84"/>
      <c r="G969" s="84"/>
      <c r="R969" s="251"/>
      <c r="S969" s="251"/>
      <c r="BD969" s="399">
        <v>966</v>
      </c>
      <c r="BE969" s="399" t="s">
        <v>3076</v>
      </c>
      <c r="BF969" s="251" t="s">
        <v>2401</v>
      </c>
      <c r="BG969" s="399" t="s">
        <v>623</v>
      </c>
      <c r="BH969" s="252" t="s">
        <v>624</v>
      </c>
      <c r="BI969" s="251" t="s">
        <v>2159</v>
      </c>
      <c r="BJ969" s="251" t="s">
        <v>351</v>
      </c>
      <c r="BK969" s="251" t="s">
        <v>3077</v>
      </c>
      <c r="BL969" s="251" t="s">
        <v>626</v>
      </c>
      <c r="BQ969" s="27" t="s">
        <v>9024</v>
      </c>
      <c r="BR969" s="27" t="s">
        <v>9025</v>
      </c>
    </row>
    <row r="970" spans="2:70" ht="15">
      <c r="B970" s="84"/>
      <c r="D970" s="84"/>
      <c r="E970" s="84"/>
      <c r="F970" s="84"/>
      <c r="G970" s="84"/>
      <c r="R970" s="251"/>
      <c r="S970" s="251"/>
      <c r="BD970" s="399">
        <v>967</v>
      </c>
      <c r="BE970" s="399" t="s">
        <v>3078</v>
      </c>
      <c r="BF970" s="251" t="s">
        <v>2401</v>
      </c>
      <c r="BG970" s="399" t="s">
        <v>623</v>
      </c>
      <c r="BH970" s="252">
        <v>40</v>
      </c>
      <c r="BI970" s="251" t="s">
        <v>2159</v>
      </c>
      <c r="BJ970" s="251" t="s">
        <v>539</v>
      </c>
      <c r="BK970" s="251" t="s">
        <v>3079</v>
      </c>
      <c r="BL970" s="251" t="s">
        <v>626</v>
      </c>
      <c r="BQ970" s="27" t="s">
        <v>9026</v>
      </c>
      <c r="BR970" s="27" t="s">
        <v>9027</v>
      </c>
    </row>
    <row r="971" spans="2:70" ht="15">
      <c r="B971" s="84"/>
      <c r="D971" s="84"/>
      <c r="E971" s="84"/>
      <c r="F971" s="84"/>
      <c r="G971" s="84"/>
      <c r="R971" s="251"/>
      <c r="S971" s="251"/>
      <c r="BD971" s="399">
        <v>968</v>
      </c>
      <c r="BE971" s="399" t="s">
        <v>3080</v>
      </c>
      <c r="BF971" s="251" t="s">
        <v>2401</v>
      </c>
      <c r="BG971" s="399" t="s">
        <v>623</v>
      </c>
      <c r="BH971" s="252" t="s">
        <v>624</v>
      </c>
      <c r="BI971" s="251" t="s">
        <v>2460</v>
      </c>
      <c r="BJ971" s="251" t="s">
        <v>351</v>
      </c>
      <c r="BK971" s="251" t="s">
        <v>3081</v>
      </c>
      <c r="BL971" s="251" t="s">
        <v>626</v>
      </c>
    </row>
    <row r="972" spans="2:70" ht="15">
      <c r="B972" s="84"/>
      <c r="D972" s="84"/>
      <c r="E972" s="84"/>
      <c r="F972" s="84"/>
      <c r="G972" s="84"/>
      <c r="R972" s="251"/>
      <c r="S972" s="251"/>
      <c r="BD972" s="399">
        <v>969</v>
      </c>
      <c r="BE972" s="399" t="s">
        <v>3082</v>
      </c>
      <c r="BF972" s="251" t="s">
        <v>2401</v>
      </c>
      <c r="BG972" s="399" t="s">
        <v>623</v>
      </c>
      <c r="BH972" s="252" t="s">
        <v>624</v>
      </c>
      <c r="BI972" s="251" t="s">
        <v>2482</v>
      </c>
      <c r="BJ972" s="251" t="s">
        <v>2827</v>
      </c>
      <c r="BK972" s="251" t="s">
        <v>3083</v>
      </c>
      <c r="BL972" s="251" t="s">
        <v>626</v>
      </c>
    </row>
    <row r="973" spans="2:70" ht="15">
      <c r="B973" s="84"/>
      <c r="D973" s="84"/>
      <c r="E973" s="84"/>
      <c r="F973" s="84"/>
      <c r="G973" s="84"/>
      <c r="R973" s="251"/>
      <c r="S973" s="251"/>
      <c r="BD973" s="399">
        <v>970</v>
      </c>
      <c r="BE973" s="399" t="s">
        <v>3084</v>
      </c>
      <c r="BF973" s="251" t="s">
        <v>2401</v>
      </c>
      <c r="BG973" s="399" t="s">
        <v>623</v>
      </c>
      <c r="BH973" s="252" t="s">
        <v>624</v>
      </c>
      <c r="BI973" s="251" t="s">
        <v>3085</v>
      </c>
      <c r="BJ973" s="251" t="s">
        <v>397</v>
      </c>
      <c r="BK973" s="251" t="s">
        <v>3086</v>
      </c>
      <c r="BL973" s="251" t="s">
        <v>626</v>
      </c>
    </row>
    <row r="974" spans="2:70" ht="15">
      <c r="B974" s="84"/>
      <c r="D974" s="84"/>
      <c r="E974" s="84"/>
      <c r="F974" s="84"/>
      <c r="G974" s="84"/>
      <c r="R974" s="251"/>
      <c r="S974" s="251"/>
      <c r="BD974" s="399">
        <v>971</v>
      </c>
      <c r="BE974" s="399" t="s">
        <v>3087</v>
      </c>
      <c r="BF974" s="251" t="s">
        <v>2401</v>
      </c>
      <c r="BG974" s="399" t="s">
        <v>549</v>
      </c>
      <c r="BH974" s="252">
        <v>41</v>
      </c>
      <c r="BI974" s="251" t="s">
        <v>332</v>
      </c>
      <c r="BJ974" s="251" t="s">
        <v>380</v>
      </c>
      <c r="BK974" s="251" t="s">
        <v>3088</v>
      </c>
      <c r="BL974" s="251" t="s">
        <v>551</v>
      </c>
    </row>
    <row r="975" spans="2:70" ht="15">
      <c r="B975" s="84"/>
      <c r="D975" s="84"/>
      <c r="E975" s="84"/>
      <c r="F975" s="84"/>
      <c r="G975" s="84"/>
      <c r="R975" s="251"/>
      <c r="S975" s="251"/>
      <c r="BD975" s="399">
        <v>972</v>
      </c>
      <c r="BE975" s="399" t="s">
        <v>3089</v>
      </c>
      <c r="BF975" s="251" t="s">
        <v>2401</v>
      </c>
      <c r="BG975" s="399" t="s">
        <v>549</v>
      </c>
      <c r="BH975" s="252">
        <v>41</v>
      </c>
      <c r="BI975" s="251" t="s">
        <v>333</v>
      </c>
      <c r="BJ975" s="251" t="s">
        <v>397</v>
      </c>
      <c r="BK975" s="251" t="s">
        <v>3090</v>
      </c>
      <c r="BL975" s="251" t="s">
        <v>551</v>
      </c>
    </row>
    <row r="976" spans="2:70" ht="15">
      <c r="B976" s="84"/>
      <c r="D976" s="84"/>
      <c r="E976" s="84"/>
      <c r="F976" s="84"/>
      <c r="G976" s="84"/>
      <c r="R976" s="251"/>
      <c r="S976" s="251"/>
      <c r="BD976" s="399">
        <v>973</v>
      </c>
      <c r="BE976" s="399" t="s">
        <v>3091</v>
      </c>
      <c r="BF976" s="251" t="s">
        <v>2401</v>
      </c>
      <c r="BG976" s="399" t="s">
        <v>549</v>
      </c>
      <c r="BH976" s="252">
        <v>41</v>
      </c>
      <c r="BI976" s="251" t="s">
        <v>334</v>
      </c>
      <c r="BJ976" s="251" t="s">
        <v>397</v>
      </c>
      <c r="BK976" s="251" t="s">
        <v>3092</v>
      </c>
      <c r="BL976" s="251" t="s">
        <v>551</v>
      </c>
    </row>
    <row r="977" spans="2:64" ht="15">
      <c r="B977" s="84"/>
      <c r="D977" s="84"/>
      <c r="E977" s="84"/>
      <c r="F977" s="84"/>
      <c r="G977" s="84"/>
      <c r="R977" s="251"/>
      <c r="S977" s="251"/>
      <c r="BD977" s="399">
        <v>974</v>
      </c>
      <c r="BE977" s="399" t="s">
        <v>3093</v>
      </c>
      <c r="BF977" s="251" t="s">
        <v>2401</v>
      </c>
      <c r="BG977" s="399" t="s">
        <v>549</v>
      </c>
      <c r="BH977" s="252">
        <v>41</v>
      </c>
      <c r="BI977" s="251" t="s">
        <v>2478</v>
      </c>
      <c r="BJ977" s="251" t="s">
        <v>397</v>
      </c>
      <c r="BK977" s="251" t="s">
        <v>3094</v>
      </c>
      <c r="BL977" s="251" t="s">
        <v>551</v>
      </c>
    </row>
    <row r="978" spans="2:64" ht="15">
      <c r="B978" s="84"/>
      <c r="D978" s="84"/>
      <c r="E978" s="84"/>
      <c r="F978" s="84"/>
      <c r="G978" s="84"/>
      <c r="R978" s="251"/>
      <c r="S978" s="251"/>
      <c r="BD978" s="399">
        <v>975</v>
      </c>
      <c r="BE978" s="399" t="s">
        <v>3095</v>
      </c>
      <c r="BF978" s="251" t="s">
        <v>2401</v>
      </c>
      <c r="BG978" s="399" t="s">
        <v>549</v>
      </c>
      <c r="BH978" s="252">
        <v>41</v>
      </c>
      <c r="BI978" s="251" t="s">
        <v>524</v>
      </c>
      <c r="BJ978" s="251" t="s">
        <v>413</v>
      </c>
      <c r="BK978" s="251" t="s">
        <v>3096</v>
      </c>
      <c r="BL978" s="251" t="s">
        <v>551</v>
      </c>
    </row>
    <row r="979" spans="2:64" ht="15">
      <c r="B979" s="84"/>
      <c r="D979" s="84"/>
      <c r="E979" s="84"/>
      <c r="F979" s="84"/>
      <c r="G979" s="84"/>
      <c r="R979" s="251"/>
      <c r="S979" s="251"/>
      <c r="BD979" s="399">
        <v>976</v>
      </c>
      <c r="BE979" s="399" t="s">
        <v>1914</v>
      </c>
      <c r="BF979" s="251" t="s">
        <v>2401</v>
      </c>
      <c r="BG979" s="399" t="s">
        <v>549</v>
      </c>
      <c r="BH979" s="252">
        <v>41</v>
      </c>
      <c r="BI979" s="251" t="s">
        <v>379</v>
      </c>
      <c r="BJ979" s="251" t="s">
        <v>351</v>
      </c>
      <c r="BK979" s="251" t="s">
        <v>1916</v>
      </c>
      <c r="BL979" s="251" t="s">
        <v>551</v>
      </c>
    </row>
    <row r="980" spans="2:64" ht="15">
      <c r="B980" s="84"/>
      <c r="D980" s="84"/>
      <c r="E980" s="84"/>
      <c r="F980" s="84"/>
      <c r="G980" s="84"/>
      <c r="R980" s="251"/>
      <c r="S980" s="251"/>
      <c r="BD980" s="399">
        <v>977</v>
      </c>
      <c r="BE980" s="399" t="s">
        <v>3097</v>
      </c>
      <c r="BF980" s="251" t="s">
        <v>2401</v>
      </c>
      <c r="BG980" s="399" t="s">
        <v>549</v>
      </c>
      <c r="BH980" s="252">
        <v>41</v>
      </c>
      <c r="BI980" s="251" t="s">
        <v>379</v>
      </c>
      <c r="BJ980" s="251" t="s">
        <v>397</v>
      </c>
      <c r="BK980" s="251" t="s">
        <v>3098</v>
      </c>
      <c r="BL980" s="251" t="s">
        <v>551</v>
      </c>
    </row>
    <row r="981" spans="2:64" ht="15">
      <c r="B981" s="84"/>
      <c r="D981" s="84"/>
      <c r="E981" s="84"/>
      <c r="F981" s="84"/>
      <c r="G981" s="84"/>
      <c r="R981" s="251"/>
      <c r="S981" s="251"/>
      <c r="BD981" s="399">
        <v>978</v>
      </c>
      <c r="BE981" s="399" t="s">
        <v>3099</v>
      </c>
      <c r="BF981" s="251" t="s">
        <v>2401</v>
      </c>
      <c r="BG981" s="399" t="s">
        <v>549</v>
      </c>
      <c r="BH981" s="252">
        <v>41</v>
      </c>
      <c r="BI981" s="251" t="s">
        <v>396</v>
      </c>
      <c r="BJ981" s="251" t="s">
        <v>1855</v>
      </c>
      <c r="BK981" s="251" t="s">
        <v>3100</v>
      </c>
      <c r="BL981" s="251" t="s">
        <v>551</v>
      </c>
    </row>
    <row r="982" spans="2:64" ht="15">
      <c r="B982" s="84"/>
      <c r="D982" s="84"/>
      <c r="E982" s="84"/>
      <c r="F982" s="84"/>
      <c r="G982" s="84"/>
      <c r="R982" s="251"/>
      <c r="S982" s="251"/>
      <c r="BD982" s="399">
        <v>979</v>
      </c>
      <c r="BE982" s="399" t="s">
        <v>3101</v>
      </c>
      <c r="BF982" s="251" t="s">
        <v>2401</v>
      </c>
      <c r="BG982" s="399" t="s">
        <v>549</v>
      </c>
      <c r="BH982" s="252">
        <v>41</v>
      </c>
      <c r="BI982" s="251" t="s">
        <v>728</v>
      </c>
      <c r="BJ982" s="251" t="s">
        <v>380</v>
      </c>
      <c r="BK982" s="251" t="s">
        <v>3102</v>
      </c>
      <c r="BL982" s="251" t="s">
        <v>551</v>
      </c>
    </row>
    <row r="983" spans="2:64" ht="15">
      <c r="B983" s="84"/>
      <c r="D983" s="84"/>
      <c r="E983" s="84"/>
      <c r="F983" s="84"/>
      <c r="G983" s="84"/>
      <c r="R983" s="251"/>
      <c r="S983" s="251"/>
      <c r="BD983" s="399">
        <v>980</v>
      </c>
      <c r="BE983" s="399" t="s">
        <v>3103</v>
      </c>
      <c r="BF983" s="251" t="s">
        <v>2401</v>
      </c>
      <c r="BG983" s="399" t="s">
        <v>549</v>
      </c>
      <c r="BH983" s="252">
        <v>41</v>
      </c>
      <c r="BI983" s="251" t="s">
        <v>450</v>
      </c>
      <c r="BJ983" s="251" t="s">
        <v>385</v>
      </c>
      <c r="BK983" s="251" t="s">
        <v>3104</v>
      </c>
      <c r="BL983" s="251" t="s">
        <v>551</v>
      </c>
    </row>
    <row r="984" spans="2:64" ht="15">
      <c r="B984" s="84"/>
      <c r="D984" s="84"/>
      <c r="E984" s="84"/>
      <c r="F984" s="84"/>
      <c r="G984" s="84"/>
      <c r="R984" s="251"/>
      <c r="S984" s="251"/>
      <c r="BD984" s="399">
        <v>981</v>
      </c>
      <c r="BE984" s="399" t="s">
        <v>3105</v>
      </c>
      <c r="BF984" s="251" t="s">
        <v>2401</v>
      </c>
      <c r="BG984" s="399" t="s">
        <v>549</v>
      </c>
      <c r="BH984" s="252">
        <v>41</v>
      </c>
      <c r="BI984" s="251" t="s">
        <v>450</v>
      </c>
      <c r="BJ984" s="251" t="s">
        <v>1855</v>
      </c>
      <c r="BK984" s="251" t="s">
        <v>3106</v>
      </c>
      <c r="BL984" s="251" t="s">
        <v>551</v>
      </c>
    </row>
    <row r="985" spans="2:64" ht="15">
      <c r="B985" s="84"/>
      <c r="D985" s="84"/>
      <c r="E985" s="84"/>
      <c r="F985" s="84"/>
      <c r="G985" s="84"/>
      <c r="R985" s="251"/>
      <c r="S985" s="251"/>
      <c r="BD985" s="399">
        <v>982</v>
      </c>
      <c r="BE985" s="399" t="s">
        <v>3107</v>
      </c>
      <c r="BF985" s="251" t="s">
        <v>2401</v>
      </c>
      <c r="BG985" s="399" t="s">
        <v>549</v>
      </c>
      <c r="BH985" s="252">
        <v>41</v>
      </c>
      <c r="BI985" s="251" t="s">
        <v>450</v>
      </c>
      <c r="BJ985" s="251" t="s">
        <v>397</v>
      </c>
      <c r="BK985" s="251" t="s">
        <v>3108</v>
      </c>
      <c r="BL985" s="251" t="s">
        <v>551</v>
      </c>
    </row>
    <row r="986" spans="2:64" ht="15">
      <c r="B986" s="84"/>
      <c r="D986" s="84"/>
      <c r="E986" s="84"/>
      <c r="F986" s="84"/>
      <c r="G986" s="84"/>
      <c r="R986" s="251"/>
      <c r="S986" s="251"/>
      <c r="BD986" s="399">
        <v>983</v>
      </c>
      <c r="BE986" s="399" t="s">
        <v>3109</v>
      </c>
      <c r="BF986" s="251" t="s">
        <v>2401</v>
      </c>
      <c r="BG986" s="399" t="s">
        <v>549</v>
      </c>
      <c r="BH986" s="252">
        <v>41</v>
      </c>
      <c r="BI986" s="251" t="s">
        <v>413</v>
      </c>
      <c r="BJ986" s="251" t="s">
        <v>351</v>
      </c>
      <c r="BK986" s="251" t="s">
        <v>3110</v>
      </c>
      <c r="BL986" s="251" t="s">
        <v>551</v>
      </c>
    </row>
    <row r="987" spans="2:64" ht="15">
      <c r="B987" s="84"/>
      <c r="D987" s="84"/>
      <c r="E987" s="84"/>
      <c r="F987" s="84"/>
      <c r="G987" s="84"/>
      <c r="R987" s="251"/>
      <c r="S987" s="251"/>
      <c r="BD987" s="399">
        <v>984</v>
      </c>
      <c r="BE987" s="399" t="s">
        <v>3111</v>
      </c>
      <c r="BF987" s="251" t="s">
        <v>2401</v>
      </c>
      <c r="BG987" s="399" t="s">
        <v>733</v>
      </c>
      <c r="BH987" s="252">
        <v>42</v>
      </c>
      <c r="BI987" s="251" t="s">
        <v>332</v>
      </c>
      <c r="BJ987" s="251" t="s">
        <v>380</v>
      </c>
      <c r="BK987" s="251" t="s">
        <v>3112</v>
      </c>
      <c r="BL987" s="251" t="s">
        <v>736</v>
      </c>
    </row>
    <row r="988" spans="2:64" ht="15">
      <c r="B988" s="84"/>
      <c r="D988" s="84"/>
      <c r="E988" s="84"/>
      <c r="F988" s="84"/>
      <c r="G988" s="84"/>
      <c r="R988" s="251"/>
      <c r="S988" s="251"/>
      <c r="BD988" s="399">
        <v>985</v>
      </c>
      <c r="BE988" s="399" t="s">
        <v>3113</v>
      </c>
      <c r="BF988" s="251" t="s">
        <v>2401</v>
      </c>
      <c r="BG988" s="399" t="s">
        <v>733</v>
      </c>
      <c r="BH988" s="252">
        <v>42</v>
      </c>
      <c r="BI988" s="251" t="s">
        <v>332</v>
      </c>
      <c r="BJ988" s="251" t="s">
        <v>1855</v>
      </c>
      <c r="BK988" s="251" t="s">
        <v>3114</v>
      </c>
      <c r="BL988" s="251" t="s">
        <v>736</v>
      </c>
    </row>
    <row r="989" spans="2:64" ht="15">
      <c r="B989" s="84"/>
      <c r="D989" s="84"/>
      <c r="E989" s="84"/>
      <c r="F989" s="84"/>
      <c r="G989" s="84"/>
      <c r="R989" s="251"/>
      <c r="S989" s="251"/>
      <c r="BD989" s="399">
        <v>986</v>
      </c>
      <c r="BE989" s="399" t="s">
        <v>1769</v>
      </c>
      <c r="BF989" s="251" t="s">
        <v>2401</v>
      </c>
      <c r="BG989" s="399" t="s">
        <v>733</v>
      </c>
      <c r="BH989" s="252">
        <v>42</v>
      </c>
      <c r="BI989" s="251" t="s">
        <v>332</v>
      </c>
      <c r="BJ989" s="251" t="s">
        <v>397</v>
      </c>
      <c r="BK989" s="251" t="s">
        <v>3115</v>
      </c>
      <c r="BL989" s="251" t="s">
        <v>736</v>
      </c>
    </row>
    <row r="990" spans="2:64" ht="15">
      <c r="B990" s="84"/>
      <c r="D990" s="84"/>
      <c r="E990" s="84"/>
      <c r="F990" s="84"/>
      <c r="G990" s="84"/>
      <c r="R990" s="251"/>
      <c r="S990" s="251"/>
      <c r="BD990" s="399">
        <v>987</v>
      </c>
      <c r="BE990" s="399" t="s">
        <v>3116</v>
      </c>
      <c r="BF990" s="251" t="s">
        <v>2401</v>
      </c>
      <c r="BG990" s="399" t="s">
        <v>733</v>
      </c>
      <c r="BH990" s="252">
        <v>42</v>
      </c>
      <c r="BI990" s="251" t="s">
        <v>334</v>
      </c>
      <c r="BJ990" s="251" t="s">
        <v>397</v>
      </c>
      <c r="BK990" s="251" t="s">
        <v>3117</v>
      </c>
      <c r="BL990" s="251" t="s">
        <v>736</v>
      </c>
    </row>
    <row r="991" spans="2:64" ht="15">
      <c r="B991" s="84"/>
      <c r="D991" s="84"/>
      <c r="E991" s="84"/>
      <c r="F991" s="84"/>
      <c r="G991" s="84"/>
      <c r="R991" s="251"/>
      <c r="S991" s="251"/>
      <c r="BD991" s="399">
        <v>988</v>
      </c>
      <c r="BE991" s="399" t="s">
        <v>3118</v>
      </c>
      <c r="BF991" s="251" t="s">
        <v>2401</v>
      </c>
      <c r="BG991" s="399" t="s">
        <v>733</v>
      </c>
      <c r="BH991" s="252">
        <v>42</v>
      </c>
      <c r="BI991" s="251" t="s">
        <v>407</v>
      </c>
      <c r="BJ991" s="251" t="s">
        <v>351</v>
      </c>
      <c r="BK991" s="251" t="s">
        <v>3119</v>
      </c>
      <c r="BL991" s="251" t="s">
        <v>736</v>
      </c>
    </row>
    <row r="992" spans="2:64" ht="15">
      <c r="B992" s="84"/>
      <c r="D992" s="84"/>
      <c r="E992" s="84"/>
      <c r="F992" s="84"/>
      <c r="G992" s="84"/>
      <c r="R992" s="251"/>
      <c r="S992" s="251"/>
      <c r="BD992" s="399">
        <v>989</v>
      </c>
      <c r="BE992" s="399" t="s">
        <v>3120</v>
      </c>
      <c r="BF992" s="251" t="s">
        <v>2401</v>
      </c>
      <c r="BG992" s="399" t="s">
        <v>733</v>
      </c>
      <c r="BH992" s="252">
        <v>42</v>
      </c>
      <c r="BI992" s="251" t="s">
        <v>524</v>
      </c>
      <c r="BJ992" s="251" t="s">
        <v>413</v>
      </c>
      <c r="BK992" s="251" t="s">
        <v>3121</v>
      </c>
      <c r="BL992" s="251" t="s">
        <v>736</v>
      </c>
    </row>
    <row r="993" spans="2:64" ht="15">
      <c r="B993" s="84"/>
      <c r="D993" s="84"/>
      <c r="E993" s="84"/>
      <c r="F993" s="84"/>
      <c r="G993" s="84"/>
      <c r="R993" s="251"/>
      <c r="S993" s="251"/>
      <c r="BD993" s="399">
        <v>990</v>
      </c>
      <c r="BE993" s="399" t="s">
        <v>3122</v>
      </c>
      <c r="BF993" s="251" t="s">
        <v>2401</v>
      </c>
      <c r="BG993" s="399" t="s">
        <v>733</v>
      </c>
      <c r="BH993" s="252">
        <v>42</v>
      </c>
      <c r="BI993" s="251" t="s">
        <v>740</v>
      </c>
      <c r="BJ993" s="251" t="s">
        <v>2877</v>
      </c>
      <c r="BK993" s="251" t="s">
        <v>3123</v>
      </c>
      <c r="BL993" s="251" t="s">
        <v>736</v>
      </c>
    </row>
    <row r="994" spans="2:64" ht="15">
      <c r="B994" s="84"/>
      <c r="D994" s="84"/>
      <c r="E994" s="84"/>
      <c r="F994" s="84"/>
      <c r="G994" s="84"/>
      <c r="R994" s="251"/>
      <c r="S994" s="251"/>
      <c r="BD994" s="399">
        <v>991</v>
      </c>
      <c r="BE994" s="399" t="s">
        <v>3124</v>
      </c>
      <c r="BF994" s="251" t="s">
        <v>2401</v>
      </c>
      <c r="BG994" s="399" t="s">
        <v>733</v>
      </c>
      <c r="BH994" s="252">
        <v>42</v>
      </c>
      <c r="BI994" s="251" t="s">
        <v>615</v>
      </c>
      <c r="BJ994" s="251" t="s">
        <v>1855</v>
      </c>
      <c r="BK994" s="251" t="s">
        <v>3125</v>
      </c>
      <c r="BL994" s="251" t="s">
        <v>736</v>
      </c>
    </row>
    <row r="995" spans="2:64" ht="15">
      <c r="B995" s="84"/>
      <c r="D995" s="84"/>
      <c r="E995" s="84"/>
      <c r="F995" s="84"/>
      <c r="G995" s="84"/>
      <c r="R995" s="251"/>
      <c r="S995" s="251"/>
      <c r="BD995" s="399">
        <v>992</v>
      </c>
      <c r="BE995" s="399" t="s">
        <v>3126</v>
      </c>
      <c r="BF995" s="251" t="s">
        <v>2401</v>
      </c>
      <c r="BG995" s="399" t="s">
        <v>733</v>
      </c>
      <c r="BH995" s="252" t="s">
        <v>734</v>
      </c>
      <c r="BI995" s="251" t="s">
        <v>390</v>
      </c>
      <c r="BJ995" s="251" t="s">
        <v>407</v>
      </c>
      <c r="BK995" s="251" t="s">
        <v>3127</v>
      </c>
      <c r="BL995" s="251" t="s">
        <v>736</v>
      </c>
    </row>
    <row r="996" spans="2:64" ht="15">
      <c r="B996" s="84"/>
      <c r="D996" s="84"/>
      <c r="E996" s="84"/>
      <c r="F996" s="84"/>
      <c r="G996" s="84"/>
      <c r="R996" s="251"/>
      <c r="S996" s="251"/>
      <c r="BD996" s="399">
        <v>993</v>
      </c>
      <c r="BE996" s="399" t="s">
        <v>3128</v>
      </c>
      <c r="BF996" s="251" t="s">
        <v>2401</v>
      </c>
      <c r="BG996" s="399" t="s">
        <v>733</v>
      </c>
      <c r="BH996" s="252" t="s">
        <v>734</v>
      </c>
      <c r="BI996" s="251" t="s">
        <v>1817</v>
      </c>
      <c r="BJ996" s="251" t="s">
        <v>954</v>
      </c>
      <c r="BK996" s="251" t="s">
        <v>3129</v>
      </c>
      <c r="BL996" s="251" t="s">
        <v>736</v>
      </c>
    </row>
    <row r="997" spans="2:64" ht="15">
      <c r="B997" s="84"/>
      <c r="D997" s="84"/>
      <c r="E997" s="84"/>
      <c r="F997" s="84"/>
      <c r="G997" s="84"/>
      <c r="R997" s="251"/>
      <c r="S997" s="251"/>
      <c r="BD997" s="399">
        <v>994</v>
      </c>
      <c r="BE997" s="399" t="s">
        <v>3130</v>
      </c>
      <c r="BF997" s="251" t="s">
        <v>2401</v>
      </c>
      <c r="BG997" s="399" t="s">
        <v>733</v>
      </c>
      <c r="BH997" s="252">
        <v>42</v>
      </c>
      <c r="BI997" s="251" t="s">
        <v>477</v>
      </c>
      <c r="BJ997" s="251" t="s">
        <v>413</v>
      </c>
      <c r="BK997" s="251" t="s">
        <v>3131</v>
      </c>
      <c r="BL997" s="251" t="s">
        <v>736</v>
      </c>
    </row>
    <row r="998" spans="2:64" ht="15">
      <c r="B998" s="84"/>
      <c r="D998" s="84"/>
      <c r="E998" s="84"/>
      <c r="F998" s="84"/>
      <c r="G998" s="84"/>
      <c r="R998" s="251"/>
      <c r="S998" s="251"/>
      <c r="BD998" s="399">
        <v>995</v>
      </c>
      <c r="BE998" s="399" t="s">
        <v>3132</v>
      </c>
      <c r="BF998" s="251" t="s">
        <v>2401</v>
      </c>
      <c r="BG998" s="399" t="s">
        <v>733</v>
      </c>
      <c r="BH998" s="252">
        <v>42</v>
      </c>
      <c r="BI998" s="251" t="s">
        <v>728</v>
      </c>
      <c r="BJ998" s="251" t="s">
        <v>380</v>
      </c>
      <c r="BK998" s="251" t="s">
        <v>3133</v>
      </c>
      <c r="BL998" s="251" t="s">
        <v>736</v>
      </c>
    </row>
    <row r="999" spans="2:64" ht="15">
      <c r="B999" s="84"/>
      <c r="D999" s="84"/>
      <c r="E999" s="84"/>
      <c r="F999" s="84"/>
      <c r="G999" s="84"/>
      <c r="R999" s="251"/>
      <c r="S999" s="251"/>
      <c r="BD999" s="399">
        <v>996</v>
      </c>
      <c r="BE999" s="399" t="s">
        <v>3134</v>
      </c>
      <c r="BF999" s="251" t="s">
        <v>2401</v>
      </c>
      <c r="BG999" s="399" t="s">
        <v>733</v>
      </c>
      <c r="BH999" s="252">
        <v>42</v>
      </c>
      <c r="BI999" s="251" t="s">
        <v>728</v>
      </c>
      <c r="BJ999" s="251" t="s">
        <v>1855</v>
      </c>
      <c r="BK999" s="251" t="s">
        <v>3135</v>
      </c>
      <c r="BL999" s="251" t="s">
        <v>736</v>
      </c>
    </row>
    <row r="1000" spans="2:64" ht="15">
      <c r="B1000" s="84"/>
      <c r="D1000" s="84"/>
      <c r="E1000" s="84"/>
      <c r="F1000" s="84"/>
      <c r="G1000" s="84"/>
      <c r="R1000" s="251"/>
      <c r="S1000" s="251"/>
      <c r="BD1000" s="399">
        <v>997</v>
      </c>
      <c r="BE1000" s="399" t="s">
        <v>3136</v>
      </c>
      <c r="BF1000" s="251" t="s">
        <v>2401</v>
      </c>
      <c r="BG1000" s="399" t="s">
        <v>733</v>
      </c>
      <c r="BH1000" s="252">
        <v>42</v>
      </c>
      <c r="BI1000" s="251" t="s">
        <v>728</v>
      </c>
      <c r="BJ1000" s="251" t="s">
        <v>397</v>
      </c>
      <c r="BK1000" s="251" t="s">
        <v>3137</v>
      </c>
      <c r="BL1000" s="251" t="s">
        <v>736</v>
      </c>
    </row>
    <row r="1001" spans="2:64" ht="15">
      <c r="B1001" s="84"/>
      <c r="D1001" s="84"/>
      <c r="E1001" s="84"/>
      <c r="F1001" s="84"/>
      <c r="G1001" s="84"/>
      <c r="R1001" s="251"/>
      <c r="S1001" s="251"/>
      <c r="BD1001" s="399">
        <v>998</v>
      </c>
      <c r="BE1001" s="399" t="s">
        <v>3138</v>
      </c>
      <c r="BF1001" s="251" t="s">
        <v>2401</v>
      </c>
      <c r="BG1001" s="399" t="s">
        <v>733</v>
      </c>
      <c r="BH1001" s="252">
        <v>42</v>
      </c>
      <c r="BI1001" s="251" t="s">
        <v>397</v>
      </c>
      <c r="BJ1001" s="251" t="s">
        <v>351</v>
      </c>
      <c r="BK1001" s="251" t="s">
        <v>3139</v>
      </c>
      <c r="BL1001" s="251" t="s">
        <v>736</v>
      </c>
    </row>
    <row r="1002" spans="2:64" ht="15">
      <c r="B1002" s="84"/>
      <c r="D1002" s="84"/>
      <c r="E1002" s="84"/>
      <c r="F1002" s="84"/>
      <c r="G1002" s="84"/>
      <c r="R1002" s="251"/>
      <c r="S1002" s="251"/>
      <c r="BD1002" s="399">
        <v>999</v>
      </c>
      <c r="BE1002" s="399" t="s">
        <v>3140</v>
      </c>
      <c r="BF1002" s="251" t="s">
        <v>2401</v>
      </c>
      <c r="BG1002" s="399" t="s">
        <v>733</v>
      </c>
      <c r="BH1002" s="252">
        <v>42</v>
      </c>
      <c r="BI1002" s="251" t="s">
        <v>450</v>
      </c>
      <c r="BJ1002" s="251" t="s">
        <v>385</v>
      </c>
      <c r="BK1002" s="251" t="s">
        <v>3141</v>
      </c>
      <c r="BL1002" s="251" t="s">
        <v>736</v>
      </c>
    </row>
    <row r="1003" spans="2:64" ht="15">
      <c r="B1003" s="84"/>
      <c r="D1003" s="84"/>
      <c r="E1003" s="84"/>
      <c r="F1003" s="84"/>
      <c r="G1003" s="84"/>
      <c r="R1003" s="251"/>
      <c r="S1003" s="251"/>
      <c r="BD1003" s="399">
        <v>1000</v>
      </c>
      <c r="BE1003" s="399" t="s">
        <v>3142</v>
      </c>
      <c r="BF1003" s="251" t="s">
        <v>2401</v>
      </c>
      <c r="BG1003" s="399" t="s">
        <v>733</v>
      </c>
      <c r="BH1003" s="252">
        <v>42</v>
      </c>
      <c r="BI1003" s="251" t="s">
        <v>450</v>
      </c>
      <c r="BJ1003" s="251" t="s">
        <v>1855</v>
      </c>
      <c r="BK1003" s="251" t="s">
        <v>3143</v>
      </c>
      <c r="BL1003" s="251" t="s">
        <v>736</v>
      </c>
    </row>
    <row r="1004" spans="2:64" ht="15">
      <c r="B1004" s="84"/>
      <c r="D1004" s="84"/>
      <c r="E1004" s="84"/>
      <c r="F1004" s="84"/>
      <c r="G1004" s="84"/>
      <c r="R1004" s="251"/>
      <c r="S1004" s="251"/>
      <c r="BD1004" s="399">
        <v>1001</v>
      </c>
      <c r="BE1004" s="399" t="s">
        <v>3144</v>
      </c>
      <c r="BF1004" s="251" t="s">
        <v>2401</v>
      </c>
      <c r="BG1004" s="399" t="s">
        <v>733</v>
      </c>
      <c r="BH1004" s="252">
        <v>42</v>
      </c>
      <c r="BI1004" s="251" t="s">
        <v>450</v>
      </c>
      <c r="BJ1004" s="251" t="s">
        <v>397</v>
      </c>
      <c r="BK1004" s="251" t="s">
        <v>3145</v>
      </c>
      <c r="BL1004" s="251" t="s">
        <v>736</v>
      </c>
    </row>
    <row r="1005" spans="2:64" ht="15">
      <c r="B1005" s="84"/>
      <c r="D1005" s="84"/>
      <c r="E1005" s="84"/>
      <c r="F1005" s="84"/>
      <c r="G1005" s="84"/>
      <c r="R1005" s="251"/>
      <c r="S1005" s="251"/>
      <c r="BD1005" s="399">
        <v>1002</v>
      </c>
      <c r="BE1005" s="399" t="s">
        <v>3146</v>
      </c>
      <c r="BF1005" s="251" t="s">
        <v>2401</v>
      </c>
      <c r="BG1005" s="399" t="s">
        <v>733</v>
      </c>
      <c r="BH1005" s="252">
        <v>42</v>
      </c>
      <c r="BI1005" s="251" t="s">
        <v>535</v>
      </c>
      <c r="BJ1005" s="251" t="s">
        <v>413</v>
      </c>
      <c r="BK1005" s="251" t="s">
        <v>3147</v>
      </c>
      <c r="BL1005" s="251" t="s">
        <v>736</v>
      </c>
    </row>
    <row r="1006" spans="2:64" ht="15">
      <c r="B1006" s="84"/>
      <c r="D1006" s="84"/>
      <c r="E1006" s="84"/>
      <c r="F1006" s="84"/>
      <c r="G1006" s="84"/>
      <c r="R1006" s="251"/>
      <c r="S1006" s="251"/>
      <c r="BD1006" s="399">
        <v>1003</v>
      </c>
      <c r="BE1006" s="399" t="s">
        <v>996</v>
      </c>
      <c r="BF1006" s="251" t="s">
        <v>2401</v>
      </c>
      <c r="BG1006" s="399" t="s">
        <v>449</v>
      </c>
      <c r="BH1006" s="252">
        <v>43</v>
      </c>
      <c r="BI1006" s="251" t="s">
        <v>331</v>
      </c>
      <c r="BJ1006" s="251" t="s">
        <v>380</v>
      </c>
      <c r="BK1006" s="251" t="s">
        <v>998</v>
      </c>
      <c r="BL1006" s="251" t="s">
        <v>452</v>
      </c>
    </row>
    <row r="1007" spans="2:64" ht="15">
      <c r="B1007" s="84"/>
      <c r="D1007" s="84"/>
      <c r="E1007" s="84"/>
      <c r="F1007" s="84"/>
      <c r="G1007" s="84"/>
      <c r="R1007" s="251"/>
      <c r="S1007" s="251"/>
      <c r="BD1007" s="399">
        <v>1004</v>
      </c>
      <c r="BE1007" s="399" t="s">
        <v>3148</v>
      </c>
      <c r="BF1007" s="251" t="s">
        <v>2401</v>
      </c>
      <c r="BG1007" s="399" t="s">
        <v>449</v>
      </c>
      <c r="BH1007" s="252">
        <v>43</v>
      </c>
      <c r="BI1007" s="251" t="s">
        <v>331</v>
      </c>
      <c r="BJ1007" s="251" t="s">
        <v>397</v>
      </c>
      <c r="BK1007" s="251" t="s">
        <v>3149</v>
      </c>
      <c r="BL1007" s="251" t="s">
        <v>452</v>
      </c>
    </row>
    <row r="1008" spans="2:64" ht="15">
      <c r="B1008" s="84"/>
      <c r="D1008" s="84"/>
      <c r="E1008" s="84"/>
      <c r="F1008" s="84"/>
      <c r="G1008" s="84"/>
      <c r="R1008" s="251"/>
      <c r="S1008" s="251"/>
      <c r="BD1008" s="399">
        <v>1005</v>
      </c>
      <c r="BE1008" s="399" t="s">
        <v>3150</v>
      </c>
      <c r="BF1008" s="251" t="s">
        <v>2401</v>
      </c>
      <c r="BG1008" s="399" t="s">
        <v>449</v>
      </c>
      <c r="BH1008" s="252">
        <v>43</v>
      </c>
      <c r="BI1008" s="251" t="s">
        <v>332</v>
      </c>
      <c r="BJ1008" s="251" t="s">
        <v>2460</v>
      </c>
      <c r="BK1008" s="251" t="s">
        <v>3151</v>
      </c>
      <c r="BL1008" s="251" t="s">
        <v>452</v>
      </c>
    </row>
    <row r="1009" spans="2:64" ht="15">
      <c r="B1009" s="84"/>
      <c r="D1009" s="84"/>
      <c r="E1009" s="84"/>
      <c r="F1009" s="84"/>
      <c r="G1009" s="84"/>
      <c r="R1009" s="251"/>
      <c r="S1009" s="251"/>
      <c r="BD1009" s="399">
        <v>1006</v>
      </c>
      <c r="BE1009" s="399" t="s">
        <v>3152</v>
      </c>
      <c r="BF1009" s="251" t="s">
        <v>2401</v>
      </c>
      <c r="BG1009" s="399" t="s">
        <v>449</v>
      </c>
      <c r="BH1009" s="252">
        <v>43</v>
      </c>
      <c r="BI1009" s="251" t="s">
        <v>334</v>
      </c>
      <c r="BJ1009" s="251" t="s">
        <v>1855</v>
      </c>
      <c r="BK1009" s="251" t="s">
        <v>3153</v>
      </c>
      <c r="BL1009" s="251" t="s">
        <v>452</v>
      </c>
    </row>
    <row r="1010" spans="2:64" ht="15">
      <c r="B1010" s="84"/>
      <c r="D1010" s="84"/>
      <c r="E1010" s="84"/>
      <c r="F1010" s="84"/>
      <c r="G1010" s="84"/>
      <c r="R1010" s="251"/>
      <c r="S1010" s="251"/>
      <c r="BD1010" s="399">
        <v>1007</v>
      </c>
      <c r="BE1010" s="399" t="s">
        <v>3154</v>
      </c>
      <c r="BF1010" s="251" t="s">
        <v>2401</v>
      </c>
      <c r="BG1010" s="399" t="s">
        <v>449</v>
      </c>
      <c r="BH1010" s="252">
        <v>43</v>
      </c>
      <c r="BI1010" s="251" t="s">
        <v>334</v>
      </c>
      <c r="BJ1010" s="251" t="s">
        <v>2159</v>
      </c>
      <c r="BK1010" s="251" t="s">
        <v>3155</v>
      </c>
      <c r="BL1010" s="251" t="s">
        <v>452</v>
      </c>
    </row>
    <row r="1011" spans="2:64" ht="15">
      <c r="B1011" s="84"/>
      <c r="D1011" s="84"/>
      <c r="E1011" s="84"/>
      <c r="F1011" s="84"/>
      <c r="G1011" s="84"/>
      <c r="R1011" s="251"/>
      <c r="S1011" s="251"/>
      <c r="BD1011" s="399">
        <v>1008</v>
      </c>
      <c r="BE1011" s="399" t="s">
        <v>3156</v>
      </c>
      <c r="BF1011" s="251" t="s">
        <v>2401</v>
      </c>
      <c r="BG1011" s="399" t="s">
        <v>449</v>
      </c>
      <c r="BH1011" s="252">
        <v>43</v>
      </c>
      <c r="BI1011" s="251" t="s">
        <v>334</v>
      </c>
      <c r="BJ1011" s="251" t="s">
        <v>2460</v>
      </c>
      <c r="BK1011" s="251" t="s">
        <v>3157</v>
      </c>
      <c r="BL1011" s="251" t="s">
        <v>452</v>
      </c>
    </row>
    <row r="1012" spans="2:64" ht="15">
      <c r="B1012" s="84"/>
      <c r="D1012" s="84"/>
      <c r="E1012" s="84"/>
      <c r="F1012" s="84"/>
      <c r="G1012" s="84"/>
      <c r="R1012" s="251"/>
      <c r="S1012" s="251"/>
      <c r="BD1012" s="399">
        <v>1009</v>
      </c>
      <c r="BE1012" s="399" t="s">
        <v>3158</v>
      </c>
      <c r="BF1012" s="251" t="s">
        <v>2401</v>
      </c>
      <c r="BG1012" s="399" t="s">
        <v>449</v>
      </c>
      <c r="BH1012" s="252">
        <v>43</v>
      </c>
      <c r="BI1012" s="251" t="s">
        <v>1855</v>
      </c>
      <c r="BJ1012" s="251" t="s">
        <v>2827</v>
      </c>
      <c r="BK1012" s="251" t="s">
        <v>3159</v>
      </c>
      <c r="BL1012" s="251" t="s">
        <v>452</v>
      </c>
    </row>
    <row r="1013" spans="2:64" ht="15">
      <c r="B1013" s="84"/>
      <c r="D1013" s="84"/>
      <c r="E1013" s="84"/>
      <c r="F1013" s="84"/>
      <c r="G1013" s="84"/>
      <c r="R1013" s="251"/>
      <c r="S1013" s="251"/>
      <c r="BD1013" s="399">
        <v>1010</v>
      </c>
      <c r="BE1013" s="399" t="s">
        <v>3160</v>
      </c>
      <c r="BF1013" s="251" t="s">
        <v>2401</v>
      </c>
      <c r="BG1013" s="399" t="s">
        <v>449</v>
      </c>
      <c r="BH1013" s="252">
        <v>43</v>
      </c>
      <c r="BI1013" s="251" t="s">
        <v>1855</v>
      </c>
      <c r="BJ1013" s="251" t="s">
        <v>351</v>
      </c>
      <c r="BK1013" s="251" t="s">
        <v>3161</v>
      </c>
      <c r="BL1013" s="251" t="s">
        <v>452</v>
      </c>
    </row>
    <row r="1014" spans="2:64" ht="15">
      <c r="B1014" s="84"/>
      <c r="D1014" s="84"/>
      <c r="E1014" s="84"/>
      <c r="F1014" s="84"/>
      <c r="G1014" s="84"/>
      <c r="R1014" s="251"/>
      <c r="S1014" s="251"/>
      <c r="BD1014" s="399">
        <v>1011</v>
      </c>
      <c r="BE1014" s="399" t="s">
        <v>3162</v>
      </c>
      <c r="BF1014" s="251" t="s">
        <v>2401</v>
      </c>
      <c r="BG1014" s="399" t="s">
        <v>449</v>
      </c>
      <c r="BH1014" s="252">
        <v>43</v>
      </c>
      <c r="BI1014" s="251" t="s">
        <v>2471</v>
      </c>
      <c r="BJ1014" s="251" t="s">
        <v>2482</v>
      </c>
      <c r="BK1014" s="251" t="s">
        <v>3163</v>
      </c>
      <c r="BL1014" s="251" t="s">
        <v>452</v>
      </c>
    </row>
    <row r="1015" spans="2:64" ht="15">
      <c r="B1015" s="84"/>
      <c r="D1015" s="84"/>
      <c r="E1015" s="84"/>
      <c r="F1015" s="84"/>
      <c r="G1015" s="84"/>
      <c r="R1015" s="251"/>
      <c r="S1015" s="251"/>
      <c r="BD1015" s="399">
        <v>1012</v>
      </c>
      <c r="BE1015" s="399" t="s">
        <v>3164</v>
      </c>
      <c r="BF1015" s="251" t="s">
        <v>2401</v>
      </c>
      <c r="BG1015" s="399" t="s">
        <v>449</v>
      </c>
      <c r="BH1015" s="252">
        <v>43</v>
      </c>
      <c r="BI1015" s="251" t="s">
        <v>524</v>
      </c>
      <c r="BJ1015" s="251" t="s">
        <v>778</v>
      </c>
      <c r="BK1015" s="251" t="s">
        <v>3165</v>
      </c>
      <c r="BL1015" s="251" t="s">
        <v>452</v>
      </c>
    </row>
    <row r="1016" spans="2:64" ht="15">
      <c r="B1016" s="84"/>
      <c r="D1016" s="84"/>
      <c r="E1016" s="84"/>
      <c r="F1016" s="84"/>
      <c r="G1016" s="84"/>
      <c r="R1016" s="251"/>
      <c r="S1016" s="251"/>
      <c r="BD1016" s="399">
        <v>1013</v>
      </c>
      <c r="BE1016" s="399" t="s">
        <v>3166</v>
      </c>
      <c r="BF1016" s="251" t="s">
        <v>2401</v>
      </c>
      <c r="BG1016" s="399" t="s">
        <v>449</v>
      </c>
      <c r="BH1016" s="252">
        <v>43</v>
      </c>
      <c r="BI1016" s="251" t="s">
        <v>2430</v>
      </c>
      <c r="BJ1016" s="251" t="s">
        <v>407</v>
      </c>
      <c r="BK1016" s="251" t="s">
        <v>3167</v>
      </c>
      <c r="BL1016" s="251" t="s">
        <v>452</v>
      </c>
    </row>
    <row r="1017" spans="2:64" ht="15">
      <c r="B1017" s="84"/>
      <c r="D1017" s="84"/>
      <c r="E1017" s="84"/>
      <c r="F1017" s="84"/>
      <c r="G1017" s="84"/>
      <c r="R1017" s="251"/>
      <c r="S1017" s="251"/>
      <c r="BD1017" s="399">
        <v>1014</v>
      </c>
      <c r="BE1017" s="399" t="s">
        <v>3168</v>
      </c>
      <c r="BF1017" s="251" t="s">
        <v>2401</v>
      </c>
      <c r="BG1017" s="399" t="s">
        <v>449</v>
      </c>
      <c r="BH1017" s="252">
        <v>43</v>
      </c>
      <c r="BI1017" s="251" t="s">
        <v>396</v>
      </c>
      <c r="BJ1017" s="251" t="s">
        <v>380</v>
      </c>
      <c r="BK1017" s="251" t="s">
        <v>3169</v>
      </c>
      <c r="BL1017" s="251" t="s">
        <v>452</v>
      </c>
    </row>
    <row r="1018" spans="2:64" ht="15">
      <c r="B1018" s="84"/>
      <c r="D1018" s="84"/>
      <c r="E1018" s="84"/>
      <c r="F1018" s="84"/>
      <c r="G1018" s="84"/>
      <c r="R1018" s="251"/>
      <c r="S1018" s="251"/>
      <c r="BD1018" s="399">
        <v>1015</v>
      </c>
      <c r="BE1018" s="399" t="s">
        <v>3170</v>
      </c>
      <c r="BF1018" s="251" t="s">
        <v>2401</v>
      </c>
      <c r="BG1018" s="399" t="s">
        <v>449</v>
      </c>
      <c r="BH1018" s="252">
        <v>43</v>
      </c>
      <c r="BI1018" s="251" t="s">
        <v>728</v>
      </c>
      <c r="BJ1018" s="251" t="s">
        <v>380</v>
      </c>
      <c r="BK1018" s="251" t="s">
        <v>3171</v>
      </c>
      <c r="BL1018" s="251" t="s">
        <v>452</v>
      </c>
    </row>
    <row r="1019" spans="2:64" ht="15">
      <c r="B1019" s="84"/>
      <c r="D1019" s="84"/>
      <c r="E1019" s="84"/>
      <c r="F1019" s="84"/>
      <c r="G1019" s="84"/>
      <c r="R1019" s="251"/>
      <c r="S1019" s="251"/>
      <c r="BD1019" s="399">
        <v>1016</v>
      </c>
      <c r="BE1019" s="399" t="s">
        <v>3172</v>
      </c>
      <c r="BF1019" s="251" t="s">
        <v>2401</v>
      </c>
      <c r="BG1019" s="399" t="s">
        <v>449</v>
      </c>
      <c r="BH1019" s="252">
        <v>43</v>
      </c>
      <c r="BI1019" s="251" t="s">
        <v>357</v>
      </c>
      <c r="BJ1019" s="251" t="s">
        <v>413</v>
      </c>
      <c r="BK1019" s="251" t="s">
        <v>3173</v>
      </c>
      <c r="BL1019" s="251" t="s">
        <v>452</v>
      </c>
    </row>
    <row r="1020" spans="2:64" ht="15">
      <c r="B1020" s="84"/>
      <c r="D1020" s="84"/>
      <c r="E1020" s="84"/>
      <c r="F1020" s="84"/>
      <c r="G1020" s="84"/>
      <c r="R1020" s="251"/>
      <c r="S1020" s="251"/>
      <c r="BD1020" s="399">
        <v>1017</v>
      </c>
      <c r="BE1020" s="399" t="s">
        <v>3174</v>
      </c>
      <c r="BF1020" s="251" t="s">
        <v>2401</v>
      </c>
      <c r="BG1020" s="399" t="s">
        <v>449</v>
      </c>
      <c r="BH1020" s="252">
        <v>43</v>
      </c>
      <c r="BI1020" s="251" t="s">
        <v>535</v>
      </c>
      <c r="BJ1020" s="251" t="s">
        <v>407</v>
      </c>
      <c r="BK1020" s="251" t="s">
        <v>3175</v>
      </c>
      <c r="BL1020" s="251" t="s">
        <v>452</v>
      </c>
    </row>
    <row r="1021" spans="2:64" ht="15">
      <c r="B1021" s="84"/>
      <c r="D1021" s="84"/>
      <c r="E1021" s="84"/>
      <c r="F1021" s="84"/>
      <c r="G1021" s="84"/>
      <c r="R1021" s="251"/>
      <c r="S1021" s="251"/>
      <c r="BD1021" s="399">
        <v>1018</v>
      </c>
      <c r="BE1021" s="399" t="s">
        <v>3176</v>
      </c>
      <c r="BF1021" s="251" t="s">
        <v>2401</v>
      </c>
      <c r="BG1021" s="399" t="s">
        <v>449</v>
      </c>
      <c r="BH1021" s="252">
        <v>43</v>
      </c>
      <c r="BI1021" s="251" t="s">
        <v>535</v>
      </c>
      <c r="BJ1021" s="251" t="s">
        <v>2460</v>
      </c>
      <c r="BK1021" s="251" t="s">
        <v>3177</v>
      </c>
      <c r="BL1021" s="251" t="s">
        <v>452</v>
      </c>
    </row>
    <row r="1022" spans="2:64" ht="15">
      <c r="B1022" s="84"/>
      <c r="D1022" s="84"/>
      <c r="E1022" s="84"/>
      <c r="F1022" s="84"/>
      <c r="G1022" s="84"/>
      <c r="R1022" s="251"/>
      <c r="S1022" s="251"/>
      <c r="BD1022" s="399">
        <v>1019</v>
      </c>
      <c r="BE1022" s="399" t="s">
        <v>3178</v>
      </c>
      <c r="BF1022" s="251" t="s">
        <v>2401</v>
      </c>
      <c r="BG1022" s="399" t="s">
        <v>449</v>
      </c>
      <c r="BH1022" s="252">
        <v>43</v>
      </c>
      <c r="BI1022" s="251" t="s">
        <v>2460</v>
      </c>
      <c r="BJ1022" s="251" t="s">
        <v>2578</v>
      </c>
      <c r="BK1022" s="251" t="s">
        <v>3179</v>
      </c>
      <c r="BL1022" s="251" t="s">
        <v>452</v>
      </c>
    </row>
    <row r="1023" spans="2:64" ht="15">
      <c r="B1023" s="84"/>
      <c r="D1023" s="84"/>
      <c r="E1023" s="84"/>
      <c r="F1023" s="84"/>
      <c r="G1023" s="84"/>
      <c r="R1023" s="251"/>
      <c r="S1023" s="251"/>
      <c r="BD1023" s="399">
        <v>1020</v>
      </c>
      <c r="BE1023" s="399" t="s">
        <v>3180</v>
      </c>
      <c r="BF1023" s="251" t="s">
        <v>2401</v>
      </c>
      <c r="BG1023" s="399" t="s">
        <v>590</v>
      </c>
      <c r="BH1023" s="252" t="s">
        <v>2031</v>
      </c>
      <c r="BI1023" s="251" t="s">
        <v>407</v>
      </c>
      <c r="BJ1023" s="251" t="s">
        <v>351</v>
      </c>
      <c r="BK1023" s="251" t="s">
        <v>3181</v>
      </c>
      <c r="BL1023" s="251" t="s">
        <v>592</v>
      </c>
    </row>
    <row r="1024" spans="2:64" ht="15">
      <c r="B1024" s="84"/>
      <c r="D1024" s="84"/>
      <c r="E1024" s="84"/>
      <c r="F1024" s="84"/>
      <c r="G1024" s="84"/>
      <c r="R1024" s="251"/>
      <c r="S1024" s="251"/>
      <c r="BD1024" s="399">
        <v>1021</v>
      </c>
      <c r="BE1024" s="399" t="s">
        <v>3182</v>
      </c>
      <c r="BF1024" s="251" t="s">
        <v>2401</v>
      </c>
      <c r="BG1024" s="399" t="s">
        <v>590</v>
      </c>
      <c r="BH1024" s="252">
        <v>44</v>
      </c>
      <c r="BI1024" s="251" t="s">
        <v>524</v>
      </c>
      <c r="BJ1024" s="251" t="s">
        <v>2460</v>
      </c>
      <c r="BK1024" s="251" t="s">
        <v>3183</v>
      </c>
      <c r="BL1024" s="251" t="s">
        <v>592</v>
      </c>
    </row>
    <row r="1025" spans="2:64" ht="15">
      <c r="B1025" s="84"/>
      <c r="D1025" s="84"/>
      <c r="E1025" s="84"/>
      <c r="F1025" s="84"/>
      <c r="G1025" s="84"/>
      <c r="R1025" s="251"/>
      <c r="S1025" s="251"/>
      <c r="BD1025" s="399">
        <v>1022</v>
      </c>
      <c r="BE1025" s="399" t="s">
        <v>3184</v>
      </c>
      <c r="BF1025" s="251" t="s">
        <v>2401</v>
      </c>
      <c r="BG1025" s="399" t="s">
        <v>590</v>
      </c>
      <c r="BH1025" s="252" t="s">
        <v>2031</v>
      </c>
      <c r="BI1025" s="251" t="s">
        <v>740</v>
      </c>
      <c r="BJ1025" s="251" t="s">
        <v>2460</v>
      </c>
      <c r="BK1025" s="251" t="s">
        <v>3185</v>
      </c>
      <c r="BL1025" s="251" t="s">
        <v>592</v>
      </c>
    </row>
    <row r="1026" spans="2:64" ht="15">
      <c r="B1026" s="84"/>
      <c r="D1026" s="84"/>
      <c r="E1026" s="84"/>
      <c r="F1026" s="84"/>
      <c r="G1026" s="84"/>
      <c r="R1026" s="251"/>
      <c r="S1026" s="251"/>
      <c r="BD1026" s="399">
        <v>1023</v>
      </c>
      <c r="BE1026" s="399" t="s">
        <v>3186</v>
      </c>
      <c r="BF1026" s="251" t="s">
        <v>2401</v>
      </c>
      <c r="BG1026" s="399" t="s">
        <v>590</v>
      </c>
      <c r="BH1026" s="252">
        <v>44</v>
      </c>
      <c r="BI1026" s="251" t="s">
        <v>357</v>
      </c>
      <c r="BJ1026" s="251" t="s">
        <v>413</v>
      </c>
      <c r="BK1026" s="251" t="s">
        <v>3187</v>
      </c>
      <c r="BL1026" s="251" t="s">
        <v>592</v>
      </c>
    </row>
    <row r="1027" spans="2:64" ht="15">
      <c r="B1027" s="84"/>
      <c r="D1027" s="84"/>
      <c r="E1027" s="84"/>
      <c r="F1027" s="84"/>
      <c r="G1027" s="84"/>
      <c r="R1027" s="251"/>
      <c r="S1027" s="251"/>
      <c r="BD1027" s="399">
        <v>1024</v>
      </c>
      <c r="BE1027" s="399" t="s">
        <v>3188</v>
      </c>
      <c r="BF1027" s="251" t="s">
        <v>2401</v>
      </c>
      <c r="BG1027" s="399" t="s">
        <v>590</v>
      </c>
      <c r="BH1027" s="252">
        <v>44</v>
      </c>
      <c r="BI1027" s="251" t="s">
        <v>535</v>
      </c>
      <c r="BJ1027" s="251" t="s">
        <v>407</v>
      </c>
      <c r="BK1027" s="251" t="s">
        <v>3189</v>
      </c>
      <c r="BL1027" s="251" t="s">
        <v>592</v>
      </c>
    </row>
    <row r="1028" spans="2:64" ht="15">
      <c r="B1028" s="84"/>
      <c r="D1028" s="84"/>
      <c r="E1028" s="84"/>
      <c r="F1028" s="84"/>
      <c r="G1028" s="84"/>
      <c r="R1028" s="251"/>
      <c r="S1028" s="251"/>
      <c r="BD1028" s="399">
        <v>1025</v>
      </c>
      <c r="BE1028" s="399" t="s">
        <v>3190</v>
      </c>
      <c r="BF1028" s="251" t="s">
        <v>2401</v>
      </c>
      <c r="BG1028" s="399" t="s">
        <v>590</v>
      </c>
      <c r="BH1028" s="252" t="s">
        <v>2031</v>
      </c>
      <c r="BI1028" s="251" t="s">
        <v>2159</v>
      </c>
      <c r="BJ1028" s="251" t="s">
        <v>1855</v>
      </c>
      <c r="BK1028" s="251" t="s">
        <v>3191</v>
      </c>
      <c r="BL1028" s="251" t="s">
        <v>592</v>
      </c>
    </row>
    <row r="1029" spans="2:64" ht="15">
      <c r="B1029" s="84"/>
      <c r="D1029" s="84"/>
      <c r="E1029" s="84"/>
      <c r="F1029" s="84"/>
      <c r="G1029" s="84"/>
      <c r="R1029" s="251"/>
      <c r="S1029" s="251"/>
      <c r="BD1029" s="399">
        <v>1026</v>
      </c>
      <c r="BE1029" s="399" t="s">
        <v>3192</v>
      </c>
      <c r="BF1029" s="251" t="s">
        <v>2401</v>
      </c>
      <c r="BG1029" s="399" t="s">
        <v>739</v>
      </c>
      <c r="BH1029" s="252">
        <v>45</v>
      </c>
      <c r="BI1029" s="251" t="s">
        <v>331</v>
      </c>
      <c r="BJ1029" s="251" t="s">
        <v>450</v>
      </c>
      <c r="BK1029" s="251" t="s">
        <v>3193</v>
      </c>
      <c r="BL1029" s="251" t="s">
        <v>742</v>
      </c>
    </row>
    <row r="1030" spans="2:64" ht="15">
      <c r="B1030" s="84"/>
      <c r="D1030" s="84"/>
      <c r="E1030" s="84"/>
      <c r="F1030" s="84"/>
      <c r="G1030" s="84"/>
      <c r="R1030" s="251"/>
      <c r="S1030" s="251"/>
      <c r="BD1030" s="399">
        <v>1027</v>
      </c>
      <c r="BE1030" s="399" t="s">
        <v>3194</v>
      </c>
      <c r="BF1030" s="251" t="s">
        <v>2401</v>
      </c>
      <c r="BG1030" s="399" t="s">
        <v>739</v>
      </c>
      <c r="BH1030" s="252">
        <v>45</v>
      </c>
      <c r="BI1030" s="251" t="s">
        <v>2478</v>
      </c>
      <c r="BJ1030" s="251" t="s">
        <v>380</v>
      </c>
      <c r="BK1030" s="251" t="s">
        <v>3195</v>
      </c>
      <c r="BL1030" s="251" t="s">
        <v>742</v>
      </c>
    </row>
    <row r="1031" spans="2:64" ht="15">
      <c r="B1031" s="84"/>
      <c r="D1031" s="84"/>
      <c r="E1031" s="84"/>
      <c r="F1031" s="84"/>
      <c r="G1031" s="84"/>
      <c r="R1031" s="251"/>
      <c r="S1031" s="251"/>
      <c r="BD1031" s="399">
        <v>1028</v>
      </c>
      <c r="BE1031" s="399" t="s">
        <v>3196</v>
      </c>
      <c r="BF1031" s="251" t="s">
        <v>2401</v>
      </c>
      <c r="BG1031" s="399" t="s">
        <v>739</v>
      </c>
      <c r="BH1031" s="252">
        <v>45</v>
      </c>
      <c r="BI1031" s="251" t="s">
        <v>2478</v>
      </c>
      <c r="BJ1031" s="251" t="s">
        <v>407</v>
      </c>
      <c r="BK1031" s="251" t="s">
        <v>3197</v>
      </c>
      <c r="BL1031" s="251" t="s">
        <v>742</v>
      </c>
    </row>
    <row r="1032" spans="2:64" ht="15">
      <c r="B1032" s="84"/>
      <c r="D1032" s="84"/>
      <c r="E1032" s="84"/>
      <c r="F1032" s="84"/>
      <c r="G1032" s="84"/>
      <c r="R1032" s="251"/>
      <c r="S1032" s="251"/>
      <c r="BD1032" s="399">
        <v>1029</v>
      </c>
      <c r="BE1032" s="399" t="s">
        <v>3198</v>
      </c>
      <c r="BF1032" s="251" t="s">
        <v>2401</v>
      </c>
      <c r="BG1032" s="399" t="s">
        <v>739</v>
      </c>
      <c r="BH1032" s="252">
        <v>45</v>
      </c>
      <c r="BI1032" s="251" t="s">
        <v>1295</v>
      </c>
      <c r="BJ1032" s="251" t="s">
        <v>1855</v>
      </c>
      <c r="BK1032" s="251" t="s">
        <v>3199</v>
      </c>
      <c r="BL1032" s="251" t="s">
        <v>742</v>
      </c>
    </row>
    <row r="1033" spans="2:64" ht="15">
      <c r="B1033" s="84"/>
      <c r="D1033" s="84"/>
      <c r="E1033" s="84"/>
      <c r="F1033" s="84"/>
      <c r="G1033" s="84"/>
      <c r="R1033" s="251"/>
      <c r="S1033" s="251"/>
      <c r="BD1033" s="399">
        <v>1030</v>
      </c>
      <c r="BE1033" s="399" t="s">
        <v>3200</v>
      </c>
      <c r="BF1033" s="251" t="s">
        <v>2401</v>
      </c>
      <c r="BG1033" s="399" t="s">
        <v>739</v>
      </c>
      <c r="BH1033" s="252">
        <v>45</v>
      </c>
      <c r="BI1033" s="251" t="s">
        <v>740</v>
      </c>
      <c r="BJ1033" s="251" t="s">
        <v>380</v>
      </c>
      <c r="BK1033" s="251" t="s">
        <v>3201</v>
      </c>
      <c r="BL1033" s="251" t="s">
        <v>742</v>
      </c>
    </row>
    <row r="1034" spans="2:64" ht="15">
      <c r="B1034" s="84"/>
      <c r="D1034" s="84"/>
      <c r="E1034" s="84"/>
      <c r="F1034" s="84"/>
      <c r="G1034" s="84"/>
      <c r="R1034" s="251"/>
      <c r="S1034" s="251"/>
      <c r="BD1034" s="399">
        <v>1031</v>
      </c>
      <c r="BE1034" s="399" t="s">
        <v>3202</v>
      </c>
      <c r="BF1034" s="251" t="s">
        <v>2401</v>
      </c>
      <c r="BG1034" s="399" t="s">
        <v>739</v>
      </c>
      <c r="BH1034" s="252">
        <v>45</v>
      </c>
      <c r="BI1034" s="251" t="s">
        <v>728</v>
      </c>
      <c r="BJ1034" s="251" t="s">
        <v>380</v>
      </c>
      <c r="BK1034" s="251" t="s">
        <v>3203</v>
      </c>
      <c r="BL1034" s="251" t="s">
        <v>742</v>
      </c>
    </row>
    <row r="1035" spans="2:64" ht="15">
      <c r="B1035" s="84"/>
      <c r="D1035" s="84"/>
      <c r="E1035" s="84"/>
      <c r="F1035" s="84"/>
      <c r="G1035" s="84"/>
      <c r="R1035" s="251"/>
      <c r="S1035" s="251"/>
      <c r="BD1035" s="399">
        <v>1032</v>
      </c>
      <c r="BE1035" s="399" t="s">
        <v>3204</v>
      </c>
      <c r="BF1035" s="251" t="s">
        <v>2401</v>
      </c>
      <c r="BG1035" s="399" t="s">
        <v>739</v>
      </c>
      <c r="BH1035" s="252">
        <v>45</v>
      </c>
      <c r="BI1035" s="251" t="s">
        <v>728</v>
      </c>
      <c r="BJ1035" s="251" t="s">
        <v>2159</v>
      </c>
      <c r="BK1035" s="251" t="s">
        <v>3205</v>
      </c>
      <c r="BL1035" s="251" t="s">
        <v>742</v>
      </c>
    </row>
    <row r="1036" spans="2:64" ht="15">
      <c r="B1036" s="84"/>
      <c r="D1036" s="84"/>
      <c r="E1036" s="84"/>
      <c r="F1036" s="84"/>
      <c r="G1036" s="84"/>
      <c r="R1036" s="251"/>
      <c r="S1036" s="251"/>
      <c r="BD1036" s="399">
        <v>1033</v>
      </c>
      <c r="BE1036" s="399" t="s">
        <v>3206</v>
      </c>
      <c r="BF1036" s="251" t="s">
        <v>2401</v>
      </c>
      <c r="BG1036" s="399" t="s">
        <v>739</v>
      </c>
      <c r="BH1036" s="252">
        <v>45</v>
      </c>
      <c r="BI1036" s="251" t="s">
        <v>535</v>
      </c>
      <c r="BJ1036" s="251" t="s">
        <v>380</v>
      </c>
      <c r="BK1036" s="251" t="s">
        <v>3207</v>
      </c>
      <c r="BL1036" s="251" t="s">
        <v>742</v>
      </c>
    </row>
    <row r="1037" spans="2:64" ht="15">
      <c r="B1037" s="84"/>
      <c r="D1037" s="84"/>
      <c r="E1037" s="84"/>
      <c r="F1037" s="84"/>
      <c r="G1037" s="84"/>
      <c r="R1037" s="251"/>
      <c r="S1037" s="251"/>
      <c r="BD1037" s="399">
        <v>1034</v>
      </c>
      <c r="BE1037" s="399" t="s">
        <v>3208</v>
      </c>
      <c r="BF1037" s="251" t="s">
        <v>2401</v>
      </c>
      <c r="BG1037" s="399" t="s">
        <v>739</v>
      </c>
      <c r="BH1037" s="252">
        <v>45</v>
      </c>
      <c r="BI1037" s="251" t="s">
        <v>535</v>
      </c>
      <c r="BJ1037" s="251" t="s">
        <v>407</v>
      </c>
      <c r="BK1037" s="251" t="s">
        <v>3209</v>
      </c>
      <c r="BL1037" s="251" t="s">
        <v>742</v>
      </c>
    </row>
    <row r="1038" spans="2:64" ht="15">
      <c r="B1038" s="84"/>
      <c r="D1038" s="84"/>
      <c r="E1038" s="84"/>
      <c r="F1038" s="84"/>
      <c r="G1038" s="84"/>
      <c r="R1038" s="251"/>
      <c r="S1038" s="251"/>
      <c r="BD1038" s="399">
        <v>1035</v>
      </c>
      <c r="BE1038" s="399" t="s">
        <v>3210</v>
      </c>
      <c r="BF1038" s="251" t="s">
        <v>2401</v>
      </c>
      <c r="BG1038" s="399" t="s">
        <v>739</v>
      </c>
      <c r="BH1038" s="252">
        <v>45</v>
      </c>
      <c r="BI1038" s="251" t="s">
        <v>535</v>
      </c>
      <c r="BJ1038" s="251" t="s">
        <v>2460</v>
      </c>
      <c r="BK1038" s="251" t="s">
        <v>3211</v>
      </c>
      <c r="BL1038" s="251" t="s">
        <v>742</v>
      </c>
    </row>
    <row r="1039" spans="2:64" ht="15">
      <c r="B1039" s="84"/>
      <c r="D1039" s="84"/>
      <c r="E1039" s="84"/>
      <c r="F1039" s="84"/>
      <c r="G1039" s="84"/>
      <c r="R1039" s="251"/>
      <c r="S1039" s="251"/>
      <c r="BD1039" s="399">
        <v>1036</v>
      </c>
      <c r="BE1039" s="399" t="s">
        <v>3212</v>
      </c>
      <c r="BF1039" s="251" t="s">
        <v>2401</v>
      </c>
      <c r="BG1039" s="399" t="s">
        <v>602</v>
      </c>
      <c r="BH1039" s="252">
        <v>47</v>
      </c>
      <c r="BI1039" s="251" t="s">
        <v>331</v>
      </c>
      <c r="BJ1039" s="251" t="s">
        <v>380</v>
      </c>
      <c r="BK1039" s="251" t="s">
        <v>3213</v>
      </c>
      <c r="BL1039" s="251" t="s">
        <v>604</v>
      </c>
    </row>
    <row r="1040" spans="2:64" ht="15">
      <c r="B1040" s="84"/>
      <c r="D1040" s="84"/>
      <c r="E1040" s="84"/>
      <c r="F1040" s="84"/>
      <c r="G1040" s="84"/>
      <c r="R1040" s="251"/>
      <c r="S1040" s="251"/>
      <c r="BD1040" s="399">
        <v>1037</v>
      </c>
      <c r="BE1040" s="399" t="s">
        <v>3214</v>
      </c>
      <c r="BF1040" s="251" t="s">
        <v>2401</v>
      </c>
      <c r="BG1040" s="399" t="s">
        <v>602</v>
      </c>
      <c r="BH1040" s="252">
        <v>47</v>
      </c>
      <c r="BI1040" s="251" t="s">
        <v>331</v>
      </c>
      <c r="BJ1040" s="251" t="s">
        <v>1855</v>
      </c>
      <c r="BK1040" s="251" t="s">
        <v>3215</v>
      </c>
      <c r="BL1040" s="251" t="s">
        <v>604</v>
      </c>
    </row>
    <row r="1041" spans="2:64" ht="15">
      <c r="B1041" s="84"/>
      <c r="D1041" s="84"/>
      <c r="E1041" s="84"/>
      <c r="F1041" s="84"/>
      <c r="G1041" s="84"/>
      <c r="R1041" s="251"/>
      <c r="S1041" s="251"/>
      <c r="BD1041" s="399">
        <v>1038</v>
      </c>
      <c r="BE1041" s="399" t="s">
        <v>3216</v>
      </c>
      <c r="BF1041" s="251" t="s">
        <v>2401</v>
      </c>
      <c r="BG1041" s="399" t="s">
        <v>602</v>
      </c>
      <c r="BH1041" s="252">
        <v>47</v>
      </c>
      <c r="BI1041" s="251" t="s">
        <v>332</v>
      </c>
      <c r="BJ1041" s="251" t="s">
        <v>380</v>
      </c>
      <c r="BK1041" s="251" t="s">
        <v>3217</v>
      </c>
      <c r="BL1041" s="251" t="s">
        <v>604</v>
      </c>
    </row>
    <row r="1042" spans="2:64" ht="15">
      <c r="B1042" s="84"/>
      <c r="D1042" s="84"/>
      <c r="E1042" s="84"/>
      <c r="F1042" s="84"/>
      <c r="G1042" s="84"/>
      <c r="R1042" s="251"/>
      <c r="S1042" s="251"/>
      <c r="BD1042" s="399">
        <v>1039</v>
      </c>
      <c r="BE1042" s="399" t="s">
        <v>3218</v>
      </c>
      <c r="BF1042" s="251" t="s">
        <v>2401</v>
      </c>
      <c r="BG1042" s="399" t="s">
        <v>602</v>
      </c>
      <c r="BH1042" s="252">
        <v>47</v>
      </c>
      <c r="BI1042" s="251" t="s">
        <v>332</v>
      </c>
      <c r="BJ1042" s="251" t="s">
        <v>1855</v>
      </c>
      <c r="BK1042" s="251" t="s">
        <v>3219</v>
      </c>
      <c r="BL1042" s="251" t="s">
        <v>604</v>
      </c>
    </row>
    <row r="1043" spans="2:64" ht="15">
      <c r="B1043" s="84"/>
      <c r="D1043" s="84"/>
      <c r="E1043" s="84"/>
      <c r="F1043" s="84"/>
      <c r="G1043" s="84"/>
      <c r="R1043" s="251"/>
      <c r="S1043" s="251"/>
      <c r="BD1043" s="399">
        <v>1040</v>
      </c>
      <c r="BE1043" s="399" t="s">
        <v>3220</v>
      </c>
      <c r="BF1043" s="251" t="s">
        <v>2401</v>
      </c>
      <c r="BG1043" s="399" t="s">
        <v>602</v>
      </c>
      <c r="BH1043" s="252">
        <v>47</v>
      </c>
      <c r="BI1043" s="251" t="s">
        <v>332</v>
      </c>
      <c r="BJ1043" s="251" t="s">
        <v>397</v>
      </c>
      <c r="BK1043" s="251" t="s">
        <v>3221</v>
      </c>
      <c r="BL1043" s="251" t="s">
        <v>604</v>
      </c>
    </row>
    <row r="1044" spans="2:64" ht="15">
      <c r="B1044" s="84"/>
      <c r="D1044" s="84"/>
      <c r="E1044" s="84"/>
      <c r="F1044" s="84"/>
      <c r="G1044" s="84"/>
      <c r="R1044" s="251"/>
      <c r="S1044" s="251"/>
      <c r="BD1044" s="399">
        <v>1041</v>
      </c>
      <c r="BE1044" s="399" t="s">
        <v>3222</v>
      </c>
      <c r="BF1044" s="251" t="s">
        <v>2401</v>
      </c>
      <c r="BG1044" s="399" t="s">
        <v>602</v>
      </c>
      <c r="BH1044" s="252">
        <v>47</v>
      </c>
      <c r="BI1044" s="251" t="s">
        <v>334</v>
      </c>
      <c r="BJ1044" s="251" t="s">
        <v>380</v>
      </c>
      <c r="BK1044" s="251" t="s">
        <v>3223</v>
      </c>
      <c r="BL1044" s="251" t="s">
        <v>604</v>
      </c>
    </row>
    <row r="1045" spans="2:64" ht="15">
      <c r="B1045" s="84"/>
      <c r="D1045" s="84"/>
      <c r="E1045" s="84"/>
      <c r="F1045" s="84"/>
      <c r="G1045" s="84"/>
      <c r="R1045" s="251"/>
      <c r="S1045" s="251"/>
      <c r="BD1045" s="399">
        <v>1042</v>
      </c>
      <c r="BE1045" s="399" t="s">
        <v>3224</v>
      </c>
      <c r="BF1045" s="251" t="s">
        <v>2401</v>
      </c>
      <c r="BG1045" s="399" t="s">
        <v>602</v>
      </c>
      <c r="BH1045" s="252">
        <v>47</v>
      </c>
      <c r="BI1045" s="251" t="s">
        <v>334</v>
      </c>
      <c r="BJ1045" s="251" t="s">
        <v>1855</v>
      </c>
      <c r="BK1045" s="251" t="s">
        <v>3225</v>
      </c>
      <c r="BL1045" s="251" t="s">
        <v>604</v>
      </c>
    </row>
    <row r="1046" spans="2:64" ht="15">
      <c r="B1046" s="84"/>
      <c r="D1046" s="84"/>
      <c r="E1046" s="84"/>
      <c r="F1046" s="84"/>
      <c r="G1046" s="84"/>
      <c r="R1046" s="251"/>
      <c r="S1046" s="251"/>
      <c r="BD1046" s="399">
        <v>1043</v>
      </c>
      <c r="BE1046" s="399" t="s">
        <v>3226</v>
      </c>
      <c r="BF1046" s="251" t="s">
        <v>2401</v>
      </c>
      <c r="BG1046" s="399" t="s">
        <v>602</v>
      </c>
      <c r="BH1046" s="252">
        <v>47</v>
      </c>
      <c r="BI1046" s="251" t="s">
        <v>334</v>
      </c>
      <c r="BJ1046" s="251" t="s">
        <v>2159</v>
      </c>
      <c r="BK1046" s="251" t="s">
        <v>3227</v>
      </c>
      <c r="BL1046" s="251" t="s">
        <v>604</v>
      </c>
    </row>
    <row r="1047" spans="2:64" ht="15">
      <c r="B1047" s="84"/>
      <c r="D1047" s="84"/>
      <c r="E1047" s="84"/>
      <c r="F1047" s="84"/>
      <c r="G1047" s="84"/>
      <c r="R1047" s="251"/>
      <c r="S1047" s="251"/>
      <c r="BD1047" s="399">
        <v>1044</v>
      </c>
      <c r="BE1047" s="399" t="s">
        <v>3228</v>
      </c>
      <c r="BF1047" s="251" t="s">
        <v>2401</v>
      </c>
      <c r="BG1047" s="399" t="s">
        <v>602</v>
      </c>
      <c r="BH1047" s="252">
        <v>47</v>
      </c>
      <c r="BI1047" s="251" t="s">
        <v>1855</v>
      </c>
      <c r="BJ1047" s="251" t="s">
        <v>351</v>
      </c>
      <c r="BK1047" s="251" t="s">
        <v>3229</v>
      </c>
      <c r="BL1047" s="251" t="s">
        <v>604</v>
      </c>
    </row>
    <row r="1048" spans="2:64" ht="15">
      <c r="B1048" s="84"/>
      <c r="D1048" s="84"/>
      <c r="E1048" s="84"/>
      <c r="F1048" s="84"/>
      <c r="G1048" s="84"/>
      <c r="R1048" s="251"/>
      <c r="S1048" s="251"/>
      <c r="BD1048" s="399">
        <v>1045</v>
      </c>
      <c r="BE1048" s="399" t="s">
        <v>3230</v>
      </c>
      <c r="BF1048" s="251" t="s">
        <v>2401</v>
      </c>
      <c r="BG1048" s="399" t="s">
        <v>602</v>
      </c>
      <c r="BH1048" s="252">
        <v>47</v>
      </c>
      <c r="BI1048" s="251" t="s">
        <v>3231</v>
      </c>
      <c r="BJ1048" s="251" t="s">
        <v>407</v>
      </c>
      <c r="BK1048" s="251" t="s">
        <v>3232</v>
      </c>
      <c r="BL1048" s="251" t="s">
        <v>604</v>
      </c>
    </row>
    <row r="1049" spans="2:64" ht="15">
      <c r="B1049" s="84"/>
      <c r="D1049" s="84"/>
      <c r="E1049" s="84"/>
      <c r="F1049" s="84"/>
      <c r="G1049" s="84"/>
      <c r="R1049" s="251"/>
      <c r="S1049" s="251"/>
      <c r="BD1049" s="399">
        <v>1046</v>
      </c>
      <c r="BE1049" s="399" t="s">
        <v>3233</v>
      </c>
      <c r="BF1049" s="251" t="s">
        <v>2401</v>
      </c>
      <c r="BG1049" s="399" t="s">
        <v>602</v>
      </c>
      <c r="BH1049" s="252">
        <v>47</v>
      </c>
      <c r="BI1049" s="251" t="s">
        <v>728</v>
      </c>
      <c r="BJ1049" s="251" t="s">
        <v>1855</v>
      </c>
      <c r="BK1049" s="251" t="s">
        <v>3234</v>
      </c>
      <c r="BL1049" s="251" t="s">
        <v>604</v>
      </c>
    </row>
    <row r="1050" spans="2:64" ht="15">
      <c r="B1050" s="84"/>
      <c r="D1050" s="84"/>
      <c r="E1050" s="84"/>
      <c r="F1050" s="84"/>
      <c r="G1050" s="84"/>
      <c r="R1050" s="251"/>
      <c r="S1050" s="251"/>
      <c r="BD1050" s="399">
        <v>1047</v>
      </c>
      <c r="BE1050" s="399" t="s">
        <v>3235</v>
      </c>
      <c r="BF1050" s="251" t="s">
        <v>2401</v>
      </c>
      <c r="BG1050" s="399" t="s">
        <v>602</v>
      </c>
      <c r="BH1050" s="252">
        <v>47</v>
      </c>
      <c r="BI1050" s="251" t="s">
        <v>728</v>
      </c>
      <c r="BJ1050" s="251" t="s">
        <v>397</v>
      </c>
      <c r="BK1050" s="251" t="s">
        <v>3236</v>
      </c>
      <c r="BL1050" s="251" t="s">
        <v>604</v>
      </c>
    </row>
    <row r="1051" spans="2:64" ht="15">
      <c r="B1051" s="84"/>
      <c r="D1051" s="84"/>
      <c r="E1051" s="84"/>
      <c r="F1051" s="84"/>
      <c r="G1051" s="84"/>
      <c r="R1051" s="251"/>
      <c r="S1051" s="251"/>
      <c r="BD1051" s="399">
        <v>1048</v>
      </c>
      <c r="BE1051" s="399" t="s">
        <v>3237</v>
      </c>
      <c r="BF1051" s="251" t="s">
        <v>2401</v>
      </c>
      <c r="BG1051" s="399" t="s">
        <v>602</v>
      </c>
      <c r="BH1051" s="252">
        <v>47</v>
      </c>
      <c r="BI1051" s="251" t="s">
        <v>397</v>
      </c>
      <c r="BJ1051" s="251" t="s">
        <v>351</v>
      </c>
      <c r="BK1051" s="251" t="s">
        <v>3238</v>
      </c>
      <c r="BL1051" s="251" t="s">
        <v>604</v>
      </c>
    </row>
    <row r="1052" spans="2:64" ht="15">
      <c r="B1052" s="84"/>
      <c r="D1052" s="84"/>
      <c r="E1052" s="84"/>
      <c r="F1052" s="84"/>
      <c r="G1052" s="84"/>
      <c r="R1052" s="251"/>
      <c r="S1052" s="251"/>
      <c r="BD1052" s="399">
        <v>1049</v>
      </c>
      <c r="BE1052" s="399" t="s">
        <v>3239</v>
      </c>
      <c r="BF1052" s="251" t="s">
        <v>2401</v>
      </c>
      <c r="BG1052" s="399" t="s">
        <v>602</v>
      </c>
      <c r="BH1052" s="252">
        <v>47</v>
      </c>
      <c r="BI1052" s="251" t="s">
        <v>535</v>
      </c>
      <c r="BJ1052" s="251" t="s">
        <v>1855</v>
      </c>
      <c r="BK1052" s="251" t="s">
        <v>3240</v>
      </c>
      <c r="BL1052" s="251" t="s">
        <v>604</v>
      </c>
    </row>
    <row r="1053" spans="2:64" ht="15">
      <c r="B1053" s="84"/>
      <c r="D1053" s="84"/>
      <c r="E1053" s="84"/>
      <c r="F1053" s="84"/>
      <c r="G1053" s="84"/>
      <c r="R1053" s="251"/>
      <c r="S1053" s="251"/>
      <c r="BD1053" s="399">
        <v>1050</v>
      </c>
      <c r="BE1053" s="399" t="s">
        <v>3241</v>
      </c>
      <c r="BF1053" s="251" t="s">
        <v>2401</v>
      </c>
      <c r="BG1053" s="399" t="s">
        <v>0</v>
      </c>
      <c r="BH1053" s="252">
        <v>48</v>
      </c>
      <c r="BI1053" s="251" t="s">
        <v>331</v>
      </c>
      <c r="BJ1053" s="251" t="s">
        <v>397</v>
      </c>
      <c r="BK1053" s="251" t="s">
        <v>3242</v>
      </c>
      <c r="BL1053" s="251" t="s">
        <v>818</v>
      </c>
    </row>
    <row r="1054" spans="2:64" ht="15">
      <c r="B1054" s="84"/>
      <c r="D1054" s="84"/>
      <c r="E1054" s="84"/>
      <c r="F1054" s="84"/>
      <c r="G1054" s="84"/>
      <c r="R1054" s="251"/>
      <c r="S1054" s="251"/>
      <c r="BD1054" s="399">
        <v>1051</v>
      </c>
      <c r="BE1054" s="399" t="s">
        <v>3243</v>
      </c>
      <c r="BF1054" s="251" t="s">
        <v>2401</v>
      </c>
      <c r="BG1054" s="399" t="s">
        <v>0</v>
      </c>
      <c r="BH1054" s="252">
        <v>48</v>
      </c>
      <c r="BI1054" s="251" t="s">
        <v>331</v>
      </c>
      <c r="BJ1054" s="251" t="s">
        <v>2159</v>
      </c>
      <c r="BK1054" s="251" t="s">
        <v>3244</v>
      </c>
      <c r="BL1054" s="251" t="s">
        <v>818</v>
      </c>
    </row>
    <row r="1055" spans="2:64" ht="15">
      <c r="B1055" s="84"/>
      <c r="D1055" s="84"/>
      <c r="E1055" s="84"/>
      <c r="F1055" s="84"/>
      <c r="G1055" s="84"/>
      <c r="R1055" s="251"/>
      <c r="S1055" s="251"/>
      <c r="BD1055" s="399">
        <v>1052</v>
      </c>
      <c r="BE1055" s="399" t="s">
        <v>3245</v>
      </c>
      <c r="BF1055" s="251" t="s">
        <v>2401</v>
      </c>
      <c r="BG1055" s="399" t="s">
        <v>0</v>
      </c>
      <c r="BH1055" s="252">
        <v>48</v>
      </c>
      <c r="BI1055" s="251" t="s">
        <v>332</v>
      </c>
      <c r="BJ1055" s="251" t="s">
        <v>397</v>
      </c>
      <c r="BK1055" s="251" t="s">
        <v>3246</v>
      </c>
      <c r="BL1055" s="251" t="s">
        <v>818</v>
      </c>
    </row>
    <row r="1056" spans="2:64" ht="15">
      <c r="B1056" s="84"/>
      <c r="D1056" s="84"/>
      <c r="E1056" s="84"/>
      <c r="F1056" s="84"/>
      <c r="G1056" s="84"/>
      <c r="R1056" s="251"/>
      <c r="S1056" s="251"/>
      <c r="BD1056" s="399">
        <v>1053</v>
      </c>
      <c r="BE1056" s="399" t="s">
        <v>3247</v>
      </c>
      <c r="BF1056" s="251" t="s">
        <v>2401</v>
      </c>
      <c r="BG1056" s="399" t="s">
        <v>0</v>
      </c>
      <c r="BH1056" s="252">
        <v>48</v>
      </c>
      <c r="BI1056" s="251" t="s">
        <v>332</v>
      </c>
      <c r="BJ1056" s="251" t="s">
        <v>1855</v>
      </c>
      <c r="BK1056" s="251" t="s">
        <v>3248</v>
      </c>
      <c r="BL1056" s="251" t="s">
        <v>818</v>
      </c>
    </row>
    <row r="1057" spans="2:64" ht="15">
      <c r="B1057" s="84"/>
      <c r="D1057" s="84"/>
      <c r="E1057" s="84"/>
      <c r="F1057" s="84"/>
      <c r="G1057" s="84"/>
      <c r="R1057" s="251"/>
      <c r="S1057" s="251"/>
      <c r="BD1057" s="399">
        <v>1054</v>
      </c>
      <c r="BE1057" s="399" t="s">
        <v>3249</v>
      </c>
      <c r="BF1057" s="251" t="s">
        <v>2401</v>
      </c>
      <c r="BG1057" s="399" t="s">
        <v>0</v>
      </c>
      <c r="BH1057" s="252">
        <v>48</v>
      </c>
      <c r="BI1057" s="251" t="s">
        <v>334</v>
      </c>
      <c r="BJ1057" s="251" t="s">
        <v>385</v>
      </c>
      <c r="BK1057" s="251" t="s">
        <v>3250</v>
      </c>
      <c r="BL1057" s="251" t="s">
        <v>818</v>
      </c>
    </row>
    <row r="1058" spans="2:64" ht="15">
      <c r="B1058" s="84"/>
      <c r="D1058" s="84"/>
      <c r="E1058" s="84"/>
      <c r="F1058" s="84"/>
      <c r="G1058" s="84"/>
      <c r="R1058" s="251"/>
      <c r="S1058" s="251"/>
      <c r="BD1058" s="399">
        <v>1055</v>
      </c>
      <c r="BE1058" s="399" t="s">
        <v>3251</v>
      </c>
      <c r="BF1058" s="251" t="s">
        <v>2401</v>
      </c>
      <c r="BG1058" s="399" t="s">
        <v>0</v>
      </c>
      <c r="BH1058" s="252">
        <v>48</v>
      </c>
      <c r="BI1058" s="251" t="s">
        <v>334</v>
      </c>
      <c r="BJ1058" s="251" t="s">
        <v>397</v>
      </c>
      <c r="BK1058" s="251" t="s">
        <v>3252</v>
      </c>
      <c r="BL1058" s="251" t="s">
        <v>818</v>
      </c>
    </row>
    <row r="1059" spans="2:64" ht="15">
      <c r="B1059" s="84"/>
      <c r="D1059" s="84"/>
      <c r="E1059" s="84"/>
      <c r="F1059" s="84"/>
      <c r="G1059" s="84"/>
      <c r="R1059" s="251"/>
      <c r="S1059" s="251"/>
      <c r="BD1059" s="399">
        <v>1056</v>
      </c>
      <c r="BE1059" s="399" t="s">
        <v>3253</v>
      </c>
      <c r="BF1059" s="251" t="s">
        <v>2401</v>
      </c>
      <c r="BG1059" s="399" t="s">
        <v>0</v>
      </c>
      <c r="BH1059" s="252">
        <v>48</v>
      </c>
      <c r="BI1059" s="251" t="s">
        <v>1855</v>
      </c>
      <c r="BJ1059" s="251" t="s">
        <v>397</v>
      </c>
      <c r="BK1059" s="251" t="s">
        <v>3254</v>
      </c>
      <c r="BL1059" s="251" t="s">
        <v>818</v>
      </c>
    </row>
    <row r="1060" spans="2:64" ht="15">
      <c r="B1060" s="84"/>
      <c r="D1060" s="84"/>
      <c r="E1060" s="84"/>
      <c r="F1060" s="84"/>
      <c r="G1060" s="84"/>
      <c r="R1060" s="251"/>
      <c r="S1060" s="251"/>
      <c r="BD1060" s="399">
        <v>1057</v>
      </c>
      <c r="BE1060" s="399" t="s">
        <v>3255</v>
      </c>
      <c r="BF1060" s="251" t="s">
        <v>2401</v>
      </c>
      <c r="BG1060" s="399" t="s">
        <v>0</v>
      </c>
      <c r="BH1060" s="252">
        <v>48</v>
      </c>
      <c r="BI1060" s="251" t="s">
        <v>1295</v>
      </c>
      <c r="BJ1060" s="251" t="s">
        <v>413</v>
      </c>
      <c r="BK1060" s="251" t="s">
        <v>3256</v>
      </c>
      <c r="BL1060" s="251" t="s">
        <v>818</v>
      </c>
    </row>
    <row r="1061" spans="2:64" ht="15">
      <c r="B1061" s="84"/>
      <c r="D1061" s="84"/>
      <c r="E1061" s="84"/>
      <c r="F1061" s="84"/>
      <c r="G1061" s="84"/>
      <c r="R1061" s="251"/>
      <c r="S1061" s="251"/>
      <c r="BD1061" s="399">
        <v>1058</v>
      </c>
      <c r="BE1061" s="399" t="s">
        <v>3257</v>
      </c>
      <c r="BF1061" s="251" t="s">
        <v>2401</v>
      </c>
      <c r="BG1061" s="399" t="s">
        <v>0</v>
      </c>
      <c r="BH1061" s="252">
        <v>48</v>
      </c>
      <c r="BI1061" s="251" t="s">
        <v>379</v>
      </c>
      <c r="BJ1061" s="251" t="s">
        <v>1855</v>
      </c>
      <c r="BK1061" s="251" t="s">
        <v>3258</v>
      </c>
      <c r="BL1061" s="251" t="s">
        <v>818</v>
      </c>
    </row>
    <row r="1062" spans="2:64" ht="15">
      <c r="B1062" s="84"/>
      <c r="D1062" s="84"/>
      <c r="E1062" s="84"/>
      <c r="F1062" s="84"/>
      <c r="G1062" s="84"/>
      <c r="R1062" s="251"/>
      <c r="S1062" s="251"/>
      <c r="BD1062" s="399">
        <v>1059</v>
      </c>
      <c r="BE1062" s="399" t="s">
        <v>3259</v>
      </c>
      <c r="BF1062" s="251" t="s">
        <v>2401</v>
      </c>
      <c r="BG1062" s="399" t="s">
        <v>0</v>
      </c>
      <c r="BH1062" s="252">
        <v>48</v>
      </c>
      <c r="BI1062" s="251" t="s">
        <v>379</v>
      </c>
      <c r="BJ1062" s="251" t="s">
        <v>2159</v>
      </c>
      <c r="BK1062" s="251" t="s">
        <v>3260</v>
      </c>
      <c r="BL1062" s="251" t="s">
        <v>818</v>
      </c>
    </row>
    <row r="1063" spans="2:64" ht="15">
      <c r="B1063" s="84"/>
      <c r="D1063" s="84"/>
      <c r="E1063" s="84"/>
      <c r="F1063" s="84"/>
      <c r="G1063" s="84"/>
      <c r="R1063" s="251"/>
      <c r="S1063" s="251"/>
      <c r="BD1063" s="399">
        <v>1060</v>
      </c>
      <c r="BE1063" s="399" t="s">
        <v>3261</v>
      </c>
      <c r="BF1063" s="251" t="s">
        <v>2401</v>
      </c>
      <c r="BG1063" s="399" t="s">
        <v>0</v>
      </c>
      <c r="BH1063" s="252">
        <v>48</v>
      </c>
      <c r="BI1063" s="251" t="s">
        <v>728</v>
      </c>
      <c r="BJ1063" s="251" t="s">
        <v>380</v>
      </c>
      <c r="BK1063" s="251" t="s">
        <v>3262</v>
      </c>
      <c r="BL1063" s="251" t="s">
        <v>818</v>
      </c>
    </row>
    <row r="1064" spans="2:64" ht="15">
      <c r="B1064" s="84"/>
      <c r="D1064" s="84"/>
      <c r="E1064" s="84"/>
      <c r="F1064" s="84"/>
      <c r="G1064" s="84"/>
      <c r="R1064" s="251"/>
      <c r="S1064" s="251"/>
      <c r="BD1064" s="399">
        <v>1061</v>
      </c>
      <c r="BE1064" s="399" t="s">
        <v>3263</v>
      </c>
      <c r="BF1064" s="251" t="s">
        <v>2401</v>
      </c>
      <c r="BG1064" s="399" t="s">
        <v>0</v>
      </c>
      <c r="BH1064" s="252">
        <v>48</v>
      </c>
      <c r="BI1064" s="251" t="s">
        <v>450</v>
      </c>
      <c r="BJ1064" s="251" t="s">
        <v>778</v>
      </c>
      <c r="BK1064" s="251" t="s">
        <v>3264</v>
      </c>
      <c r="BL1064" s="251" t="s">
        <v>818</v>
      </c>
    </row>
    <row r="1065" spans="2:64" ht="15">
      <c r="B1065" s="84"/>
      <c r="D1065" s="84"/>
      <c r="E1065" s="84"/>
      <c r="F1065" s="84"/>
      <c r="G1065" s="84"/>
      <c r="R1065" s="251"/>
      <c r="S1065" s="251"/>
      <c r="BD1065" s="399">
        <v>1062</v>
      </c>
      <c r="BE1065" s="399" t="s">
        <v>3265</v>
      </c>
      <c r="BF1065" s="251" t="s">
        <v>2401</v>
      </c>
      <c r="BG1065" s="399" t="s">
        <v>0</v>
      </c>
      <c r="BH1065" s="252">
        <v>48</v>
      </c>
      <c r="BI1065" s="251" t="s">
        <v>450</v>
      </c>
      <c r="BJ1065" s="251" t="s">
        <v>351</v>
      </c>
      <c r="BK1065" s="251" t="s">
        <v>3266</v>
      </c>
      <c r="BL1065" s="251" t="s">
        <v>818</v>
      </c>
    </row>
    <row r="1066" spans="2:64" ht="15">
      <c r="B1066" s="84"/>
      <c r="D1066" s="84"/>
      <c r="E1066" s="84"/>
      <c r="F1066" s="84"/>
      <c r="G1066" s="84"/>
      <c r="R1066" s="251"/>
      <c r="S1066" s="251"/>
      <c r="BD1066" s="399">
        <v>1063</v>
      </c>
      <c r="BE1066" s="399" t="s">
        <v>3267</v>
      </c>
      <c r="BF1066" s="251" t="s">
        <v>2401</v>
      </c>
      <c r="BG1066" s="399" t="s">
        <v>0</v>
      </c>
      <c r="BH1066" s="252">
        <v>48</v>
      </c>
      <c r="BI1066" s="251" t="s">
        <v>535</v>
      </c>
      <c r="BJ1066" s="251" t="s">
        <v>413</v>
      </c>
      <c r="BK1066" s="251" t="s">
        <v>3268</v>
      </c>
      <c r="BL1066" s="251" t="s">
        <v>818</v>
      </c>
    </row>
    <row r="1067" spans="2:64" ht="15">
      <c r="B1067" s="84"/>
      <c r="D1067" s="84"/>
      <c r="E1067" s="84"/>
      <c r="F1067" s="84"/>
      <c r="G1067" s="84"/>
      <c r="R1067" s="251"/>
      <c r="S1067" s="251"/>
      <c r="BD1067" s="399">
        <v>1064</v>
      </c>
      <c r="BE1067" s="399" t="s">
        <v>3269</v>
      </c>
      <c r="BF1067" s="251" t="s">
        <v>2401</v>
      </c>
      <c r="BG1067" s="399" t="s">
        <v>0</v>
      </c>
      <c r="BH1067" s="252">
        <v>48</v>
      </c>
      <c r="BI1067" s="251" t="s">
        <v>2159</v>
      </c>
      <c r="BJ1067" s="251" t="s">
        <v>3085</v>
      </c>
      <c r="BK1067" s="251" t="s">
        <v>3270</v>
      </c>
      <c r="BL1067" s="251" t="s">
        <v>818</v>
      </c>
    </row>
    <row r="1068" spans="2:64" ht="15">
      <c r="B1068" s="84"/>
      <c r="D1068" s="84"/>
      <c r="E1068" s="84"/>
      <c r="F1068" s="84"/>
      <c r="G1068" s="84"/>
      <c r="R1068" s="251"/>
      <c r="S1068" s="251"/>
      <c r="BD1068" s="399">
        <v>1065</v>
      </c>
      <c r="BE1068" s="399" t="s">
        <v>3271</v>
      </c>
      <c r="BF1068" s="251" t="s">
        <v>2401</v>
      </c>
      <c r="BG1068" s="399" t="s">
        <v>1688</v>
      </c>
      <c r="BH1068" s="252">
        <v>50</v>
      </c>
      <c r="BI1068" s="251" t="s">
        <v>332</v>
      </c>
      <c r="BJ1068" s="251" t="s">
        <v>397</v>
      </c>
      <c r="BK1068" s="251" t="s">
        <v>3272</v>
      </c>
      <c r="BL1068" s="251" t="s">
        <v>1690</v>
      </c>
    </row>
    <row r="1069" spans="2:64" ht="15">
      <c r="B1069" s="84"/>
      <c r="D1069" s="84"/>
      <c r="E1069" s="84"/>
      <c r="F1069" s="84"/>
      <c r="G1069" s="84"/>
      <c r="R1069" s="251"/>
      <c r="S1069" s="251"/>
      <c r="BD1069" s="399">
        <v>1066</v>
      </c>
      <c r="BE1069" s="399" t="s">
        <v>3273</v>
      </c>
      <c r="BF1069" s="251" t="s">
        <v>2401</v>
      </c>
      <c r="BG1069" s="399" t="s">
        <v>1688</v>
      </c>
      <c r="BH1069" s="252">
        <v>50</v>
      </c>
      <c r="BI1069" s="251" t="s">
        <v>407</v>
      </c>
      <c r="BJ1069" s="251" t="s">
        <v>539</v>
      </c>
      <c r="BK1069" s="251" t="s">
        <v>3274</v>
      </c>
      <c r="BL1069" s="251" t="s">
        <v>1690</v>
      </c>
    </row>
    <row r="1070" spans="2:64" ht="15">
      <c r="B1070" s="84"/>
      <c r="D1070" s="84"/>
      <c r="E1070" s="84"/>
      <c r="F1070" s="84"/>
      <c r="G1070" s="84"/>
      <c r="R1070" s="251"/>
      <c r="S1070" s="251"/>
      <c r="BD1070" s="399">
        <v>1067</v>
      </c>
      <c r="BE1070" s="399" t="s">
        <v>3275</v>
      </c>
      <c r="BF1070" s="251" t="s">
        <v>2401</v>
      </c>
      <c r="BG1070" s="399" t="s">
        <v>1688</v>
      </c>
      <c r="BH1070" s="252">
        <v>50</v>
      </c>
      <c r="BI1070" s="251" t="s">
        <v>2481</v>
      </c>
      <c r="BJ1070" s="251" t="s">
        <v>778</v>
      </c>
      <c r="BK1070" s="251" t="s">
        <v>3276</v>
      </c>
      <c r="BL1070" s="251" t="s">
        <v>1690</v>
      </c>
    </row>
    <row r="1071" spans="2:64" ht="15">
      <c r="B1071" s="84"/>
      <c r="D1071" s="84"/>
      <c r="E1071" s="84"/>
      <c r="F1071" s="84"/>
      <c r="G1071" s="84"/>
      <c r="R1071" s="251"/>
      <c r="S1071" s="251"/>
      <c r="BD1071" s="399">
        <v>1068</v>
      </c>
      <c r="BE1071" s="399" t="s">
        <v>3277</v>
      </c>
      <c r="BF1071" s="251" t="s">
        <v>2401</v>
      </c>
      <c r="BG1071" s="399" t="s">
        <v>1688</v>
      </c>
      <c r="BH1071" s="252">
        <v>50</v>
      </c>
      <c r="BI1071" s="251" t="s">
        <v>2430</v>
      </c>
      <c r="BJ1071" s="251" t="s">
        <v>407</v>
      </c>
      <c r="BK1071" s="251" t="s">
        <v>3278</v>
      </c>
      <c r="BL1071" s="251" t="s">
        <v>1690</v>
      </c>
    </row>
    <row r="1072" spans="2:64" ht="15">
      <c r="B1072" s="84"/>
      <c r="D1072" s="84"/>
      <c r="E1072" s="84"/>
      <c r="F1072" s="84"/>
      <c r="G1072" s="84"/>
      <c r="R1072" s="251"/>
      <c r="S1072" s="251"/>
      <c r="BD1072" s="399">
        <v>1069</v>
      </c>
      <c r="BE1072" s="399" t="s">
        <v>3279</v>
      </c>
      <c r="BF1072" s="251" t="s">
        <v>2401</v>
      </c>
      <c r="BG1072" s="399" t="s">
        <v>1688</v>
      </c>
      <c r="BH1072" s="252">
        <v>50</v>
      </c>
      <c r="BI1072" s="251" t="s">
        <v>740</v>
      </c>
      <c r="BJ1072" s="251" t="s">
        <v>397</v>
      </c>
      <c r="BK1072" s="251" t="s">
        <v>3280</v>
      </c>
      <c r="BL1072" s="251" t="s">
        <v>1690</v>
      </c>
    </row>
    <row r="1073" spans="2:64" ht="15">
      <c r="B1073" s="84"/>
      <c r="D1073" s="84"/>
      <c r="E1073" s="84"/>
      <c r="F1073" s="84"/>
      <c r="G1073" s="84"/>
      <c r="R1073" s="251"/>
      <c r="S1073" s="251"/>
      <c r="BD1073" s="399">
        <v>1070</v>
      </c>
      <c r="BE1073" s="399" t="s">
        <v>3281</v>
      </c>
      <c r="BF1073" s="251" t="s">
        <v>2401</v>
      </c>
      <c r="BG1073" s="399" t="s">
        <v>1688</v>
      </c>
      <c r="BH1073" s="252">
        <v>50</v>
      </c>
      <c r="BI1073" s="251" t="s">
        <v>379</v>
      </c>
      <c r="BJ1073" s="251" t="s">
        <v>407</v>
      </c>
      <c r="BK1073" s="251" t="s">
        <v>3282</v>
      </c>
      <c r="BL1073" s="251" t="s">
        <v>1690</v>
      </c>
    </row>
    <row r="1074" spans="2:64" ht="15">
      <c r="B1074" s="84"/>
      <c r="D1074" s="84"/>
      <c r="E1074" s="84"/>
      <c r="F1074" s="84"/>
      <c r="G1074" s="84"/>
      <c r="R1074" s="251"/>
      <c r="S1074" s="251"/>
      <c r="BD1074" s="399">
        <v>1071</v>
      </c>
      <c r="BE1074" s="399" t="s">
        <v>3283</v>
      </c>
      <c r="BF1074" s="251" t="s">
        <v>2401</v>
      </c>
      <c r="BG1074" s="399" t="s">
        <v>1688</v>
      </c>
      <c r="BH1074" s="252">
        <v>50</v>
      </c>
      <c r="BI1074" s="251" t="s">
        <v>379</v>
      </c>
      <c r="BJ1074" s="251" t="s">
        <v>397</v>
      </c>
      <c r="BK1074" s="251" t="s">
        <v>3284</v>
      </c>
      <c r="BL1074" s="251" t="s">
        <v>1690</v>
      </c>
    </row>
    <row r="1075" spans="2:64" ht="15">
      <c r="B1075" s="84"/>
      <c r="D1075" s="84"/>
      <c r="E1075" s="84"/>
      <c r="F1075" s="84"/>
      <c r="G1075" s="84"/>
      <c r="R1075" s="251"/>
      <c r="S1075" s="251"/>
      <c r="BD1075" s="399">
        <v>1072</v>
      </c>
      <c r="BE1075" s="399" t="s">
        <v>3285</v>
      </c>
      <c r="BF1075" s="251" t="s">
        <v>2401</v>
      </c>
      <c r="BG1075" s="399" t="s">
        <v>1688</v>
      </c>
      <c r="BH1075" s="252">
        <v>50</v>
      </c>
      <c r="BI1075" s="251" t="s">
        <v>390</v>
      </c>
      <c r="BJ1075" s="251" t="s">
        <v>1855</v>
      </c>
      <c r="BK1075" s="251" t="s">
        <v>3286</v>
      </c>
      <c r="BL1075" s="251" t="s">
        <v>1690</v>
      </c>
    </row>
    <row r="1076" spans="2:64" ht="15">
      <c r="B1076" s="84"/>
      <c r="D1076" s="84"/>
      <c r="E1076" s="84"/>
      <c r="F1076" s="84"/>
      <c r="G1076" s="84"/>
      <c r="R1076" s="251"/>
      <c r="S1076" s="251"/>
      <c r="BD1076" s="399">
        <v>1073</v>
      </c>
      <c r="BE1076" s="399" t="s">
        <v>3287</v>
      </c>
      <c r="BF1076" s="251" t="s">
        <v>2401</v>
      </c>
      <c r="BG1076" s="399" t="s">
        <v>1688</v>
      </c>
      <c r="BH1076" s="252">
        <v>50</v>
      </c>
      <c r="BI1076" s="251" t="s">
        <v>491</v>
      </c>
      <c r="BJ1076" s="251" t="s">
        <v>2460</v>
      </c>
      <c r="BK1076" s="251" t="s">
        <v>3288</v>
      </c>
      <c r="BL1076" s="251" t="s">
        <v>1690</v>
      </c>
    </row>
    <row r="1077" spans="2:64" ht="15">
      <c r="B1077" s="84"/>
      <c r="D1077" s="84"/>
      <c r="E1077" s="84"/>
      <c r="F1077" s="84"/>
      <c r="G1077" s="84"/>
      <c r="R1077" s="251"/>
      <c r="S1077" s="251"/>
      <c r="BD1077" s="399">
        <v>1074</v>
      </c>
      <c r="BE1077" s="399" t="s">
        <v>3289</v>
      </c>
      <c r="BF1077" s="251" t="s">
        <v>2401</v>
      </c>
      <c r="BG1077" s="399" t="s">
        <v>1688</v>
      </c>
      <c r="BH1077" s="252">
        <v>50</v>
      </c>
      <c r="BI1077" s="251" t="s">
        <v>728</v>
      </c>
      <c r="BJ1077" s="251" t="s">
        <v>407</v>
      </c>
      <c r="BK1077" s="251" t="s">
        <v>3290</v>
      </c>
      <c r="BL1077" s="251" t="s">
        <v>1690</v>
      </c>
    </row>
    <row r="1078" spans="2:64" ht="15">
      <c r="B1078" s="84"/>
      <c r="D1078" s="84"/>
      <c r="E1078" s="84"/>
      <c r="F1078" s="84"/>
      <c r="G1078" s="84"/>
      <c r="R1078" s="251"/>
      <c r="S1078" s="251"/>
      <c r="BD1078" s="399">
        <v>1075</v>
      </c>
      <c r="BE1078" s="399" t="s">
        <v>3291</v>
      </c>
      <c r="BF1078" s="251" t="s">
        <v>2401</v>
      </c>
      <c r="BG1078" s="399" t="s">
        <v>1688</v>
      </c>
      <c r="BH1078" s="252">
        <v>50</v>
      </c>
      <c r="BI1078" s="251" t="s">
        <v>450</v>
      </c>
      <c r="BJ1078" s="251" t="s">
        <v>397</v>
      </c>
      <c r="BK1078" s="251" t="s">
        <v>3292</v>
      </c>
      <c r="BL1078" s="251" t="s">
        <v>1690</v>
      </c>
    </row>
    <row r="1079" spans="2:64" ht="15">
      <c r="B1079" s="84"/>
      <c r="D1079" s="84"/>
      <c r="E1079" s="84"/>
      <c r="F1079" s="84"/>
      <c r="G1079" s="84"/>
      <c r="R1079" s="251"/>
      <c r="S1079" s="251"/>
      <c r="BD1079" s="399">
        <v>1076</v>
      </c>
      <c r="BE1079" s="399" t="s">
        <v>3293</v>
      </c>
      <c r="BF1079" s="251" t="s">
        <v>2401</v>
      </c>
      <c r="BG1079" s="399" t="s">
        <v>1688</v>
      </c>
      <c r="BH1079" s="252">
        <v>50</v>
      </c>
      <c r="BI1079" s="251" t="s">
        <v>2460</v>
      </c>
      <c r="BJ1079" s="251" t="s">
        <v>539</v>
      </c>
      <c r="BK1079" s="251" t="s">
        <v>3294</v>
      </c>
      <c r="BL1079" s="251" t="s">
        <v>1690</v>
      </c>
    </row>
    <row r="1080" spans="2:64" ht="15">
      <c r="B1080" s="84"/>
      <c r="D1080" s="84"/>
      <c r="E1080" s="84"/>
      <c r="F1080" s="84"/>
      <c r="G1080" s="84"/>
      <c r="R1080" s="251"/>
      <c r="S1080" s="251"/>
      <c r="BD1080" s="399">
        <v>1077</v>
      </c>
      <c r="BE1080" s="399" t="s">
        <v>3295</v>
      </c>
      <c r="BF1080" s="251" t="s">
        <v>2401</v>
      </c>
      <c r="BG1080" s="399">
        <v>51</v>
      </c>
      <c r="BH1080" s="252">
        <v>51</v>
      </c>
      <c r="BI1080" s="251" t="s">
        <v>333</v>
      </c>
      <c r="BJ1080" s="251" t="s">
        <v>413</v>
      </c>
      <c r="BK1080" s="251" t="s">
        <v>3296</v>
      </c>
      <c r="BL1080" s="251" t="s">
        <v>730</v>
      </c>
    </row>
    <row r="1081" spans="2:64" ht="15">
      <c r="B1081" s="84"/>
      <c r="D1081" s="84"/>
      <c r="E1081" s="84"/>
      <c r="F1081" s="84"/>
      <c r="G1081" s="84"/>
      <c r="R1081" s="251"/>
      <c r="S1081" s="251"/>
      <c r="BD1081" s="399">
        <v>1078</v>
      </c>
      <c r="BE1081" s="399" t="s">
        <v>3297</v>
      </c>
      <c r="BF1081" s="251" t="s">
        <v>2401</v>
      </c>
      <c r="BG1081" s="399">
        <v>51</v>
      </c>
      <c r="BH1081" s="252">
        <v>51</v>
      </c>
      <c r="BI1081" s="251" t="s">
        <v>635</v>
      </c>
      <c r="BJ1081" s="251" t="s">
        <v>407</v>
      </c>
      <c r="BK1081" s="251" t="s">
        <v>3298</v>
      </c>
      <c r="BL1081" s="251" t="s">
        <v>730</v>
      </c>
    </row>
    <row r="1082" spans="2:64" ht="15">
      <c r="B1082" s="84"/>
      <c r="D1082" s="84"/>
      <c r="E1082" s="84"/>
      <c r="F1082" s="84"/>
      <c r="G1082" s="84"/>
      <c r="R1082" s="251"/>
      <c r="S1082" s="251"/>
      <c r="BD1082" s="399">
        <v>1079</v>
      </c>
      <c r="BE1082" s="399" t="s">
        <v>3299</v>
      </c>
      <c r="BF1082" s="251" t="s">
        <v>2401</v>
      </c>
      <c r="BG1082" s="399">
        <v>51</v>
      </c>
      <c r="BH1082" s="252">
        <v>51</v>
      </c>
      <c r="BI1082" s="251" t="s">
        <v>491</v>
      </c>
      <c r="BJ1082" s="251" t="s">
        <v>397</v>
      </c>
      <c r="BK1082" s="251" t="s">
        <v>3300</v>
      </c>
      <c r="BL1082" s="251" t="s">
        <v>730</v>
      </c>
    </row>
    <row r="1083" spans="2:64" ht="15">
      <c r="B1083" s="84"/>
      <c r="D1083" s="84"/>
      <c r="E1083" s="84"/>
      <c r="F1083" s="84"/>
      <c r="G1083" s="84"/>
      <c r="R1083" s="251"/>
      <c r="S1083" s="251"/>
      <c r="BD1083" s="399">
        <v>1080</v>
      </c>
      <c r="BE1083" s="399" t="s">
        <v>3301</v>
      </c>
      <c r="BF1083" s="251" t="s">
        <v>2401</v>
      </c>
      <c r="BG1083" s="399">
        <v>51</v>
      </c>
      <c r="BH1083" s="252">
        <v>51</v>
      </c>
      <c r="BI1083" s="251" t="s">
        <v>491</v>
      </c>
      <c r="BJ1083" s="251" t="s">
        <v>2159</v>
      </c>
      <c r="BK1083" s="251" t="s">
        <v>3302</v>
      </c>
      <c r="BL1083" s="251" t="s">
        <v>730</v>
      </c>
    </row>
    <row r="1084" spans="2:64" ht="15">
      <c r="B1084" s="84"/>
      <c r="D1084" s="84"/>
      <c r="E1084" s="84"/>
      <c r="F1084" s="84"/>
      <c r="G1084" s="84"/>
      <c r="R1084" s="251"/>
      <c r="S1084" s="251"/>
      <c r="BD1084" s="399">
        <v>1081</v>
      </c>
      <c r="BE1084" s="399" t="s">
        <v>3303</v>
      </c>
      <c r="BF1084" s="251" t="s">
        <v>2401</v>
      </c>
      <c r="BG1084" s="399">
        <v>51</v>
      </c>
      <c r="BH1084" s="252">
        <v>51</v>
      </c>
      <c r="BI1084" s="251" t="s">
        <v>535</v>
      </c>
      <c r="BJ1084" s="251" t="s">
        <v>1855</v>
      </c>
      <c r="BK1084" s="251" t="s">
        <v>3304</v>
      </c>
      <c r="BL1084" s="251" t="s">
        <v>730</v>
      </c>
    </row>
    <row r="1085" spans="2:64" ht="15">
      <c r="B1085" s="84"/>
      <c r="D1085" s="84"/>
      <c r="E1085" s="84"/>
      <c r="F1085" s="84"/>
      <c r="G1085" s="84"/>
      <c r="R1085" s="251"/>
      <c r="S1085" s="251"/>
      <c r="BD1085" s="399">
        <v>1082</v>
      </c>
      <c r="BE1085" s="399" t="s">
        <v>3305</v>
      </c>
      <c r="BF1085" s="251" t="s">
        <v>2401</v>
      </c>
      <c r="BG1085" s="399">
        <v>51</v>
      </c>
      <c r="BH1085" s="252">
        <v>51</v>
      </c>
      <c r="BI1085" s="251" t="s">
        <v>413</v>
      </c>
      <c r="BJ1085" s="251" t="s">
        <v>539</v>
      </c>
      <c r="BK1085" s="251" t="s">
        <v>3306</v>
      </c>
      <c r="BL1085" s="251" t="s">
        <v>730</v>
      </c>
    </row>
    <row r="1086" spans="2:64" ht="15">
      <c r="B1086" s="84"/>
      <c r="D1086" s="84"/>
      <c r="E1086" s="84"/>
      <c r="F1086" s="84"/>
      <c r="G1086" s="84"/>
      <c r="R1086" s="251"/>
      <c r="S1086" s="251"/>
      <c r="BD1086" s="399">
        <v>1083</v>
      </c>
      <c r="BE1086" s="399" t="s">
        <v>3307</v>
      </c>
      <c r="BF1086" s="251" t="s">
        <v>2401</v>
      </c>
      <c r="BG1086" s="399">
        <v>52</v>
      </c>
      <c r="BH1086" s="252">
        <v>52</v>
      </c>
      <c r="BI1086" s="251" t="s">
        <v>333</v>
      </c>
      <c r="BJ1086" s="251" t="s">
        <v>379</v>
      </c>
      <c r="BK1086" s="251" t="s">
        <v>3308</v>
      </c>
      <c r="BL1086" s="251" t="s">
        <v>1121</v>
      </c>
    </row>
    <row r="1087" spans="2:64" ht="15">
      <c r="B1087" s="84"/>
      <c r="D1087" s="84"/>
      <c r="E1087" s="84"/>
      <c r="F1087" s="84"/>
      <c r="G1087" s="84"/>
      <c r="R1087" s="251"/>
      <c r="S1087" s="251"/>
      <c r="BD1087" s="399">
        <v>1084</v>
      </c>
      <c r="BE1087" s="399" t="s">
        <v>3309</v>
      </c>
      <c r="BF1087" s="251" t="s">
        <v>2401</v>
      </c>
      <c r="BG1087" s="399">
        <v>52</v>
      </c>
      <c r="BH1087" s="252">
        <v>52</v>
      </c>
      <c r="BI1087" s="251" t="s">
        <v>334</v>
      </c>
      <c r="BJ1087" s="251" t="s">
        <v>1855</v>
      </c>
      <c r="BK1087" s="251" t="s">
        <v>3310</v>
      </c>
      <c r="BL1087" s="251" t="s">
        <v>1121</v>
      </c>
    </row>
    <row r="1088" spans="2:64" ht="15">
      <c r="B1088" s="84"/>
      <c r="D1088" s="84"/>
      <c r="E1088" s="84"/>
      <c r="F1088" s="84"/>
      <c r="G1088" s="84"/>
      <c r="R1088" s="251"/>
      <c r="S1088" s="251"/>
      <c r="BD1088" s="399">
        <v>1085</v>
      </c>
      <c r="BE1088" s="399" t="s">
        <v>3311</v>
      </c>
      <c r="BF1088" s="251" t="s">
        <v>2401</v>
      </c>
      <c r="BG1088" s="399">
        <v>52</v>
      </c>
      <c r="BH1088" s="252">
        <v>52</v>
      </c>
      <c r="BI1088" s="251" t="s">
        <v>334</v>
      </c>
      <c r="BJ1088" s="251" t="s">
        <v>2159</v>
      </c>
      <c r="BK1088" s="251" t="s">
        <v>3312</v>
      </c>
      <c r="BL1088" s="251" t="s">
        <v>1121</v>
      </c>
    </row>
    <row r="1089" spans="2:64" ht="15">
      <c r="B1089" s="84"/>
      <c r="D1089" s="84"/>
      <c r="E1089" s="84"/>
      <c r="F1089" s="84"/>
      <c r="G1089" s="84"/>
      <c r="R1089" s="251"/>
      <c r="S1089" s="251"/>
      <c r="BD1089" s="399">
        <v>1086</v>
      </c>
      <c r="BE1089" s="399" t="s">
        <v>3313</v>
      </c>
      <c r="BF1089" s="251" t="s">
        <v>2401</v>
      </c>
      <c r="BG1089" s="399">
        <v>52</v>
      </c>
      <c r="BH1089" s="252">
        <v>52</v>
      </c>
      <c r="BI1089" s="251" t="s">
        <v>524</v>
      </c>
      <c r="BJ1089" s="251" t="s">
        <v>413</v>
      </c>
      <c r="BK1089" s="251" t="s">
        <v>3314</v>
      </c>
      <c r="BL1089" s="251" t="s">
        <v>1121</v>
      </c>
    </row>
    <row r="1090" spans="2:64" ht="15">
      <c r="B1090" s="84"/>
      <c r="D1090" s="84"/>
      <c r="E1090" s="84"/>
      <c r="F1090" s="84"/>
      <c r="G1090" s="84"/>
      <c r="R1090" s="251"/>
      <c r="S1090" s="251"/>
      <c r="BD1090" s="399">
        <v>1087</v>
      </c>
      <c r="BE1090" s="399" t="s">
        <v>3315</v>
      </c>
      <c r="BF1090" s="251" t="s">
        <v>2401</v>
      </c>
      <c r="BG1090" s="399">
        <v>52</v>
      </c>
      <c r="BH1090" s="252">
        <v>52</v>
      </c>
      <c r="BI1090" s="251" t="s">
        <v>728</v>
      </c>
      <c r="BJ1090" s="251" t="s">
        <v>2159</v>
      </c>
      <c r="BK1090" s="251" t="s">
        <v>3316</v>
      </c>
      <c r="BL1090" s="251" t="s">
        <v>1121</v>
      </c>
    </row>
    <row r="1091" spans="2:64" ht="15">
      <c r="B1091" s="84"/>
      <c r="D1091" s="84"/>
      <c r="E1091" s="84"/>
      <c r="F1091" s="84"/>
      <c r="G1091" s="84"/>
      <c r="R1091" s="251"/>
      <c r="S1091" s="251"/>
      <c r="BD1091" s="399">
        <v>1088</v>
      </c>
      <c r="BE1091" s="399" t="s">
        <v>3317</v>
      </c>
      <c r="BF1091" s="251" t="s">
        <v>2401</v>
      </c>
      <c r="BG1091" s="399">
        <v>52</v>
      </c>
      <c r="BH1091" s="252">
        <v>52</v>
      </c>
      <c r="BI1091" s="251" t="s">
        <v>2159</v>
      </c>
      <c r="BJ1091" s="251" t="s">
        <v>2333</v>
      </c>
      <c r="BK1091" s="251" t="s">
        <v>3318</v>
      </c>
      <c r="BL1091" s="251" t="s">
        <v>1121</v>
      </c>
    </row>
    <row r="1092" spans="2:64" ht="15">
      <c r="B1092" s="84"/>
      <c r="D1092" s="84"/>
      <c r="E1092" s="84"/>
      <c r="F1092" s="84"/>
      <c r="G1092" s="84"/>
      <c r="R1092" s="251"/>
      <c r="S1092" s="251"/>
      <c r="BD1092" s="399">
        <v>1089</v>
      </c>
      <c r="BE1092" s="399" t="s">
        <v>3319</v>
      </c>
      <c r="BF1092" s="251" t="s">
        <v>2401</v>
      </c>
      <c r="BG1092" s="399">
        <v>52</v>
      </c>
      <c r="BH1092" s="252">
        <v>52</v>
      </c>
      <c r="BI1092" s="251" t="s">
        <v>1257</v>
      </c>
      <c r="BJ1092" s="251" t="s">
        <v>2333</v>
      </c>
      <c r="BK1092" s="251" t="s">
        <v>3320</v>
      </c>
      <c r="BL1092" s="251" t="s">
        <v>1121</v>
      </c>
    </row>
    <row r="1093" spans="2:64" ht="15">
      <c r="B1093" s="84"/>
      <c r="D1093" s="84"/>
      <c r="E1093" s="84"/>
      <c r="F1093" s="84"/>
      <c r="G1093" s="84"/>
      <c r="R1093" s="251"/>
      <c r="S1093" s="251"/>
      <c r="BD1093" s="399">
        <v>1090</v>
      </c>
      <c r="BE1093" s="399" t="s">
        <v>3321</v>
      </c>
      <c r="BF1093" s="251" t="s">
        <v>2401</v>
      </c>
      <c r="BG1093" s="399">
        <v>53</v>
      </c>
      <c r="BH1093" s="252">
        <v>53</v>
      </c>
      <c r="BI1093" s="251" t="s">
        <v>334</v>
      </c>
      <c r="BJ1093" s="251" t="s">
        <v>380</v>
      </c>
      <c r="BK1093" s="251" t="s">
        <v>3322</v>
      </c>
      <c r="BL1093" s="251" t="s">
        <v>3323</v>
      </c>
    </row>
    <row r="1094" spans="2:64" ht="15">
      <c r="B1094" s="84"/>
      <c r="D1094" s="84"/>
      <c r="E1094" s="84"/>
      <c r="F1094" s="84"/>
      <c r="G1094" s="84"/>
      <c r="R1094" s="251"/>
      <c r="S1094" s="251"/>
      <c r="BD1094" s="399">
        <v>1091</v>
      </c>
      <c r="BE1094" s="399" t="s">
        <v>3324</v>
      </c>
      <c r="BF1094" s="251" t="s">
        <v>2401</v>
      </c>
      <c r="BG1094" s="399">
        <v>53</v>
      </c>
      <c r="BH1094" s="252" t="s">
        <v>3325</v>
      </c>
      <c r="BI1094" s="251" t="s">
        <v>334</v>
      </c>
      <c r="BJ1094" s="251" t="s">
        <v>2159</v>
      </c>
      <c r="BK1094" s="251" t="s">
        <v>3326</v>
      </c>
      <c r="BL1094" s="251" t="s">
        <v>3323</v>
      </c>
    </row>
    <row r="1095" spans="2:64" ht="15">
      <c r="B1095" s="84"/>
      <c r="D1095" s="84"/>
      <c r="E1095" s="84"/>
      <c r="F1095" s="84"/>
      <c r="G1095" s="84"/>
      <c r="R1095" s="251"/>
      <c r="S1095" s="251"/>
      <c r="BD1095" s="399">
        <v>1092</v>
      </c>
      <c r="BE1095" s="399" t="s">
        <v>3327</v>
      </c>
      <c r="BF1095" s="251" t="s">
        <v>2401</v>
      </c>
      <c r="BG1095" s="399">
        <v>53</v>
      </c>
      <c r="BH1095" s="252">
        <v>53</v>
      </c>
      <c r="BI1095" s="251" t="s">
        <v>334</v>
      </c>
      <c r="BJ1095" s="251" t="s">
        <v>2460</v>
      </c>
      <c r="BK1095" s="251" t="s">
        <v>3328</v>
      </c>
      <c r="BL1095" s="251" t="s">
        <v>3323</v>
      </c>
    </row>
    <row r="1096" spans="2:64" ht="15">
      <c r="B1096" s="84"/>
      <c r="D1096" s="84"/>
      <c r="E1096" s="84"/>
      <c r="F1096" s="84"/>
      <c r="G1096" s="84"/>
      <c r="R1096" s="251"/>
      <c r="S1096" s="251"/>
      <c r="BD1096" s="399">
        <v>1093</v>
      </c>
      <c r="BE1096" s="399" t="s">
        <v>3329</v>
      </c>
      <c r="BF1096" s="251" t="s">
        <v>2401</v>
      </c>
      <c r="BG1096" s="399">
        <v>53</v>
      </c>
      <c r="BH1096" s="252">
        <v>53</v>
      </c>
      <c r="BI1096" s="251" t="s">
        <v>491</v>
      </c>
      <c r="BJ1096" s="251" t="s">
        <v>407</v>
      </c>
      <c r="BK1096" s="251" t="s">
        <v>3330</v>
      </c>
      <c r="BL1096" s="251" t="s">
        <v>3323</v>
      </c>
    </row>
    <row r="1097" spans="2:64" ht="15">
      <c r="B1097" s="84"/>
      <c r="D1097" s="84"/>
      <c r="E1097" s="84"/>
      <c r="F1097" s="84"/>
      <c r="G1097" s="84"/>
      <c r="R1097" s="251"/>
      <c r="S1097" s="251"/>
      <c r="BD1097" s="399">
        <v>1094</v>
      </c>
      <c r="BE1097" s="399" t="s">
        <v>3331</v>
      </c>
      <c r="BF1097" s="251" t="s">
        <v>2401</v>
      </c>
      <c r="BG1097" s="399">
        <v>53</v>
      </c>
      <c r="BH1097" s="252">
        <v>53</v>
      </c>
      <c r="BI1097" s="251" t="s">
        <v>491</v>
      </c>
      <c r="BJ1097" s="251" t="s">
        <v>397</v>
      </c>
      <c r="BK1097" s="251" t="s">
        <v>3332</v>
      </c>
      <c r="BL1097" s="251" t="s">
        <v>3323</v>
      </c>
    </row>
    <row r="1098" spans="2:64" ht="15">
      <c r="B1098" s="84"/>
      <c r="D1098" s="84"/>
      <c r="E1098" s="84"/>
      <c r="F1098" s="84"/>
      <c r="G1098" s="84"/>
      <c r="R1098" s="251"/>
      <c r="S1098" s="251"/>
      <c r="BD1098" s="399">
        <v>1095</v>
      </c>
      <c r="BE1098" s="399" t="s">
        <v>3333</v>
      </c>
      <c r="BF1098" s="251" t="s">
        <v>2401</v>
      </c>
      <c r="BG1098" s="399">
        <v>53</v>
      </c>
      <c r="BH1098" s="252">
        <v>53</v>
      </c>
      <c r="BI1098" s="251" t="s">
        <v>491</v>
      </c>
      <c r="BJ1098" s="251" t="s">
        <v>2159</v>
      </c>
      <c r="BK1098" s="251" t="s">
        <v>3334</v>
      </c>
      <c r="BL1098" s="251" t="s">
        <v>3323</v>
      </c>
    </row>
    <row r="1099" spans="2:64" ht="15">
      <c r="B1099" s="84"/>
      <c r="D1099" s="84"/>
      <c r="E1099" s="84"/>
      <c r="F1099" s="84"/>
      <c r="G1099" s="84"/>
      <c r="R1099" s="251"/>
      <c r="S1099" s="251"/>
      <c r="BD1099" s="399">
        <v>1096</v>
      </c>
      <c r="BE1099" s="399" t="s">
        <v>3335</v>
      </c>
      <c r="BF1099" s="251" t="s">
        <v>2401</v>
      </c>
      <c r="BG1099" s="399">
        <v>53</v>
      </c>
      <c r="BH1099" s="252">
        <v>53</v>
      </c>
      <c r="BI1099" s="251" t="s">
        <v>728</v>
      </c>
      <c r="BJ1099" s="251" t="s">
        <v>380</v>
      </c>
      <c r="BK1099" s="251" t="s">
        <v>3336</v>
      </c>
      <c r="BL1099" s="251" t="s">
        <v>3323</v>
      </c>
    </row>
    <row r="1100" spans="2:64" ht="15">
      <c r="B1100" s="84"/>
      <c r="D1100" s="84"/>
      <c r="E1100" s="84"/>
      <c r="F1100" s="84"/>
      <c r="G1100" s="84"/>
      <c r="R1100" s="251"/>
      <c r="S1100" s="251"/>
      <c r="BD1100" s="399">
        <v>1097</v>
      </c>
      <c r="BE1100" s="399" t="s">
        <v>3337</v>
      </c>
      <c r="BF1100" s="251" t="s">
        <v>2401</v>
      </c>
      <c r="BG1100" s="399">
        <v>53</v>
      </c>
      <c r="BH1100" s="252">
        <v>53</v>
      </c>
      <c r="BI1100" s="251" t="s">
        <v>728</v>
      </c>
      <c r="BJ1100" s="251" t="s">
        <v>397</v>
      </c>
      <c r="BK1100" s="251" t="s">
        <v>3338</v>
      </c>
      <c r="BL1100" s="251" t="s">
        <v>3323</v>
      </c>
    </row>
    <row r="1101" spans="2:64" ht="15">
      <c r="B1101" s="84"/>
      <c r="D1101" s="84"/>
      <c r="E1101" s="84"/>
      <c r="F1101" s="84"/>
      <c r="G1101" s="84"/>
      <c r="R1101" s="251"/>
      <c r="S1101" s="251"/>
      <c r="BD1101" s="399">
        <v>1098</v>
      </c>
      <c r="BE1101" s="399" t="s">
        <v>3339</v>
      </c>
      <c r="BF1101" s="251" t="s">
        <v>2401</v>
      </c>
      <c r="BG1101" s="399">
        <v>53</v>
      </c>
      <c r="BH1101" s="252">
        <v>53</v>
      </c>
      <c r="BI1101" s="251" t="s">
        <v>583</v>
      </c>
      <c r="BJ1101" s="251" t="s">
        <v>413</v>
      </c>
      <c r="BK1101" s="251" t="s">
        <v>3340</v>
      </c>
      <c r="BL1101" s="251" t="s">
        <v>3323</v>
      </c>
    </row>
    <row r="1102" spans="2:64" ht="15">
      <c r="B1102" s="84"/>
      <c r="D1102" s="84"/>
      <c r="E1102" s="84"/>
      <c r="F1102" s="84"/>
      <c r="G1102" s="84"/>
      <c r="R1102" s="251"/>
      <c r="S1102" s="251"/>
      <c r="BD1102" s="399">
        <v>1099</v>
      </c>
      <c r="BE1102" s="399" t="s">
        <v>3341</v>
      </c>
      <c r="BF1102" s="251" t="s">
        <v>2401</v>
      </c>
      <c r="BG1102" s="399">
        <v>55</v>
      </c>
      <c r="BH1102" s="252">
        <v>55</v>
      </c>
      <c r="BI1102" s="251" t="s">
        <v>379</v>
      </c>
      <c r="BJ1102" s="251" t="s">
        <v>2159</v>
      </c>
      <c r="BK1102" s="251" t="s">
        <v>3342</v>
      </c>
      <c r="BL1102" s="251" t="s">
        <v>3343</v>
      </c>
    </row>
    <row r="1103" spans="2:64" ht="15">
      <c r="B1103" s="84"/>
      <c r="D1103" s="84"/>
      <c r="E1103" s="84"/>
      <c r="F1103" s="84"/>
      <c r="G1103" s="84"/>
      <c r="R1103" s="251"/>
      <c r="S1103" s="251"/>
      <c r="BD1103" s="399">
        <v>1100</v>
      </c>
      <c r="BE1103" s="399" t="s">
        <v>3344</v>
      </c>
      <c r="BF1103" s="251" t="s">
        <v>2401</v>
      </c>
      <c r="BG1103" s="399">
        <v>56</v>
      </c>
      <c r="BH1103" s="252">
        <v>56</v>
      </c>
      <c r="BI1103" s="251" t="s">
        <v>332</v>
      </c>
      <c r="BJ1103" s="251" t="s">
        <v>778</v>
      </c>
      <c r="BK1103" s="251" t="s">
        <v>3345</v>
      </c>
      <c r="BL1103" s="251" t="s">
        <v>3346</v>
      </c>
    </row>
    <row r="1104" spans="2:64" ht="15">
      <c r="B1104" s="84"/>
      <c r="D1104" s="84"/>
      <c r="E1104" s="84"/>
      <c r="F1104" s="84"/>
      <c r="G1104" s="84"/>
      <c r="R1104" s="251"/>
      <c r="S1104" s="251"/>
      <c r="BD1104" s="399">
        <v>1101</v>
      </c>
      <c r="BE1104" s="399" t="s">
        <v>3347</v>
      </c>
      <c r="BF1104" s="251" t="s">
        <v>2401</v>
      </c>
      <c r="BG1104" s="399">
        <v>56</v>
      </c>
      <c r="BH1104" s="252">
        <v>56</v>
      </c>
      <c r="BI1104" s="251" t="s">
        <v>334</v>
      </c>
      <c r="BJ1104" s="251" t="s">
        <v>413</v>
      </c>
      <c r="BK1104" s="251" t="s">
        <v>3348</v>
      </c>
      <c r="BL1104" s="251" t="s">
        <v>3346</v>
      </c>
    </row>
    <row r="1105" spans="2:64" ht="15">
      <c r="B1105" s="84"/>
      <c r="D1105" s="84"/>
      <c r="E1105" s="84"/>
      <c r="F1105" s="84"/>
      <c r="G1105" s="84"/>
      <c r="R1105" s="251"/>
      <c r="S1105" s="251"/>
      <c r="BD1105" s="399">
        <v>1102</v>
      </c>
      <c r="BE1105" s="399" t="s">
        <v>3349</v>
      </c>
      <c r="BF1105" s="251" t="s">
        <v>2401</v>
      </c>
      <c r="BG1105" s="399">
        <v>56</v>
      </c>
      <c r="BH1105" s="252">
        <v>56</v>
      </c>
      <c r="BI1105" s="251" t="s">
        <v>407</v>
      </c>
      <c r="BJ1105" s="251" t="s">
        <v>539</v>
      </c>
      <c r="BK1105" s="251" t="s">
        <v>3350</v>
      </c>
      <c r="BL1105" s="251" t="s">
        <v>3346</v>
      </c>
    </row>
    <row r="1106" spans="2:64" ht="15">
      <c r="B1106" s="84"/>
      <c r="D1106" s="84"/>
      <c r="E1106" s="84"/>
      <c r="F1106" s="84"/>
      <c r="G1106" s="84"/>
      <c r="R1106" s="251"/>
      <c r="S1106" s="251"/>
      <c r="BD1106" s="399">
        <v>1103</v>
      </c>
      <c r="BE1106" s="399" t="s">
        <v>3351</v>
      </c>
      <c r="BF1106" s="251" t="s">
        <v>2401</v>
      </c>
      <c r="BG1106" s="399">
        <v>56</v>
      </c>
      <c r="BH1106" s="252">
        <v>56</v>
      </c>
      <c r="BI1106" s="251" t="s">
        <v>615</v>
      </c>
      <c r="BJ1106" s="251" t="s">
        <v>2159</v>
      </c>
      <c r="BK1106" s="251" t="s">
        <v>3352</v>
      </c>
      <c r="BL1106" s="251" t="s">
        <v>3346</v>
      </c>
    </row>
    <row r="1107" spans="2:64" ht="15">
      <c r="B1107" s="84"/>
      <c r="D1107" s="84"/>
      <c r="E1107" s="84"/>
      <c r="F1107" s="84"/>
      <c r="G1107" s="84"/>
      <c r="R1107" s="251"/>
      <c r="S1107" s="251"/>
      <c r="BD1107" s="399">
        <v>1104</v>
      </c>
      <c r="BE1107" s="399" t="s">
        <v>3353</v>
      </c>
      <c r="BF1107" s="251" t="s">
        <v>2401</v>
      </c>
      <c r="BG1107" s="399">
        <v>56</v>
      </c>
      <c r="BH1107" s="252">
        <v>56</v>
      </c>
      <c r="BI1107" s="251" t="s">
        <v>491</v>
      </c>
      <c r="BJ1107" s="251" t="s">
        <v>413</v>
      </c>
      <c r="BK1107" s="251" t="s">
        <v>3354</v>
      </c>
      <c r="BL1107" s="251" t="s">
        <v>3346</v>
      </c>
    </row>
    <row r="1108" spans="2:64" ht="15">
      <c r="B1108" s="84"/>
      <c r="D1108" s="84"/>
      <c r="E1108" s="84"/>
      <c r="F1108" s="84"/>
      <c r="G1108" s="84"/>
      <c r="R1108" s="251"/>
      <c r="S1108" s="251"/>
      <c r="BD1108" s="399">
        <v>1105</v>
      </c>
      <c r="BE1108" s="399" t="s">
        <v>3355</v>
      </c>
      <c r="BF1108" s="251" t="s">
        <v>2401</v>
      </c>
      <c r="BG1108" s="399">
        <v>56</v>
      </c>
      <c r="BH1108" s="252">
        <v>56</v>
      </c>
      <c r="BI1108" s="251" t="s">
        <v>728</v>
      </c>
      <c r="BJ1108" s="251" t="s">
        <v>397</v>
      </c>
      <c r="BK1108" s="251" t="s">
        <v>3356</v>
      </c>
      <c r="BL1108" s="251" t="s">
        <v>3346</v>
      </c>
    </row>
    <row r="1109" spans="2:64" ht="15">
      <c r="B1109" s="84"/>
      <c r="D1109" s="84"/>
      <c r="E1109" s="84"/>
      <c r="F1109" s="84"/>
      <c r="G1109" s="84"/>
      <c r="R1109" s="251"/>
      <c r="S1109" s="251"/>
      <c r="BD1109" s="399">
        <v>1106</v>
      </c>
      <c r="BE1109" s="399" t="s">
        <v>3357</v>
      </c>
      <c r="BF1109" s="251" t="s">
        <v>2401</v>
      </c>
      <c r="BG1109" s="399">
        <v>56</v>
      </c>
      <c r="BH1109" s="252">
        <v>56</v>
      </c>
      <c r="BI1109" s="251" t="s">
        <v>450</v>
      </c>
      <c r="BJ1109" s="251" t="s">
        <v>407</v>
      </c>
      <c r="BK1109" s="251" t="s">
        <v>3358</v>
      </c>
      <c r="BL1109" s="251" t="s">
        <v>3346</v>
      </c>
    </row>
    <row r="1110" spans="2:64" ht="15">
      <c r="B1110" s="84"/>
      <c r="D1110" s="84"/>
      <c r="E1110" s="84"/>
      <c r="F1110" s="84"/>
      <c r="G1110" s="84"/>
      <c r="R1110" s="251"/>
      <c r="S1110" s="251"/>
      <c r="BD1110" s="399">
        <v>1107</v>
      </c>
      <c r="BE1110" s="399" t="s">
        <v>3359</v>
      </c>
      <c r="BF1110" s="251" t="s">
        <v>2401</v>
      </c>
      <c r="BG1110" s="399">
        <v>57</v>
      </c>
      <c r="BH1110" s="252">
        <v>57</v>
      </c>
      <c r="BI1110" s="251" t="s">
        <v>331</v>
      </c>
      <c r="BJ1110" s="251" t="s">
        <v>2460</v>
      </c>
      <c r="BK1110" s="251" t="s">
        <v>3360</v>
      </c>
      <c r="BL1110" s="251" t="s">
        <v>725</v>
      </c>
    </row>
    <row r="1111" spans="2:64" ht="15">
      <c r="B1111" s="84"/>
      <c r="D1111" s="84"/>
      <c r="E1111" s="84"/>
      <c r="F1111" s="84"/>
      <c r="G1111" s="84"/>
      <c r="R1111" s="251"/>
      <c r="S1111" s="251"/>
      <c r="BD1111" s="399">
        <v>1108</v>
      </c>
      <c r="BE1111" s="399" t="s">
        <v>3361</v>
      </c>
      <c r="BF1111" s="251" t="s">
        <v>2401</v>
      </c>
      <c r="BG1111" s="399">
        <v>57</v>
      </c>
      <c r="BH1111" s="252">
        <v>57</v>
      </c>
      <c r="BI1111" s="251" t="s">
        <v>334</v>
      </c>
      <c r="BJ1111" s="251" t="s">
        <v>380</v>
      </c>
      <c r="BK1111" s="251" t="s">
        <v>3362</v>
      </c>
      <c r="BL1111" s="251" t="s">
        <v>725</v>
      </c>
    </row>
    <row r="1112" spans="2:64" ht="15">
      <c r="B1112" s="84"/>
      <c r="D1112" s="84"/>
      <c r="E1112" s="84"/>
      <c r="F1112" s="84"/>
      <c r="G1112" s="84"/>
      <c r="R1112" s="251"/>
      <c r="S1112" s="251"/>
      <c r="BD1112" s="399">
        <v>1109</v>
      </c>
      <c r="BE1112" s="399" t="s">
        <v>3363</v>
      </c>
      <c r="BF1112" s="251" t="s">
        <v>2401</v>
      </c>
      <c r="BG1112" s="399">
        <v>57</v>
      </c>
      <c r="BH1112" s="252">
        <v>57</v>
      </c>
      <c r="BI1112" s="251" t="s">
        <v>2481</v>
      </c>
      <c r="BJ1112" s="251" t="s">
        <v>2460</v>
      </c>
      <c r="BK1112" s="251" t="s">
        <v>3364</v>
      </c>
      <c r="BL1112" s="251" t="s">
        <v>725</v>
      </c>
    </row>
    <row r="1113" spans="2:64" ht="15">
      <c r="B1113" s="84"/>
      <c r="D1113" s="84"/>
      <c r="E1113" s="84"/>
      <c r="F1113" s="84"/>
      <c r="G1113" s="84"/>
      <c r="R1113" s="251"/>
      <c r="S1113" s="251"/>
      <c r="BD1113" s="399">
        <v>1110</v>
      </c>
      <c r="BE1113" s="399" t="s">
        <v>3365</v>
      </c>
      <c r="BF1113" s="251" t="s">
        <v>2401</v>
      </c>
      <c r="BG1113" s="399">
        <v>57</v>
      </c>
      <c r="BH1113" s="252">
        <v>57</v>
      </c>
      <c r="BI1113" s="251" t="s">
        <v>524</v>
      </c>
      <c r="BJ1113" s="251" t="s">
        <v>413</v>
      </c>
      <c r="BK1113" s="251" t="s">
        <v>3366</v>
      </c>
      <c r="BL1113" s="251" t="s">
        <v>725</v>
      </c>
    </row>
    <row r="1114" spans="2:64" ht="15">
      <c r="B1114" s="84"/>
      <c r="D1114" s="84"/>
      <c r="E1114" s="84"/>
      <c r="F1114" s="84"/>
      <c r="G1114" s="84"/>
      <c r="R1114" s="251"/>
      <c r="S1114" s="251"/>
      <c r="BD1114" s="399">
        <v>1111</v>
      </c>
      <c r="BE1114" s="399" t="s">
        <v>3367</v>
      </c>
      <c r="BF1114" s="251" t="s">
        <v>2401</v>
      </c>
      <c r="BG1114" s="399">
        <v>57</v>
      </c>
      <c r="BH1114" s="252">
        <v>57</v>
      </c>
      <c r="BI1114" s="251" t="s">
        <v>535</v>
      </c>
      <c r="BJ1114" s="251" t="s">
        <v>2460</v>
      </c>
      <c r="BK1114" s="251" t="s">
        <v>3368</v>
      </c>
      <c r="BL1114" s="251" t="s">
        <v>725</v>
      </c>
    </row>
    <row r="1115" spans="2:64" ht="15">
      <c r="B1115" s="84"/>
      <c r="D1115" s="84"/>
      <c r="E1115" s="84"/>
      <c r="F1115" s="84"/>
      <c r="G1115" s="84"/>
      <c r="R1115" s="251"/>
      <c r="S1115" s="251"/>
      <c r="BD1115" s="399">
        <v>1112</v>
      </c>
      <c r="BE1115" s="399" t="s">
        <v>3369</v>
      </c>
      <c r="BF1115" s="251" t="s">
        <v>2401</v>
      </c>
      <c r="BG1115" s="399">
        <v>57</v>
      </c>
      <c r="BH1115" s="252">
        <v>57</v>
      </c>
      <c r="BI1115" s="251" t="s">
        <v>2159</v>
      </c>
      <c r="BJ1115" s="251" t="s">
        <v>1855</v>
      </c>
      <c r="BK1115" s="251" t="s">
        <v>3370</v>
      </c>
      <c r="BL1115" s="251" t="s">
        <v>725</v>
      </c>
    </row>
    <row r="1116" spans="2:64" ht="15">
      <c r="B1116" s="84"/>
      <c r="D1116" s="84"/>
      <c r="E1116" s="84"/>
      <c r="F1116" s="84"/>
      <c r="G1116" s="84"/>
      <c r="R1116" s="251"/>
      <c r="S1116" s="251"/>
      <c r="BD1116" s="399">
        <v>1113</v>
      </c>
      <c r="BE1116" s="399" t="s">
        <v>3371</v>
      </c>
      <c r="BF1116" s="251" t="s">
        <v>2401</v>
      </c>
      <c r="BG1116" s="399">
        <v>57</v>
      </c>
      <c r="BH1116" s="252">
        <v>57</v>
      </c>
      <c r="BI1116" s="251" t="s">
        <v>2460</v>
      </c>
      <c r="BJ1116" s="251" t="s">
        <v>351</v>
      </c>
      <c r="BK1116" s="251" t="s">
        <v>3372</v>
      </c>
      <c r="BL1116" s="251" t="s">
        <v>725</v>
      </c>
    </row>
    <row r="1117" spans="2:64" ht="15">
      <c r="B1117" s="84"/>
      <c r="D1117" s="84"/>
      <c r="E1117" s="84"/>
      <c r="F1117" s="84"/>
      <c r="G1117" s="84"/>
      <c r="R1117" s="251"/>
      <c r="S1117" s="251"/>
      <c r="BD1117" s="399">
        <v>1114</v>
      </c>
      <c r="BE1117" s="399" t="s">
        <v>3373</v>
      </c>
      <c r="BF1117" s="251" t="s">
        <v>2401</v>
      </c>
      <c r="BG1117" s="399">
        <v>58</v>
      </c>
      <c r="BH1117" s="252">
        <v>58</v>
      </c>
      <c r="BI1117" s="251" t="s">
        <v>331</v>
      </c>
      <c r="BJ1117" s="251" t="s">
        <v>397</v>
      </c>
      <c r="BK1117" s="251" t="s">
        <v>3374</v>
      </c>
      <c r="BL1117" s="251" t="s">
        <v>3375</v>
      </c>
    </row>
    <row r="1118" spans="2:64" ht="15">
      <c r="B1118" s="84"/>
      <c r="D1118" s="84"/>
      <c r="E1118" s="84"/>
      <c r="F1118" s="84"/>
      <c r="G1118" s="84"/>
      <c r="R1118" s="251"/>
      <c r="S1118" s="251"/>
      <c r="BD1118" s="399">
        <v>1115</v>
      </c>
      <c r="BE1118" s="399" t="s">
        <v>3376</v>
      </c>
      <c r="BF1118" s="251" t="s">
        <v>2401</v>
      </c>
      <c r="BG1118" s="399">
        <v>58</v>
      </c>
      <c r="BH1118" s="252">
        <v>58</v>
      </c>
      <c r="BI1118" s="251" t="s">
        <v>332</v>
      </c>
      <c r="BJ1118" s="251" t="s">
        <v>380</v>
      </c>
      <c r="BK1118" s="251" t="s">
        <v>3377</v>
      </c>
      <c r="BL1118" s="251" t="s">
        <v>3375</v>
      </c>
    </row>
    <row r="1119" spans="2:64" ht="15">
      <c r="B1119" s="84"/>
      <c r="D1119" s="84"/>
      <c r="E1119" s="84"/>
      <c r="F1119" s="84"/>
      <c r="G1119" s="84"/>
      <c r="R1119" s="251"/>
      <c r="S1119" s="251"/>
      <c r="BD1119" s="399">
        <v>1116</v>
      </c>
      <c r="BE1119" s="399" t="s">
        <v>3378</v>
      </c>
      <c r="BF1119" s="251" t="s">
        <v>2401</v>
      </c>
      <c r="BG1119" s="399">
        <v>58</v>
      </c>
      <c r="BH1119" s="252">
        <v>58</v>
      </c>
      <c r="BI1119" s="251" t="s">
        <v>333</v>
      </c>
      <c r="BJ1119" s="251" t="s">
        <v>397</v>
      </c>
      <c r="BK1119" s="251" t="s">
        <v>3379</v>
      </c>
      <c r="BL1119" s="251" t="s">
        <v>3375</v>
      </c>
    </row>
    <row r="1120" spans="2:64" ht="15">
      <c r="B1120" s="84"/>
      <c r="D1120" s="84"/>
      <c r="E1120" s="84"/>
      <c r="F1120" s="84"/>
      <c r="G1120" s="84"/>
      <c r="R1120" s="251"/>
      <c r="S1120" s="251"/>
      <c r="BD1120" s="399">
        <v>1117</v>
      </c>
      <c r="BE1120" s="399" t="s">
        <v>3380</v>
      </c>
      <c r="BF1120" s="251" t="s">
        <v>2401</v>
      </c>
      <c r="BG1120" s="399">
        <v>58</v>
      </c>
      <c r="BH1120" s="252">
        <v>58</v>
      </c>
      <c r="BI1120" s="251" t="s">
        <v>334</v>
      </c>
      <c r="BJ1120" s="251" t="s">
        <v>397</v>
      </c>
      <c r="BK1120" s="251" t="s">
        <v>3381</v>
      </c>
      <c r="BL1120" s="251" t="s">
        <v>3375</v>
      </c>
    </row>
    <row r="1121" spans="2:64" ht="15">
      <c r="B1121" s="84"/>
      <c r="D1121" s="84"/>
      <c r="E1121" s="84"/>
      <c r="F1121" s="84"/>
      <c r="G1121" s="84"/>
      <c r="R1121" s="251"/>
      <c r="S1121" s="251"/>
      <c r="BD1121" s="399">
        <v>1118</v>
      </c>
      <c r="BE1121" s="399" t="s">
        <v>3382</v>
      </c>
      <c r="BF1121" s="251" t="s">
        <v>2401</v>
      </c>
      <c r="BG1121" s="399">
        <v>58</v>
      </c>
      <c r="BH1121" s="252">
        <v>58</v>
      </c>
      <c r="BI1121" s="251" t="s">
        <v>396</v>
      </c>
      <c r="BJ1121" s="251" t="s">
        <v>380</v>
      </c>
      <c r="BK1121" s="251" t="s">
        <v>3383</v>
      </c>
      <c r="BL1121" s="251" t="s">
        <v>3375</v>
      </c>
    </row>
    <row r="1122" spans="2:64" ht="15">
      <c r="B1122" s="84"/>
      <c r="D1122" s="84"/>
      <c r="E1122" s="84"/>
      <c r="F1122" s="84"/>
      <c r="G1122" s="84"/>
      <c r="R1122" s="251"/>
      <c r="S1122" s="251"/>
      <c r="BD1122" s="399">
        <v>1119</v>
      </c>
      <c r="BE1122" s="399" t="s">
        <v>3384</v>
      </c>
      <c r="BF1122" s="251" t="s">
        <v>2401</v>
      </c>
      <c r="BG1122" s="399">
        <v>58</v>
      </c>
      <c r="BH1122" s="252">
        <v>58</v>
      </c>
      <c r="BI1122" s="251" t="s">
        <v>396</v>
      </c>
      <c r="BJ1122" s="251" t="s">
        <v>397</v>
      </c>
      <c r="BK1122" s="251" t="s">
        <v>3385</v>
      </c>
      <c r="BL1122" s="251" t="s">
        <v>3375</v>
      </c>
    </row>
    <row r="1123" spans="2:64" ht="15">
      <c r="B1123" s="84"/>
      <c r="D1123" s="84"/>
      <c r="E1123" s="84"/>
      <c r="F1123" s="84"/>
      <c r="G1123" s="84"/>
      <c r="R1123" s="251"/>
      <c r="S1123" s="251"/>
      <c r="BD1123" s="399">
        <v>1120</v>
      </c>
      <c r="BE1123" s="399" t="s">
        <v>3386</v>
      </c>
      <c r="BF1123" s="251" t="s">
        <v>2401</v>
      </c>
      <c r="BG1123" s="399">
        <v>58</v>
      </c>
      <c r="BH1123" s="252">
        <v>58</v>
      </c>
      <c r="BI1123" s="251" t="s">
        <v>397</v>
      </c>
      <c r="BJ1123" s="251" t="s">
        <v>351</v>
      </c>
      <c r="BK1123" s="251" t="s">
        <v>3387</v>
      </c>
      <c r="BL1123" s="251" t="s">
        <v>3375</v>
      </c>
    </row>
    <row r="1124" spans="2:64" ht="15">
      <c r="B1124" s="84"/>
      <c r="D1124" s="84"/>
      <c r="E1124" s="84"/>
      <c r="F1124" s="84"/>
      <c r="G1124" s="84"/>
      <c r="R1124" s="251"/>
      <c r="S1124" s="251"/>
      <c r="BD1124" s="399">
        <v>1121</v>
      </c>
      <c r="BE1124" s="399" t="s">
        <v>3388</v>
      </c>
      <c r="BF1124" s="251" t="s">
        <v>2401</v>
      </c>
      <c r="BG1124" s="399">
        <v>58</v>
      </c>
      <c r="BH1124" s="252">
        <v>58</v>
      </c>
      <c r="BI1124" s="251" t="s">
        <v>450</v>
      </c>
      <c r="BJ1124" s="251" t="s">
        <v>351</v>
      </c>
      <c r="BK1124" s="251" t="s">
        <v>3389</v>
      </c>
      <c r="BL1124" s="251" t="s">
        <v>3375</v>
      </c>
    </row>
    <row r="1125" spans="2:64" ht="15">
      <c r="B1125" s="84"/>
      <c r="D1125" s="84"/>
      <c r="E1125" s="84"/>
      <c r="F1125" s="84"/>
      <c r="G1125" s="84"/>
      <c r="R1125" s="251"/>
      <c r="S1125" s="251"/>
      <c r="BD1125" s="399">
        <v>1122</v>
      </c>
      <c r="BE1125" s="399" t="s">
        <v>3390</v>
      </c>
      <c r="BF1125" s="251" t="s">
        <v>2401</v>
      </c>
      <c r="BG1125" s="399">
        <v>58</v>
      </c>
      <c r="BH1125" s="252">
        <v>58</v>
      </c>
      <c r="BI1125" s="251" t="s">
        <v>450</v>
      </c>
      <c r="BJ1125" s="251" t="s">
        <v>397</v>
      </c>
      <c r="BK1125" s="251" t="s">
        <v>3391</v>
      </c>
      <c r="BL1125" s="251" t="s">
        <v>3375</v>
      </c>
    </row>
    <row r="1126" spans="2:64" ht="15">
      <c r="B1126" s="84"/>
      <c r="D1126" s="84"/>
      <c r="E1126" s="84"/>
      <c r="F1126" s="84"/>
      <c r="G1126" s="84"/>
      <c r="R1126" s="251"/>
      <c r="S1126" s="251"/>
      <c r="BD1126" s="399">
        <v>1123</v>
      </c>
      <c r="BE1126" s="399" t="s">
        <v>3392</v>
      </c>
      <c r="BF1126" s="251" t="s">
        <v>2401</v>
      </c>
      <c r="BG1126" s="399">
        <v>58</v>
      </c>
      <c r="BH1126" s="252">
        <v>58</v>
      </c>
      <c r="BI1126" s="251" t="s">
        <v>2159</v>
      </c>
      <c r="BJ1126" s="251" t="s">
        <v>1855</v>
      </c>
      <c r="BK1126" s="251" t="s">
        <v>3393</v>
      </c>
      <c r="BL1126" s="251" t="s">
        <v>3375</v>
      </c>
    </row>
    <row r="1127" spans="2:64" ht="15">
      <c r="B1127" s="84"/>
      <c r="D1127" s="84"/>
      <c r="E1127" s="84"/>
      <c r="F1127" s="84"/>
      <c r="G1127" s="84"/>
      <c r="R1127" s="251"/>
      <c r="S1127" s="251"/>
      <c r="BD1127" s="399">
        <v>1124</v>
      </c>
      <c r="BE1127" s="399" t="s">
        <v>3394</v>
      </c>
      <c r="BF1127" s="251" t="s">
        <v>2401</v>
      </c>
      <c r="BG1127" s="399">
        <v>59</v>
      </c>
      <c r="BH1127" s="252">
        <v>59</v>
      </c>
      <c r="BI1127" s="251" t="s">
        <v>379</v>
      </c>
      <c r="BJ1127" s="251" t="s">
        <v>3395</v>
      </c>
      <c r="BK1127" s="251" t="s">
        <v>3396</v>
      </c>
      <c r="BL1127" s="251" t="s">
        <v>3397</v>
      </c>
    </row>
    <row r="1128" spans="2:64" ht="15">
      <c r="B1128" s="84"/>
      <c r="D1128" s="84"/>
      <c r="E1128" s="84"/>
      <c r="F1128" s="84"/>
      <c r="G1128" s="84"/>
      <c r="R1128" s="251"/>
      <c r="S1128" s="251"/>
      <c r="BD1128" s="399">
        <v>1125</v>
      </c>
      <c r="BE1128" s="399" t="s">
        <v>3398</v>
      </c>
      <c r="BF1128" s="251" t="s">
        <v>2401</v>
      </c>
      <c r="BG1128" s="399">
        <v>59</v>
      </c>
      <c r="BH1128" s="252" t="s">
        <v>3399</v>
      </c>
      <c r="BI1128" s="251" t="s">
        <v>728</v>
      </c>
      <c r="BJ1128" s="251" t="s">
        <v>397</v>
      </c>
      <c r="BK1128" s="251" t="s">
        <v>3400</v>
      </c>
      <c r="BL1128" s="251" t="s">
        <v>3397</v>
      </c>
    </row>
    <row r="1129" spans="2:64" ht="15">
      <c r="B1129" s="84"/>
      <c r="D1129" s="84"/>
      <c r="E1129" s="84"/>
      <c r="F1129" s="84"/>
      <c r="G1129" s="84"/>
      <c r="R1129" s="251"/>
      <c r="S1129" s="251"/>
      <c r="BD1129" s="399">
        <v>1126</v>
      </c>
      <c r="BE1129" s="399" t="s">
        <v>3401</v>
      </c>
      <c r="BF1129" s="251" t="s">
        <v>2401</v>
      </c>
      <c r="BG1129" s="399">
        <v>60</v>
      </c>
      <c r="BH1129" s="252">
        <v>60</v>
      </c>
      <c r="BI1129" s="251" t="s">
        <v>1295</v>
      </c>
      <c r="BJ1129" s="251" t="s">
        <v>397</v>
      </c>
      <c r="BK1129" s="251" t="s">
        <v>3402</v>
      </c>
      <c r="BL1129" s="251" t="s">
        <v>3403</v>
      </c>
    </row>
    <row r="1130" spans="2:64" ht="15">
      <c r="B1130" s="84"/>
      <c r="D1130" s="84"/>
      <c r="E1130" s="84"/>
      <c r="F1130" s="84"/>
      <c r="G1130" s="84"/>
      <c r="R1130" s="251"/>
      <c r="S1130" s="251"/>
      <c r="BD1130" s="399">
        <v>1127</v>
      </c>
      <c r="BE1130" s="399" t="s">
        <v>3404</v>
      </c>
      <c r="BF1130" s="251" t="s">
        <v>2401</v>
      </c>
      <c r="BG1130" s="399">
        <v>60</v>
      </c>
      <c r="BH1130" s="252">
        <v>60</v>
      </c>
      <c r="BI1130" s="251" t="s">
        <v>728</v>
      </c>
      <c r="BJ1130" s="251" t="s">
        <v>407</v>
      </c>
      <c r="BK1130" s="251" t="s">
        <v>3405</v>
      </c>
      <c r="BL1130" s="251" t="s">
        <v>3403</v>
      </c>
    </row>
    <row r="1131" spans="2:64" ht="15">
      <c r="B1131" s="84"/>
      <c r="D1131" s="84"/>
      <c r="E1131" s="84"/>
      <c r="F1131" s="84"/>
      <c r="G1131" s="84"/>
      <c r="R1131" s="251"/>
      <c r="S1131" s="251"/>
      <c r="BD1131" s="399">
        <v>1128</v>
      </c>
      <c r="BE1131" s="399" t="s">
        <v>3406</v>
      </c>
      <c r="BF1131" s="251" t="s">
        <v>2401</v>
      </c>
      <c r="BG1131" s="399">
        <v>60</v>
      </c>
      <c r="BH1131" s="252">
        <v>60</v>
      </c>
      <c r="BI1131" s="251" t="s">
        <v>535</v>
      </c>
      <c r="BJ1131" s="251" t="s">
        <v>407</v>
      </c>
      <c r="BK1131" s="251" t="s">
        <v>3407</v>
      </c>
      <c r="BL1131" s="251" t="s">
        <v>3403</v>
      </c>
    </row>
    <row r="1132" spans="2:64" ht="15">
      <c r="B1132" s="84"/>
      <c r="D1132" s="84"/>
      <c r="E1132" s="84"/>
      <c r="F1132" s="84"/>
      <c r="G1132" s="84"/>
      <c r="R1132" s="251"/>
      <c r="S1132" s="251"/>
      <c r="BD1132" s="399">
        <v>1129</v>
      </c>
      <c r="BE1132" s="399" t="s">
        <v>3408</v>
      </c>
      <c r="BF1132" s="251" t="s">
        <v>2401</v>
      </c>
      <c r="BG1132" s="399">
        <v>65</v>
      </c>
      <c r="BH1132" s="252">
        <v>65</v>
      </c>
      <c r="BI1132" s="251" t="s">
        <v>524</v>
      </c>
      <c r="BJ1132" s="251" t="s">
        <v>413</v>
      </c>
      <c r="BK1132" s="251" t="s">
        <v>3409</v>
      </c>
      <c r="BL1132" s="251" t="s">
        <v>3410</v>
      </c>
    </row>
    <row r="1133" spans="2:64" ht="15">
      <c r="B1133" s="84"/>
      <c r="D1133" s="84"/>
      <c r="E1133" s="84"/>
      <c r="F1133" s="84"/>
      <c r="G1133" s="84"/>
      <c r="R1133" s="251"/>
      <c r="S1133" s="251"/>
      <c r="BD1133" s="399">
        <v>1130</v>
      </c>
      <c r="BE1133" s="399" t="s">
        <v>3411</v>
      </c>
      <c r="BF1133" s="251" t="s">
        <v>2401</v>
      </c>
      <c r="BG1133" s="399">
        <v>65</v>
      </c>
      <c r="BH1133" s="252">
        <v>65</v>
      </c>
      <c r="BI1133" s="251" t="s">
        <v>413</v>
      </c>
      <c r="BJ1133" s="251" t="s">
        <v>351</v>
      </c>
      <c r="BK1133" s="251" t="s">
        <v>3412</v>
      </c>
      <c r="BL1133" s="251" t="s">
        <v>3410</v>
      </c>
    </row>
    <row r="1134" spans="2:64" ht="15">
      <c r="B1134" s="84"/>
      <c r="D1134" s="84"/>
      <c r="E1134" s="84"/>
      <c r="F1134" s="84"/>
      <c r="G1134" s="84"/>
      <c r="R1134" s="251"/>
      <c r="S1134" s="251"/>
      <c r="BD1134" s="399">
        <v>1131</v>
      </c>
      <c r="BE1134" s="399" t="s">
        <v>3413</v>
      </c>
      <c r="BF1134" s="251" t="s">
        <v>3414</v>
      </c>
      <c r="BG1134" s="399">
        <v>53</v>
      </c>
      <c r="BH1134" s="252">
        <v>53</v>
      </c>
      <c r="BI1134" s="251" t="s">
        <v>333</v>
      </c>
      <c r="BJ1134" s="251" t="s">
        <v>380</v>
      </c>
      <c r="BK1134" s="251" t="s">
        <v>3415</v>
      </c>
      <c r="BL1134" s="251" t="s">
        <v>3323</v>
      </c>
    </row>
    <row r="1135" spans="2:64" ht="15">
      <c r="B1135" s="84"/>
      <c r="D1135" s="84"/>
      <c r="E1135" s="84"/>
      <c r="F1135" s="84"/>
      <c r="G1135" s="84"/>
      <c r="R1135" s="251"/>
      <c r="S1135" s="251"/>
      <c r="BD1135" s="399">
        <v>1132</v>
      </c>
      <c r="BE1135" s="399" t="s">
        <v>3416</v>
      </c>
      <c r="BF1135" s="251" t="s">
        <v>3414</v>
      </c>
      <c r="BG1135" s="399">
        <v>60</v>
      </c>
      <c r="BH1135" s="252">
        <v>60</v>
      </c>
      <c r="BI1135" s="251" t="s">
        <v>332</v>
      </c>
      <c r="BJ1135" s="251" t="s">
        <v>413</v>
      </c>
      <c r="BK1135" s="251" t="s">
        <v>3417</v>
      </c>
      <c r="BL1135" s="251" t="s">
        <v>3403</v>
      </c>
    </row>
    <row r="1136" spans="2:64" ht="15">
      <c r="B1136" s="84"/>
      <c r="D1136" s="84"/>
      <c r="E1136" s="84"/>
      <c r="F1136" s="84"/>
      <c r="G1136" s="84"/>
      <c r="R1136" s="251"/>
      <c r="S1136" s="251"/>
      <c r="BD1136" s="399">
        <v>1133</v>
      </c>
      <c r="BE1136" s="399" t="s">
        <v>3418</v>
      </c>
      <c r="BF1136" s="251" t="s">
        <v>3419</v>
      </c>
      <c r="BG1136" s="399" t="s">
        <v>378</v>
      </c>
      <c r="BH1136" s="252">
        <v>11</v>
      </c>
      <c r="BI1136" s="251" t="s">
        <v>357</v>
      </c>
      <c r="BJ1136" s="251" t="s">
        <v>413</v>
      </c>
      <c r="BK1136" s="251" t="s">
        <v>3420</v>
      </c>
      <c r="BL1136" s="251" t="s">
        <v>382</v>
      </c>
    </row>
    <row r="1137" spans="2:64" ht="15">
      <c r="B1137" s="84"/>
      <c r="D1137" s="84"/>
      <c r="E1137" s="84"/>
      <c r="F1137" s="84"/>
      <c r="G1137" s="84"/>
      <c r="R1137" s="251"/>
      <c r="S1137" s="251"/>
      <c r="BD1137" s="399">
        <v>1134</v>
      </c>
      <c r="BE1137" s="399" t="s">
        <v>3421</v>
      </c>
      <c r="BF1137" s="251" t="s">
        <v>3419</v>
      </c>
      <c r="BG1137" s="399" t="s">
        <v>475</v>
      </c>
      <c r="BH1137" s="252" t="s">
        <v>510</v>
      </c>
      <c r="BI1137" s="251" t="s">
        <v>579</v>
      </c>
      <c r="BJ1137" s="251" t="s">
        <v>413</v>
      </c>
      <c r="BK1137" s="251" t="s">
        <v>3422</v>
      </c>
      <c r="BL1137" s="251" t="s">
        <v>479</v>
      </c>
    </row>
    <row r="1138" spans="2:64" ht="15">
      <c r="B1138" s="84"/>
      <c r="D1138" s="84"/>
      <c r="E1138" s="84"/>
      <c r="F1138" s="84"/>
      <c r="G1138" s="84"/>
      <c r="R1138" s="251"/>
      <c r="S1138" s="251"/>
      <c r="BD1138" s="399">
        <v>1135</v>
      </c>
      <c r="BE1138" s="399" t="s">
        <v>555</v>
      </c>
      <c r="BF1138" s="251" t="s">
        <v>3419</v>
      </c>
      <c r="BG1138" s="399" t="s">
        <v>475</v>
      </c>
      <c r="BH1138" s="252" t="s">
        <v>534</v>
      </c>
      <c r="BI1138" s="251" t="s">
        <v>357</v>
      </c>
      <c r="BJ1138" s="251" t="s">
        <v>413</v>
      </c>
      <c r="BK1138" s="251" t="s">
        <v>3423</v>
      </c>
      <c r="BL1138" s="251" t="s">
        <v>479</v>
      </c>
    </row>
    <row r="1139" spans="2:64" ht="15">
      <c r="B1139" s="84"/>
      <c r="D1139" s="84"/>
      <c r="E1139" s="84"/>
      <c r="F1139" s="84"/>
      <c r="G1139" s="84"/>
      <c r="R1139" s="251"/>
      <c r="S1139" s="251"/>
      <c r="BD1139" s="399">
        <v>1136</v>
      </c>
      <c r="BE1139" s="399" t="s">
        <v>3424</v>
      </c>
      <c r="BF1139" s="251" t="s">
        <v>3419</v>
      </c>
      <c r="BG1139" s="399" t="s">
        <v>475</v>
      </c>
      <c r="BH1139" s="252" t="s">
        <v>476</v>
      </c>
      <c r="BI1139" s="251" t="s">
        <v>3425</v>
      </c>
      <c r="BJ1139" s="251" t="s">
        <v>512</v>
      </c>
      <c r="BK1139" s="251" t="s">
        <v>3426</v>
      </c>
      <c r="BL1139" s="251" t="s">
        <v>479</v>
      </c>
    </row>
    <row r="1140" spans="2:64" ht="15">
      <c r="B1140" s="84"/>
      <c r="D1140" s="84"/>
      <c r="E1140" s="84"/>
      <c r="F1140" s="84"/>
      <c r="G1140" s="84"/>
      <c r="R1140" s="251"/>
      <c r="S1140" s="251"/>
      <c r="BD1140" s="399">
        <v>1137</v>
      </c>
      <c r="BE1140" s="399" t="s">
        <v>3427</v>
      </c>
      <c r="BF1140" s="251" t="s">
        <v>3419</v>
      </c>
      <c r="BG1140" s="399" t="s">
        <v>475</v>
      </c>
      <c r="BH1140" s="252" t="s">
        <v>476</v>
      </c>
      <c r="BI1140" s="251" t="s">
        <v>583</v>
      </c>
      <c r="BJ1140" s="251" t="s">
        <v>413</v>
      </c>
      <c r="BK1140" s="251" t="s">
        <v>3428</v>
      </c>
      <c r="BL1140" s="251" t="s">
        <v>479</v>
      </c>
    </row>
    <row r="1141" spans="2:64" ht="15">
      <c r="B1141" s="84"/>
      <c r="D1141" s="84"/>
      <c r="E1141" s="84"/>
      <c r="F1141" s="84"/>
      <c r="G1141" s="84"/>
      <c r="R1141" s="251"/>
      <c r="S1141" s="251"/>
      <c r="BD1141" s="399">
        <v>1138</v>
      </c>
      <c r="BE1141" s="399" t="s">
        <v>3429</v>
      </c>
      <c r="BF1141" s="251" t="s">
        <v>3419</v>
      </c>
      <c r="BG1141" s="399" t="s">
        <v>349</v>
      </c>
      <c r="BH1141" s="252">
        <v>17</v>
      </c>
      <c r="BI1141" s="251" t="s">
        <v>357</v>
      </c>
      <c r="BJ1141" s="251" t="s">
        <v>413</v>
      </c>
      <c r="BK1141" s="251" t="s">
        <v>3430</v>
      </c>
      <c r="BL1141" s="251" t="s">
        <v>353</v>
      </c>
    </row>
    <row r="1142" spans="2:64" ht="15">
      <c r="B1142" s="84"/>
      <c r="D1142" s="84"/>
      <c r="E1142" s="84"/>
      <c r="F1142" s="84"/>
      <c r="G1142" s="84"/>
      <c r="R1142" s="251"/>
      <c r="S1142" s="251"/>
      <c r="BD1142" s="399">
        <v>1139</v>
      </c>
      <c r="BE1142" s="399" t="s">
        <v>3431</v>
      </c>
      <c r="BF1142" s="251" t="s">
        <v>3419</v>
      </c>
      <c r="BG1142" s="399" t="s">
        <v>349</v>
      </c>
      <c r="BH1142" s="252">
        <v>17</v>
      </c>
      <c r="BI1142" s="251" t="s">
        <v>3432</v>
      </c>
      <c r="BJ1142" s="251" t="s">
        <v>413</v>
      </c>
      <c r="BK1142" s="251" t="s">
        <v>3433</v>
      </c>
      <c r="BL1142" s="251" t="s">
        <v>353</v>
      </c>
    </row>
    <row r="1143" spans="2:64" ht="15">
      <c r="B1143" s="84"/>
      <c r="D1143" s="84"/>
      <c r="E1143" s="84"/>
      <c r="F1143" s="84"/>
      <c r="G1143" s="84"/>
      <c r="R1143" s="251"/>
      <c r="S1143" s="251"/>
      <c r="BD1143" s="399">
        <v>1140</v>
      </c>
      <c r="BE1143" s="399" t="s">
        <v>3434</v>
      </c>
      <c r="BF1143" s="251" t="s">
        <v>3419</v>
      </c>
      <c r="BG1143" s="399" t="s">
        <v>349</v>
      </c>
      <c r="BH1143" s="252">
        <v>17</v>
      </c>
      <c r="BI1143" s="251" t="s">
        <v>583</v>
      </c>
      <c r="BJ1143" s="251" t="s">
        <v>413</v>
      </c>
      <c r="BK1143" s="251" t="s">
        <v>3435</v>
      </c>
      <c r="BL1143" s="251" t="s">
        <v>353</v>
      </c>
    </row>
    <row r="1144" spans="2:64" ht="15">
      <c r="B1144" s="84"/>
      <c r="D1144" s="84"/>
      <c r="E1144" s="84"/>
      <c r="F1144" s="84"/>
      <c r="G1144" s="84"/>
      <c r="R1144" s="251"/>
      <c r="S1144" s="251"/>
      <c r="BD1144" s="399">
        <v>1141</v>
      </c>
      <c r="BE1144" s="399" t="s">
        <v>3436</v>
      </c>
      <c r="BF1144" s="251" t="s">
        <v>3419</v>
      </c>
      <c r="BG1144" s="399" t="s">
        <v>349</v>
      </c>
      <c r="BH1144" s="252">
        <v>17</v>
      </c>
      <c r="BI1144" s="251" t="s">
        <v>3437</v>
      </c>
      <c r="BJ1144" s="251" t="s">
        <v>413</v>
      </c>
      <c r="BK1144" s="251" t="s">
        <v>3438</v>
      </c>
      <c r="BL1144" s="251" t="s">
        <v>353</v>
      </c>
    </row>
    <row r="1145" spans="2:64" ht="15">
      <c r="B1145" s="84"/>
      <c r="D1145" s="84"/>
      <c r="E1145" s="84"/>
      <c r="F1145" s="84"/>
      <c r="G1145" s="84"/>
      <c r="R1145" s="251"/>
      <c r="S1145" s="251"/>
      <c r="BD1145" s="399">
        <v>1142</v>
      </c>
      <c r="BE1145" s="399" t="s">
        <v>3439</v>
      </c>
      <c r="BF1145" s="251" t="s">
        <v>3419</v>
      </c>
      <c r="BG1145" s="399" t="s">
        <v>349</v>
      </c>
      <c r="BH1145" s="252">
        <v>17</v>
      </c>
      <c r="BI1145" s="251" t="s">
        <v>535</v>
      </c>
      <c r="BJ1145" s="251" t="s">
        <v>413</v>
      </c>
      <c r="BK1145" s="251" t="s">
        <v>3440</v>
      </c>
      <c r="BL1145" s="251" t="s">
        <v>353</v>
      </c>
    </row>
    <row r="1146" spans="2:64" ht="15">
      <c r="B1146" s="84"/>
      <c r="D1146" s="84"/>
      <c r="E1146" s="84"/>
      <c r="F1146" s="84"/>
      <c r="G1146" s="84"/>
      <c r="R1146" s="251"/>
      <c r="S1146" s="251"/>
      <c r="BD1146" s="399">
        <v>1143</v>
      </c>
      <c r="BE1146" s="399" t="s">
        <v>3441</v>
      </c>
      <c r="BF1146" s="251" t="s">
        <v>3419</v>
      </c>
      <c r="BG1146" s="399" t="s">
        <v>349</v>
      </c>
      <c r="BH1146" s="252">
        <v>17</v>
      </c>
      <c r="BI1146" s="251" t="s">
        <v>873</v>
      </c>
      <c r="BJ1146" s="251" t="s">
        <v>413</v>
      </c>
      <c r="BK1146" s="251" t="s">
        <v>3442</v>
      </c>
      <c r="BL1146" s="251" t="s">
        <v>353</v>
      </c>
    </row>
    <row r="1147" spans="2:64" ht="15">
      <c r="B1147" s="84"/>
      <c r="D1147" s="84"/>
      <c r="E1147" s="84"/>
      <c r="F1147" s="84"/>
      <c r="G1147" s="84"/>
      <c r="R1147" s="251"/>
      <c r="S1147" s="251"/>
      <c r="BD1147" s="399">
        <v>1144</v>
      </c>
      <c r="BE1147" s="399" t="s">
        <v>3443</v>
      </c>
      <c r="BF1147" s="251" t="s">
        <v>3419</v>
      </c>
      <c r="BG1147" s="399" t="s">
        <v>356</v>
      </c>
      <c r="BH1147" s="252">
        <v>18</v>
      </c>
      <c r="BI1147" s="251" t="s">
        <v>579</v>
      </c>
      <c r="BJ1147" s="251" t="s">
        <v>413</v>
      </c>
      <c r="BK1147" s="251" t="s">
        <v>3444</v>
      </c>
      <c r="BL1147" s="251" t="s">
        <v>360</v>
      </c>
    </row>
    <row r="1148" spans="2:64" ht="15">
      <c r="B1148" s="84"/>
      <c r="D1148" s="84"/>
      <c r="E1148" s="84"/>
      <c r="F1148" s="84"/>
      <c r="G1148" s="84"/>
      <c r="R1148" s="251"/>
      <c r="S1148" s="251"/>
      <c r="BD1148" s="399">
        <v>1145</v>
      </c>
      <c r="BE1148" s="399" t="s">
        <v>2895</v>
      </c>
      <c r="BF1148" s="251" t="s">
        <v>3419</v>
      </c>
      <c r="BG1148" s="399" t="s">
        <v>356</v>
      </c>
      <c r="BH1148" s="252">
        <v>18</v>
      </c>
      <c r="BI1148" s="251" t="s">
        <v>357</v>
      </c>
      <c r="BJ1148" s="251" t="s">
        <v>413</v>
      </c>
      <c r="BK1148" s="251" t="s">
        <v>2896</v>
      </c>
      <c r="BL1148" s="251" t="s">
        <v>360</v>
      </c>
    </row>
    <row r="1149" spans="2:64" ht="15">
      <c r="B1149" s="84"/>
      <c r="D1149" s="84"/>
      <c r="E1149" s="84"/>
      <c r="F1149" s="84"/>
      <c r="G1149" s="84"/>
      <c r="R1149" s="251"/>
      <c r="S1149" s="251"/>
      <c r="BD1149" s="399">
        <v>1146</v>
      </c>
      <c r="BE1149" s="399" t="s">
        <v>3445</v>
      </c>
      <c r="BF1149" s="251" t="s">
        <v>3419</v>
      </c>
      <c r="BG1149" s="399" t="s">
        <v>356</v>
      </c>
      <c r="BH1149" s="252">
        <v>18</v>
      </c>
      <c r="BI1149" s="251" t="s">
        <v>3437</v>
      </c>
      <c r="BJ1149" s="251" t="s">
        <v>413</v>
      </c>
      <c r="BK1149" s="251" t="s">
        <v>3446</v>
      </c>
      <c r="BL1149" s="251" t="s">
        <v>360</v>
      </c>
    </row>
    <row r="1150" spans="2:64" ht="15">
      <c r="B1150" s="84"/>
      <c r="D1150" s="84"/>
      <c r="E1150" s="84"/>
      <c r="F1150" s="84"/>
      <c r="G1150" s="84"/>
      <c r="R1150" s="251"/>
      <c r="S1150" s="251"/>
      <c r="BD1150" s="399">
        <v>1147</v>
      </c>
      <c r="BE1150" s="399" t="s">
        <v>3447</v>
      </c>
      <c r="BF1150" s="251" t="s">
        <v>3419</v>
      </c>
      <c r="BG1150" s="399" t="s">
        <v>777</v>
      </c>
      <c r="BH1150" s="252">
        <v>21</v>
      </c>
      <c r="BI1150" s="251" t="s">
        <v>579</v>
      </c>
      <c r="BJ1150" s="251" t="s">
        <v>413</v>
      </c>
      <c r="BK1150" s="251" t="s">
        <v>3448</v>
      </c>
      <c r="BL1150" s="251" t="s">
        <v>780</v>
      </c>
    </row>
    <row r="1151" spans="2:64" ht="15">
      <c r="B1151" s="84"/>
      <c r="D1151" s="84"/>
      <c r="E1151" s="84"/>
      <c r="F1151" s="84"/>
      <c r="G1151" s="84"/>
      <c r="R1151" s="251"/>
      <c r="S1151" s="251"/>
      <c r="BD1151" s="399">
        <v>1148</v>
      </c>
      <c r="BE1151" s="399" t="s">
        <v>849</v>
      </c>
      <c r="BF1151" s="251" t="s">
        <v>3419</v>
      </c>
      <c r="BG1151" s="399" t="s">
        <v>777</v>
      </c>
      <c r="BH1151" s="252">
        <v>21</v>
      </c>
      <c r="BI1151" s="251" t="s">
        <v>357</v>
      </c>
      <c r="BJ1151" s="251" t="s">
        <v>413</v>
      </c>
      <c r="BK1151" s="251" t="s">
        <v>851</v>
      </c>
      <c r="BL1151" s="251" t="s">
        <v>780</v>
      </c>
    </row>
    <row r="1152" spans="2:64" ht="15">
      <c r="B1152" s="84"/>
      <c r="D1152" s="84"/>
      <c r="E1152" s="84"/>
      <c r="F1152" s="84"/>
      <c r="G1152" s="84"/>
      <c r="R1152" s="251"/>
      <c r="S1152" s="251"/>
      <c r="BD1152" s="399">
        <v>1149</v>
      </c>
      <c r="BE1152" s="399" t="s">
        <v>2911</v>
      </c>
      <c r="BF1152" s="251" t="s">
        <v>3419</v>
      </c>
      <c r="BG1152" s="399" t="s">
        <v>777</v>
      </c>
      <c r="BH1152" s="252">
        <v>21</v>
      </c>
      <c r="BI1152" s="251" t="s">
        <v>583</v>
      </c>
      <c r="BJ1152" s="251" t="s">
        <v>413</v>
      </c>
      <c r="BK1152" s="251" t="s">
        <v>2912</v>
      </c>
      <c r="BL1152" s="251" t="s">
        <v>780</v>
      </c>
    </row>
    <row r="1153" spans="2:64" ht="15">
      <c r="B1153" s="84"/>
      <c r="D1153" s="84"/>
      <c r="E1153" s="84"/>
      <c r="F1153" s="84"/>
      <c r="G1153" s="84"/>
      <c r="R1153" s="251"/>
      <c r="S1153" s="251"/>
      <c r="BD1153" s="399">
        <v>1150</v>
      </c>
      <c r="BE1153" s="399" t="s">
        <v>3449</v>
      </c>
      <c r="BF1153" s="251" t="s">
        <v>3419</v>
      </c>
      <c r="BG1153" s="399" t="s">
        <v>777</v>
      </c>
      <c r="BH1153" s="252">
        <v>21</v>
      </c>
      <c r="BI1153" s="251" t="s">
        <v>535</v>
      </c>
      <c r="BJ1153" s="251" t="s">
        <v>413</v>
      </c>
      <c r="BK1153" s="251" t="s">
        <v>3450</v>
      </c>
      <c r="BL1153" s="251" t="s">
        <v>780</v>
      </c>
    </row>
    <row r="1154" spans="2:64" ht="15">
      <c r="B1154" s="84"/>
      <c r="D1154" s="84"/>
      <c r="E1154" s="84"/>
      <c r="F1154" s="84"/>
      <c r="G1154" s="84"/>
      <c r="R1154" s="251"/>
      <c r="S1154" s="251"/>
      <c r="BD1154" s="399">
        <v>1151</v>
      </c>
      <c r="BE1154" s="399" t="s">
        <v>3451</v>
      </c>
      <c r="BF1154" s="251" t="s">
        <v>3419</v>
      </c>
      <c r="BG1154" s="399" t="s">
        <v>777</v>
      </c>
      <c r="BH1154" s="252">
        <v>21</v>
      </c>
      <c r="BI1154" s="251" t="s">
        <v>873</v>
      </c>
      <c r="BJ1154" s="251" t="s">
        <v>413</v>
      </c>
      <c r="BK1154" s="251" t="s">
        <v>3452</v>
      </c>
      <c r="BL1154" s="251" t="s">
        <v>780</v>
      </c>
    </row>
    <row r="1155" spans="2:64" ht="15">
      <c r="B1155" s="84"/>
      <c r="D1155" s="84"/>
      <c r="E1155" s="84"/>
      <c r="F1155" s="84"/>
      <c r="G1155" s="84"/>
      <c r="R1155" s="251"/>
      <c r="S1155" s="251"/>
      <c r="BD1155" s="399">
        <v>1152</v>
      </c>
      <c r="BE1155" s="399" t="s">
        <v>3453</v>
      </c>
      <c r="BF1155" s="251" t="s">
        <v>3419</v>
      </c>
      <c r="BG1155" s="399" t="s">
        <v>455</v>
      </c>
      <c r="BH1155" s="252">
        <v>35</v>
      </c>
      <c r="BI1155" s="251" t="s">
        <v>579</v>
      </c>
      <c r="BJ1155" s="251" t="s">
        <v>413</v>
      </c>
      <c r="BK1155" s="251" t="s">
        <v>3454</v>
      </c>
      <c r="BL1155" s="251" t="s">
        <v>458</v>
      </c>
    </row>
    <row r="1156" spans="2:64" ht="15">
      <c r="B1156" s="84"/>
      <c r="D1156" s="84"/>
      <c r="E1156" s="84"/>
      <c r="F1156" s="84"/>
      <c r="G1156" s="84"/>
      <c r="R1156" s="251"/>
      <c r="S1156" s="251"/>
      <c r="BD1156" s="399">
        <v>1153</v>
      </c>
      <c r="BE1156" s="399" t="s">
        <v>570</v>
      </c>
      <c r="BF1156" s="251" t="s">
        <v>3419</v>
      </c>
      <c r="BG1156" s="399" t="s">
        <v>455</v>
      </c>
      <c r="BH1156" s="252">
        <v>35</v>
      </c>
      <c r="BI1156" s="251" t="s">
        <v>357</v>
      </c>
      <c r="BJ1156" s="251" t="s">
        <v>413</v>
      </c>
      <c r="BK1156" s="251" t="s">
        <v>572</v>
      </c>
      <c r="BL1156" s="251" t="s">
        <v>458</v>
      </c>
    </row>
    <row r="1157" spans="2:64" ht="15">
      <c r="B1157" s="84"/>
      <c r="D1157" s="84"/>
      <c r="E1157" s="84"/>
      <c r="F1157" s="84"/>
      <c r="G1157" s="84"/>
      <c r="R1157" s="251"/>
      <c r="S1157" s="251"/>
      <c r="BD1157" s="399">
        <v>1154</v>
      </c>
      <c r="BE1157" s="399" t="s">
        <v>3455</v>
      </c>
      <c r="BF1157" s="251" t="s">
        <v>3419</v>
      </c>
      <c r="BG1157" s="399" t="s">
        <v>455</v>
      </c>
      <c r="BH1157" s="252">
        <v>35</v>
      </c>
      <c r="BI1157" s="251" t="s">
        <v>583</v>
      </c>
      <c r="BJ1157" s="251" t="s">
        <v>413</v>
      </c>
      <c r="BK1157" s="251" t="s">
        <v>3456</v>
      </c>
      <c r="BL1157" s="251" t="s">
        <v>458</v>
      </c>
    </row>
    <row r="1158" spans="2:64" ht="15">
      <c r="B1158" s="84"/>
      <c r="D1158" s="84"/>
      <c r="E1158" s="84"/>
      <c r="F1158" s="84"/>
      <c r="G1158" s="84"/>
      <c r="R1158" s="251"/>
      <c r="S1158" s="251"/>
      <c r="BD1158" s="399">
        <v>1155</v>
      </c>
      <c r="BE1158" s="399" t="s">
        <v>3457</v>
      </c>
      <c r="BF1158" s="251" t="s">
        <v>3419</v>
      </c>
      <c r="BG1158" s="399" t="s">
        <v>455</v>
      </c>
      <c r="BH1158" s="252">
        <v>35</v>
      </c>
      <c r="BI1158" s="251" t="s">
        <v>3437</v>
      </c>
      <c r="BJ1158" s="251" t="s">
        <v>413</v>
      </c>
      <c r="BK1158" s="251" t="s">
        <v>3458</v>
      </c>
      <c r="BL1158" s="251" t="s">
        <v>458</v>
      </c>
    </row>
    <row r="1159" spans="2:64" ht="15">
      <c r="B1159" s="84"/>
      <c r="D1159" s="84"/>
      <c r="E1159" s="84"/>
      <c r="F1159" s="84"/>
      <c r="G1159" s="84"/>
      <c r="R1159" s="251"/>
      <c r="S1159" s="251"/>
      <c r="BD1159" s="399">
        <v>1156</v>
      </c>
      <c r="BE1159" s="399" t="s">
        <v>3459</v>
      </c>
      <c r="BF1159" s="251" t="s">
        <v>3419</v>
      </c>
      <c r="BG1159" s="399" t="s">
        <v>455</v>
      </c>
      <c r="BH1159" s="252">
        <v>35</v>
      </c>
      <c r="BI1159" s="251" t="s">
        <v>535</v>
      </c>
      <c r="BJ1159" s="251" t="s">
        <v>413</v>
      </c>
      <c r="BK1159" s="251" t="s">
        <v>3460</v>
      </c>
      <c r="BL1159" s="251" t="s">
        <v>458</v>
      </c>
    </row>
    <row r="1160" spans="2:64" ht="15">
      <c r="B1160" s="84"/>
      <c r="D1160" s="84"/>
      <c r="E1160" s="84"/>
      <c r="F1160" s="84"/>
      <c r="G1160" s="84"/>
      <c r="R1160" s="251"/>
      <c r="S1160" s="251"/>
      <c r="BD1160" s="399">
        <v>1157</v>
      </c>
      <c r="BE1160" s="399" t="s">
        <v>3461</v>
      </c>
      <c r="BF1160" s="251" t="s">
        <v>3419</v>
      </c>
      <c r="BG1160" s="399" t="s">
        <v>455</v>
      </c>
      <c r="BH1160" s="252">
        <v>35</v>
      </c>
      <c r="BI1160" s="251" t="s">
        <v>873</v>
      </c>
      <c r="BJ1160" s="251" t="s">
        <v>413</v>
      </c>
      <c r="BK1160" s="251" t="s">
        <v>3462</v>
      </c>
      <c r="BL1160" s="251" t="s">
        <v>458</v>
      </c>
    </row>
    <row r="1161" spans="2:64" ht="15">
      <c r="B1161" s="84"/>
      <c r="D1161" s="84"/>
      <c r="E1161" s="84"/>
      <c r="F1161" s="84"/>
      <c r="G1161" s="84"/>
      <c r="R1161" s="251"/>
      <c r="S1161" s="251"/>
      <c r="BD1161" s="399">
        <v>1158</v>
      </c>
      <c r="BE1161" s="399" t="s">
        <v>3463</v>
      </c>
      <c r="BF1161" s="251" t="s">
        <v>3419</v>
      </c>
      <c r="BG1161" s="399" t="s">
        <v>614</v>
      </c>
      <c r="BH1161" s="252">
        <v>38</v>
      </c>
      <c r="BI1161" s="251" t="s">
        <v>579</v>
      </c>
      <c r="BJ1161" s="251" t="s">
        <v>413</v>
      </c>
      <c r="BK1161" s="251" t="s">
        <v>3464</v>
      </c>
      <c r="BL1161" s="251" t="s">
        <v>617</v>
      </c>
    </row>
    <row r="1162" spans="2:64" ht="15">
      <c r="B1162" s="84"/>
      <c r="D1162" s="84"/>
      <c r="E1162" s="84"/>
      <c r="F1162" s="84"/>
      <c r="G1162" s="84"/>
      <c r="R1162" s="251"/>
      <c r="S1162" s="251"/>
      <c r="BD1162" s="399">
        <v>1159</v>
      </c>
      <c r="BE1162" s="399" t="s">
        <v>3465</v>
      </c>
      <c r="BF1162" s="251" t="s">
        <v>3419</v>
      </c>
      <c r="BG1162" s="399" t="s">
        <v>614</v>
      </c>
      <c r="BH1162" s="252">
        <v>38</v>
      </c>
      <c r="BI1162" s="251" t="s">
        <v>357</v>
      </c>
      <c r="BJ1162" s="251" t="s">
        <v>413</v>
      </c>
      <c r="BK1162" s="251" t="s">
        <v>3466</v>
      </c>
      <c r="BL1162" s="251" t="s">
        <v>617</v>
      </c>
    </row>
    <row r="1163" spans="2:64" ht="15">
      <c r="B1163" s="84"/>
      <c r="D1163" s="84"/>
      <c r="E1163" s="84"/>
      <c r="F1163" s="84"/>
      <c r="G1163" s="84"/>
      <c r="R1163" s="251"/>
      <c r="S1163" s="251"/>
      <c r="BD1163" s="399">
        <v>1160</v>
      </c>
      <c r="BE1163" s="399" t="s">
        <v>3467</v>
      </c>
      <c r="BF1163" s="251" t="s">
        <v>3419</v>
      </c>
      <c r="BG1163" s="399" t="s">
        <v>623</v>
      </c>
      <c r="BH1163" s="252">
        <v>40</v>
      </c>
      <c r="BI1163" s="251" t="s">
        <v>579</v>
      </c>
      <c r="BJ1163" s="251" t="s">
        <v>413</v>
      </c>
      <c r="BK1163" s="251" t="s">
        <v>3468</v>
      </c>
      <c r="BL1163" s="251" t="s">
        <v>626</v>
      </c>
    </row>
    <row r="1164" spans="2:64" ht="15">
      <c r="B1164" s="84"/>
      <c r="D1164" s="84"/>
      <c r="E1164" s="84"/>
      <c r="F1164" s="84"/>
      <c r="G1164" s="84"/>
      <c r="R1164" s="251"/>
      <c r="S1164" s="251"/>
      <c r="BD1164" s="399">
        <v>1161</v>
      </c>
      <c r="BE1164" s="399" t="s">
        <v>3469</v>
      </c>
      <c r="BF1164" s="251" t="s">
        <v>3419</v>
      </c>
      <c r="BG1164" s="399" t="s">
        <v>623</v>
      </c>
      <c r="BH1164" s="252">
        <v>40</v>
      </c>
      <c r="BI1164" s="251" t="s">
        <v>357</v>
      </c>
      <c r="BJ1164" s="251" t="s">
        <v>413</v>
      </c>
      <c r="BK1164" s="251" t="s">
        <v>3470</v>
      </c>
      <c r="BL1164" s="251" t="s">
        <v>626</v>
      </c>
    </row>
    <row r="1165" spans="2:64" ht="15">
      <c r="B1165" s="84"/>
      <c r="D1165" s="84"/>
      <c r="E1165" s="84"/>
      <c r="F1165" s="84"/>
      <c r="G1165" s="84"/>
      <c r="R1165" s="251"/>
      <c r="S1165" s="251"/>
      <c r="BD1165" s="399">
        <v>1162</v>
      </c>
      <c r="BE1165" s="399" t="s">
        <v>3471</v>
      </c>
      <c r="BF1165" s="251" t="s">
        <v>3419</v>
      </c>
      <c r="BG1165" s="399" t="s">
        <v>623</v>
      </c>
      <c r="BH1165" s="252">
        <v>40</v>
      </c>
      <c r="BI1165" s="251" t="s">
        <v>583</v>
      </c>
      <c r="BJ1165" s="251" t="s">
        <v>413</v>
      </c>
      <c r="BK1165" s="251" t="s">
        <v>3472</v>
      </c>
      <c r="BL1165" s="251" t="s">
        <v>626</v>
      </c>
    </row>
    <row r="1166" spans="2:64" ht="15">
      <c r="B1166" s="84"/>
      <c r="D1166" s="84"/>
      <c r="E1166" s="84"/>
      <c r="F1166" s="84"/>
      <c r="G1166" s="84"/>
      <c r="R1166" s="251"/>
      <c r="S1166" s="251"/>
      <c r="BD1166" s="399">
        <v>1163</v>
      </c>
      <c r="BE1166" s="399" t="s">
        <v>3473</v>
      </c>
      <c r="BF1166" s="251" t="s">
        <v>3419</v>
      </c>
      <c r="BG1166" s="399" t="s">
        <v>623</v>
      </c>
      <c r="BH1166" s="252">
        <v>40</v>
      </c>
      <c r="BI1166" s="251" t="s">
        <v>3437</v>
      </c>
      <c r="BJ1166" s="251" t="s">
        <v>413</v>
      </c>
      <c r="BK1166" s="251" t="s">
        <v>3474</v>
      </c>
      <c r="BL1166" s="251" t="s">
        <v>626</v>
      </c>
    </row>
    <row r="1167" spans="2:64" ht="15">
      <c r="B1167" s="84"/>
      <c r="D1167" s="84"/>
      <c r="E1167" s="84"/>
      <c r="F1167" s="84"/>
      <c r="G1167" s="84"/>
      <c r="R1167" s="251"/>
      <c r="S1167" s="251"/>
      <c r="BD1167" s="399">
        <v>1164</v>
      </c>
      <c r="BE1167" s="399" t="s">
        <v>3475</v>
      </c>
      <c r="BF1167" s="251" t="s">
        <v>3419</v>
      </c>
      <c r="BG1167" s="399" t="s">
        <v>623</v>
      </c>
      <c r="BH1167" s="252">
        <v>40</v>
      </c>
      <c r="BI1167" s="251" t="s">
        <v>535</v>
      </c>
      <c r="BJ1167" s="251" t="s">
        <v>413</v>
      </c>
      <c r="BK1167" s="251" t="s">
        <v>3476</v>
      </c>
      <c r="BL1167" s="251" t="s">
        <v>626</v>
      </c>
    </row>
    <row r="1168" spans="2:64" ht="15">
      <c r="B1168" s="84"/>
      <c r="D1168" s="84"/>
      <c r="E1168" s="84"/>
      <c r="F1168" s="84"/>
      <c r="G1168" s="84"/>
      <c r="R1168" s="251"/>
      <c r="S1168" s="251"/>
      <c r="BD1168" s="399">
        <v>1165</v>
      </c>
      <c r="BE1168" s="399" t="s">
        <v>3477</v>
      </c>
      <c r="BF1168" s="251" t="s">
        <v>3419</v>
      </c>
      <c r="BG1168" s="399" t="s">
        <v>623</v>
      </c>
      <c r="BH1168" s="252">
        <v>40</v>
      </c>
      <c r="BI1168" s="251" t="s">
        <v>873</v>
      </c>
      <c r="BJ1168" s="251" t="s">
        <v>413</v>
      </c>
      <c r="BK1168" s="251" t="s">
        <v>3478</v>
      </c>
      <c r="BL1168" s="251" t="s">
        <v>626</v>
      </c>
    </row>
    <row r="1169" spans="2:64" ht="15">
      <c r="B1169" s="84"/>
      <c r="D1169" s="84"/>
      <c r="E1169" s="84"/>
      <c r="F1169" s="84"/>
      <c r="G1169" s="84"/>
      <c r="R1169" s="251"/>
      <c r="S1169" s="251"/>
      <c r="BD1169" s="399">
        <v>1166</v>
      </c>
      <c r="BE1169" s="399" t="s">
        <v>3479</v>
      </c>
      <c r="BF1169" s="251" t="s">
        <v>3419</v>
      </c>
      <c r="BG1169" s="399" t="s">
        <v>549</v>
      </c>
      <c r="BH1169" s="252">
        <v>41</v>
      </c>
      <c r="BI1169" s="251" t="s">
        <v>579</v>
      </c>
      <c r="BJ1169" s="251" t="s">
        <v>413</v>
      </c>
      <c r="BK1169" s="251" t="s">
        <v>3480</v>
      </c>
      <c r="BL1169" s="251" t="s">
        <v>551</v>
      </c>
    </row>
    <row r="1170" spans="2:64" ht="15">
      <c r="B1170" s="84"/>
      <c r="D1170" s="84"/>
      <c r="E1170" s="84"/>
      <c r="F1170" s="84"/>
      <c r="G1170" s="84"/>
      <c r="R1170" s="251"/>
      <c r="S1170" s="251"/>
      <c r="BD1170" s="399">
        <v>1167</v>
      </c>
      <c r="BE1170" s="399" t="s">
        <v>3481</v>
      </c>
      <c r="BF1170" s="251" t="s">
        <v>3419</v>
      </c>
      <c r="BG1170" s="399" t="s">
        <v>549</v>
      </c>
      <c r="BH1170" s="252">
        <v>41</v>
      </c>
      <c r="BI1170" s="251" t="s">
        <v>357</v>
      </c>
      <c r="BJ1170" s="251" t="s">
        <v>413</v>
      </c>
      <c r="BK1170" s="251" t="s">
        <v>3482</v>
      </c>
      <c r="BL1170" s="251" t="s">
        <v>551</v>
      </c>
    </row>
    <row r="1171" spans="2:64" ht="15">
      <c r="B1171" s="84"/>
      <c r="D1171" s="84"/>
      <c r="E1171" s="84"/>
      <c r="F1171" s="84"/>
      <c r="G1171" s="84"/>
      <c r="R1171" s="251"/>
      <c r="S1171" s="251"/>
      <c r="BD1171" s="399">
        <v>1168</v>
      </c>
      <c r="BE1171" s="399" t="s">
        <v>3483</v>
      </c>
      <c r="BF1171" s="251" t="s">
        <v>3419</v>
      </c>
      <c r="BG1171" s="399" t="s">
        <v>549</v>
      </c>
      <c r="BH1171" s="252">
        <v>41</v>
      </c>
      <c r="BI1171" s="251" t="s">
        <v>3432</v>
      </c>
      <c r="BJ1171" s="251" t="s">
        <v>413</v>
      </c>
      <c r="BK1171" s="251" t="s">
        <v>3484</v>
      </c>
      <c r="BL1171" s="251" t="s">
        <v>551</v>
      </c>
    </row>
    <row r="1172" spans="2:64" ht="15">
      <c r="B1172" s="84"/>
      <c r="D1172" s="84"/>
      <c r="E1172" s="84"/>
      <c r="F1172" s="84"/>
      <c r="G1172" s="84"/>
      <c r="R1172" s="251"/>
      <c r="S1172" s="251"/>
      <c r="BD1172" s="399">
        <v>1169</v>
      </c>
      <c r="BE1172" s="399" t="s">
        <v>3485</v>
      </c>
      <c r="BF1172" s="251" t="s">
        <v>3419</v>
      </c>
      <c r="BG1172" s="399" t="s">
        <v>549</v>
      </c>
      <c r="BH1172" s="252">
        <v>41</v>
      </c>
      <c r="BI1172" s="251" t="s">
        <v>583</v>
      </c>
      <c r="BJ1172" s="251" t="s">
        <v>413</v>
      </c>
      <c r="BK1172" s="251" t="s">
        <v>3486</v>
      </c>
      <c r="BL1172" s="251" t="s">
        <v>551</v>
      </c>
    </row>
    <row r="1173" spans="2:64" ht="15">
      <c r="B1173" s="84"/>
      <c r="D1173" s="84"/>
      <c r="E1173" s="84"/>
      <c r="F1173" s="84"/>
      <c r="G1173" s="84"/>
      <c r="R1173" s="251"/>
      <c r="S1173" s="251"/>
      <c r="BD1173" s="399">
        <v>1170</v>
      </c>
      <c r="BE1173" s="399" t="s">
        <v>3487</v>
      </c>
      <c r="BF1173" s="251" t="s">
        <v>3419</v>
      </c>
      <c r="BG1173" s="399" t="s">
        <v>549</v>
      </c>
      <c r="BH1173" s="252">
        <v>41</v>
      </c>
      <c r="BI1173" s="251" t="s">
        <v>3437</v>
      </c>
      <c r="BJ1173" s="251" t="s">
        <v>413</v>
      </c>
      <c r="BK1173" s="251" t="s">
        <v>3488</v>
      </c>
      <c r="BL1173" s="251" t="s">
        <v>551</v>
      </c>
    </row>
    <row r="1174" spans="2:64" ht="15">
      <c r="B1174" s="84"/>
      <c r="D1174" s="84"/>
      <c r="E1174" s="84"/>
      <c r="F1174" s="84"/>
      <c r="G1174" s="84"/>
      <c r="R1174" s="251"/>
      <c r="S1174" s="251"/>
      <c r="BD1174" s="399">
        <v>1171</v>
      </c>
      <c r="BE1174" s="399" t="s">
        <v>3489</v>
      </c>
      <c r="BF1174" s="251" t="s">
        <v>3419</v>
      </c>
      <c r="BG1174" s="399" t="s">
        <v>549</v>
      </c>
      <c r="BH1174" s="252">
        <v>41</v>
      </c>
      <c r="BI1174" s="251" t="s">
        <v>535</v>
      </c>
      <c r="BJ1174" s="251" t="s">
        <v>413</v>
      </c>
      <c r="BK1174" s="251" t="s">
        <v>3490</v>
      </c>
      <c r="BL1174" s="251" t="s">
        <v>551</v>
      </c>
    </row>
    <row r="1175" spans="2:64" ht="15">
      <c r="B1175" s="84"/>
      <c r="D1175" s="84"/>
      <c r="E1175" s="84"/>
      <c r="F1175" s="84"/>
      <c r="G1175" s="84"/>
      <c r="R1175" s="251"/>
      <c r="S1175" s="251"/>
      <c r="BD1175" s="399">
        <v>1172</v>
      </c>
      <c r="BE1175" s="399" t="s">
        <v>3491</v>
      </c>
      <c r="BF1175" s="251" t="s">
        <v>3419</v>
      </c>
      <c r="BG1175" s="399" t="s">
        <v>549</v>
      </c>
      <c r="BH1175" s="252">
        <v>41</v>
      </c>
      <c r="BI1175" s="251" t="s">
        <v>873</v>
      </c>
      <c r="BJ1175" s="251" t="s">
        <v>413</v>
      </c>
      <c r="BK1175" s="251" t="s">
        <v>3492</v>
      </c>
      <c r="BL1175" s="251" t="s">
        <v>551</v>
      </c>
    </row>
    <row r="1176" spans="2:64" ht="15">
      <c r="B1176" s="84"/>
      <c r="D1176" s="84"/>
      <c r="E1176" s="84"/>
      <c r="F1176" s="84"/>
      <c r="G1176" s="84"/>
      <c r="R1176" s="251"/>
      <c r="S1176" s="251"/>
      <c r="BD1176" s="399">
        <v>1173</v>
      </c>
      <c r="BE1176" s="399" t="s">
        <v>3493</v>
      </c>
      <c r="BF1176" s="251" t="s">
        <v>3419</v>
      </c>
      <c r="BG1176" s="399" t="s">
        <v>733</v>
      </c>
      <c r="BH1176" s="252">
        <v>42</v>
      </c>
      <c r="BI1176" s="251" t="s">
        <v>579</v>
      </c>
      <c r="BJ1176" s="251" t="s">
        <v>413</v>
      </c>
      <c r="BK1176" s="251" t="s">
        <v>3494</v>
      </c>
      <c r="BL1176" s="251" t="s">
        <v>736</v>
      </c>
    </row>
    <row r="1177" spans="2:64" ht="15">
      <c r="B1177" s="84"/>
      <c r="D1177" s="84"/>
      <c r="E1177" s="84"/>
      <c r="F1177" s="84"/>
      <c r="G1177" s="84"/>
      <c r="R1177" s="251"/>
      <c r="S1177" s="251"/>
      <c r="BD1177" s="399">
        <v>1174</v>
      </c>
      <c r="BE1177" s="399" t="s">
        <v>3495</v>
      </c>
      <c r="BF1177" s="251" t="s">
        <v>3419</v>
      </c>
      <c r="BG1177" s="399" t="s">
        <v>733</v>
      </c>
      <c r="BH1177" s="252">
        <v>42</v>
      </c>
      <c r="BI1177" s="251" t="s">
        <v>357</v>
      </c>
      <c r="BJ1177" s="251" t="s">
        <v>413</v>
      </c>
      <c r="BK1177" s="251" t="s">
        <v>3496</v>
      </c>
      <c r="BL1177" s="251" t="s">
        <v>736</v>
      </c>
    </row>
    <row r="1178" spans="2:64" ht="15">
      <c r="B1178" s="84"/>
      <c r="D1178" s="84"/>
      <c r="E1178" s="84"/>
      <c r="F1178" s="84"/>
      <c r="G1178" s="84"/>
      <c r="R1178" s="251"/>
      <c r="S1178" s="251"/>
      <c r="BD1178" s="399">
        <v>1175</v>
      </c>
      <c r="BE1178" s="399" t="s">
        <v>3497</v>
      </c>
      <c r="BF1178" s="251" t="s">
        <v>3419</v>
      </c>
      <c r="BG1178" s="399" t="s">
        <v>733</v>
      </c>
      <c r="BH1178" s="252">
        <v>42</v>
      </c>
      <c r="BI1178" s="251" t="s">
        <v>583</v>
      </c>
      <c r="BJ1178" s="251" t="s">
        <v>413</v>
      </c>
      <c r="BK1178" s="251" t="s">
        <v>3498</v>
      </c>
      <c r="BL1178" s="251" t="s">
        <v>736</v>
      </c>
    </row>
    <row r="1179" spans="2:64" ht="15">
      <c r="B1179" s="84"/>
      <c r="D1179" s="84"/>
      <c r="E1179" s="84"/>
      <c r="F1179" s="84"/>
      <c r="G1179" s="84"/>
      <c r="R1179" s="251"/>
      <c r="S1179" s="251"/>
      <c r="BD1179" s="399">
        <v>1176</v>
      </c>
      <c r="BE1179" s="399" t="s">
        <v>3499</v>
      </c>
      <c r="BF1179" s="251" t="s">
        <v>3419</v>
      </c>
      <c r="BG1179" s="399" t="s">
        <v>449</v>
      </c>
      <c r="BH1179" s="252">
        <v>43</v>
      </c>
      <c r="BI1179" s="251" t="s">
        <v>579</v>
      </c>
      <c r="BJ1179" s="251" t="s">
        <v>413</v>
      </c>
      <c r="BK1179" s="251" t="s">
        <v>3500</v>
      </c>
      <c r="BL1179" s="251" t="s">
        <v>452</v>
      </c>
    </row>
    <row r="1180" spans="2:64" ht="15">
      <c r="B1180" s="84"/>
      <c r="D1180" s="84"/>
      <c r="E1180" s="84"/>
      <c r="F1180" s="84"/>
      <c r="G1180" s="84"/>
      <c r="R1180" s="251"/>
      <c r="S1180" s="251"/>
      <c r="BD1180" s="399">
        <v>1177</v>
      </c>
      <c r="BE1180" s="399" t="s">
        <v>3172</v>
      </c>
      <c r="BF1180" s="251" t="s">
        <v>3419</v>
      </c>
      <c r="BG1180" s="399" t="s">
        <v>449</v>
      </c>
      <c r="BH1180" s="252">
        <v>43</v>
      </c>
      <c r="BI1180" s="251" t="s">
        <v>357</v>
      </c>
      <c r="BJ1180" s="251" t="s">
        <v>413</v>
      </c>
      <c r="BK1180" s="251" t="s">
        <v>3173</v>
      </c>
      <c r="BL1180" s="251" t="s">
        <v>452</v>
      </c>
    </row>
    <row r="1181" spans="2:64" ht="15">
      <c r="B1181" s="84"/>
      <c r="D1181" s="84"/>
      <c r="E1181" s="84"/>
      <c r="F1181" s="84"/>
      <c r="G1181" s="84"/>
      <c r="R1181" s="251"/>
      <c r="S1181" s="251"/>
      <c r="BD1181" s="399">
        <v>1178</v>
      </c>
      <c r="BE1181" s="399" t="s">
        <v>3501</v>
      </c>
      <c r="BF1181" s="251" t="s">
        <v>3419</v>
      </c>
      <c r="BG1181" s="399" t="s">
        <v>449</v>
      </c>
      <c r="BH1181" s="252">
        <v>43</v>
      </c>
      <c r="BI1181" s="251" t="s">
        <v>583</v>
      </c>
      <c r="BJ1181" s="251" t="s">
        <v>413</v>
      </c>
      <c r="BK1181" s="251" t="s">
        <v>3502</v>
      </c>
      <c r="BL1181" s="251" t="s">
        <v>452</v>
      </c>
    </row>
    <row r="1182" spans="2:64" ht="15">
      <c r="B1182" s="84"/>
      <c r="D1182" s="84"/>
      <c r="E1182" s="84"/>
      <c r="F1182" s="84"/>
      <c r="G1182" s="84"/>
      <c r="R1182" s="251"/>
      <c r="S1182" s="251"/>
      <c r="BD1182" s="399">
        <v>1179</v>
      </c>
      <c r="BE1182" s="399" t="s">
        <v>3503</v>
      </c>
      <c r="BF1182" s="251" t="s">
        <v>3419</v>
      </c>
      <c r="BG1182" s="399" t="s">
        <v>449</v>
      </c>
      <c r="BH1182" s="252">
        <v>43</v>
      </c>
      <c r="BI1182" s="251" t="s">
        <v>535</v>
      </c>
      <c r="BJ1182" s="251" t="s">
        <v>413</v>
      </c>
      <c r="BK1182" s="251" t="s">
        <v>3504</v>
      </c>
      <c r="BL1182" s="251" t="s">
        <v>452</v>
      </c>
    </row>
    <row r="1183" spans="2:64" ht="15">
      <c r="B1183" s="84"/>
      <c r="D1183" s="84"/>
      <c r="E1183" s="84"/>
      <c r="F1183" s="84"/>
      <c r="G1183" s="84"/>
      <c r="R1183" s="251"/>
      <c r="S1183" s="251"/>
      <c r="BD1183" s="399">
        <v>1180</v>
      </c>
      <c r="BE1183" s="399" t="s">
        <v>3505</v>
      </c>
      <c r="BF1183" s="251" t="s">
        <v>3419</v>
      </c>
      <c r="BG1183" s="399" t="s">
        <v>449</v>
      </c>
      <c r="BH1183" s="252">
        <v>43</v>
      </c>
      <c r="BI1183" s="251" t="s">
        <v>873</v>
      </c>
      <c r="BJ1183" s="251" t="s">
        <v>413</v>
      </c>
      <c r="BK1183" s="251" t="s">
        <v>3506</v>
      </c>
      <c r="BL1183" s="251" t="s">
        <v>452</v>
      </c>
    </row>
    <row r="1184" spans="2:64" ht="15">
      <c r="B1184" s="84"/>
      <c r="D1184" s="84"/>
      <c r="E1184" s="84"/>
      <c r="F1184" s="84"/>
      <c r="G1184" s="84"/>
      <c r="R1184" s="251"/>
      <c r="S1184" s="251"/>
      <c r="BD1184" s="399">
        <v>1181</v>
      </c>
      <c r="BE1184" s="399" t="s">
        <v>3186</v>
      </c>
      <c r="BF1184" s="251" t="s">
        <v>3419</v>
      </c>
      <c r="BG1184" s="399" t="s">
        <v>590</v>
      </c>
      <c r="BH1184" s="252">
        <v>44</v>
      </c>
      <c r="BI1184" s="251" t="s">
        <v>357</v>
      </c>
      <c r="BJ1184" s="251" t="s">
        <v>413</v>
      </c>
      <c r="BK1184" s="251" t="s">
        <v>3187</v>
      </c>
      <c r="BL1184" s="251" t="s">
        <v>592</v>
      </c>
    </row>
    <row r="1185" spans="2:64" ht="15">
      <c r="B1185" s="84"/>
      <c r="D1185" s="84"/>
      <c r="E1185" s="84"/>
      <c r="F1185" s="84"/>
      <c r="G1185" s="84"/>
      <c r="R1185" s="251"/>
      <c r="S1185" s="251"/>
      <c r="BD1185" s="399">
        <v>1182</v>
      </c>
      <c r="BE1185" s="399" t="s">
        <v>3507</v>
      </c>
      <c r="BF1185" s="251" t="s">
        <v>3419</v>
      </c>
      <c r="BG1185" s="399" t="s">
        <v>590</v>
      </c>
      <c r="BH1185" s="252">
        <v>44</v>
      </c>
      <c r="BI1185" s="251" t="s">
        <v>3432</v>
      </c>
      <c r="BJ1185" s="251" t="s">
        <v>413</v>
      </c>
      <c r="BK1185" s="251" t="s">
        <v>3508</v>
      </c>
      <c r="BL1185" s="251" t="s">
        <v>592</v>
      </c>
    </row>
    <row r="1186" spans="2:64" ht="15">
      <c r="B1186" s="84"/>
      <c r="D1186" s="84"/>
      <c r="E1186" s="84"/>
      <c r="F1186" s="84"/>
      <c r="G1186" s="84"/>
      <c r="R1186" s="251"/>
      <c r="S1186" s="251"/>
      <c r="BD1186" s="399">
        <v>1183</v>
      </c>
      <c r="BE1186" s="399" t="s">
        <v>1437</v>
      </c>
      <c r="BF1186" s="251" t="s">
        <v>3419</v>
      </c>
      <c r="BG1186" s="399" t="s">
        <v>590</v>
      </c>
      <c r="BH1186" s="252">
        <v>44</v>
      </c>
      <c r="BI1186" s="251" t="s">
        <v>583</v>
      </c>
      <c r="BJ1186" s="251" t="s">
        <v>413</v>
      </c>
      <c r="BK1186" s="251" t="s">
        <v>1439</v>
      </c>
      <c r="BL1186" s="251" t="s">
        <v>592</v>
      </c>
    </row>
    <row r="1187" spans="2:64" ht="15">
      <c r="B1187" s="84"/>
      <c r="D1187" s="84"/>
      <c r="E1187" s="84"/>
      <c r="F1187" s="84"/>
      <c r="G1187" s="84"/>
      <c r="R1187" s="251"/>
      <c r="S1187" s="251"/>
      <c r="BD1187" s="399">
        <v>1184</v>
      </c>
      <c r="BE1187" s="399" t="s">
        <v>3509</v>
      </c>
      <c r="BF1187" s="251" t="s">
        <v>3419</v>
      </c>
      <c r="BG1187" s="399" t="s">
        <v>590</v>
      </c>
      <c r="BH1187" s="252">
        <v>44</v>
      </c>
      <c r="BI1187" s="251" t="s">
        <v>3437</v>
      </c>
      <c r="BJ1187" s="251" t="s">
        <v>413</v>
      </c>
      <c r="BK1187" s="251" t="s">
        <v>3510</v>
      </c>
      <c r="BL1187" s="251" t="s">
        <v>592</v>
      </c>
    </row>
    <row r="1188" spans="2:64" ht="15">
      <c r="B1188" s="84"/>
      <c r="D1188" s="84"/>
      <c r="E1188" s="84"/>
      <c r="F1188" s="84"/>
      <c r="G1188" s="84"/>
      <c r="R1188" s="251"/>
      <c r="S1188" s="251"/>
      <c r="BD1188" s="399">
        <v>1185</v>
      </c>
      <c r="BE1188" s="399" t="s">
        <v>3511</v>
      </c>
      <c r="BF1188" s="251" t="s">
        <v>3419</v>
      </c>
      <c r="BG1188" s="399" t="s">
        <v>739</v>
      </c>
      <c r="BH1188" s="252">
        <v>45</v>
      </c>
      <c r="BI1188" s="251" t="s">
        <v>579</v>
      </c>
      <c r="BJ1188" s="251" t="s">
        <v>413</v>
      </c>
      <c r="BK1188" s="251" t="s">
        <v>3512</v>
      </c>
      <c r="BL1188" s="251" t="s">
        <v>742</v>
      </c>
    </row>
    <row r="1189" spans="2:64" ht="15">
      <c r="B1189" s="84"/>
      <c r="D1189" s="84"/>
      <c r="E1189" s="84"/>
      <c r="F1189" s="84"/>
      <c r="G1189" s="84"/>
      <c r="R1189" s="251"/>
      <c r="S1189" s="251"/>
      <c r="BD1189" s="399">
        <v>1186</v>
      </c>
      <c r="BE1189" s="399" t="s">
        <v>3513</v>
      </c>
      <c r="BF1189" s="251" t="s">
        <v>3419</v>
      </c>
      <c r="BG1189" s="399" t="s">
        <v>739</v>
      </c>
      <c r="BH1189" s="252">
        <v>45</v>
      </c>
      <c r="BI1189" s="251" t="s">
        <v>357</v>
      </c>
      <c r="BJ1189" s="251" t="s">
        <v>413</v>
      </c>
      <c r="BK1189" s="251" t="s">
        <v>3514</v>
      </c>
      <c r="BL1189" s="251" t="s">
        <v>742</v>
      </c>
    </row>
    <row r="1190" spans="2:64" ht="15">
      <c r="B1190" s="84"/>
      <c r="D1190" s="84"/>
      <c r="E1190" s="84"/>
      <c r="F1190" s="84"/>
      <c r="G1190" s="84"/>
      <c r="R1190" s="251"/>
      <c r="S1190" s="251"/>
      <c r="BD1190" s="399">
        <v>1187</v>
      </c>
      <c r="BE1190" s="399" t="s">
        <v>3515</v>
      </c>
      <c r="BF1190" s="251" t="s">
        <v>3419</v>
      </c>
      <c r="BG1190" s="399" t="s">
        <v>739</v>
      </c>
      <c r="BH1190" s="252">
        <v>45</v>
      </c>
      <c r="BI1190" s="251" t="s">
        <v>583</v>
      </c>
      <c r="BJ1190" s="251" t="s">
        <v>413</v>
      </c>
      <c r="BK1190" s="251" t="s">
        <v>3516</v>
      </c>
      <c r="BL1190" s="251" t="s">
        <v>742</v>
      </c>
    </row>
    <row r="1191" spans="2:64" ht="15">
      <c r="B1191" s="84"/>
      <c r="D1191" s="84"/>
      <c r="E1191" s="84"/>
      <c r="F1191" s="84"/>
      <c r="G1191" s="84"/>
      <c r="R1191" s="251"/>
      <c r="S1191" s="251"/>
      <c r="BD1191" s="399">
        <v>1188</v>
      </c>
      <c r="BE1191" s="399" t="s">
        <v>3517</v>
      </c>
      <c r="BF1191" s="251" t="s">
        <v>3419</v>
      </c>
      <c r="BG1191" s="399" t="s">
        <v>739</v>
      </c>
      <c r="BH1191" s="252">
        <v>45</v>
      </c>
      <c r="BI1191" s="251" t="s">
        <v>3437</v>
      </c>
      <c r="BJ1191" s="251" t="s">
        <v>413</v>
      </c>
      <c r="BK1191" s="251" t="s">
        <v>3518</v>
      </c>
      <c r="BL1191" s="251" t="s">
        <v>742</v>
      </c>
    </row>
    <row r="1192" spans="2:64" ht="15">
      <c r="B1192" s="84"/>
      <c r="D1192" s="84"/>
      <c r="E1192" s="84"/>
      <c r="F1192" s="84"/>
      <c r="G1192" s="84"/>
      <c r="R1192" s="251"/>
      <c r="S1192" s="251"/>
      <c r="BD1192" s="399">
        <v>1189</v>
      </c>
      <c r="BE1192" s="399" t="s">
        <v>3519</v>
      </c>
      <c r="BF1192" s="251" t="s">
        <v>3419</v>
      </c>
      <c r="BG1192" s="399" t="s">
        <v>739</v>
      </c>
      <c r="BH1192" s="252">
        <v>45</v>
      </c>
      <c r="BI1192" s="251" t="s">
        <v>535</v>
      </c>
      <c r="BJ1192" s="251" t="s">
        <v>2509</v>
      </c>
      <c r="BK1192" s="251" t="s">
        <v>3520</v>
      </c>
      <c r="BL1192" s="251" t="s">
        <v>742</v>
      </c>
    </row>
    <row r="1193" spans="2:64" ht="15">
      <c r="B1193" s="84"/>
      <c r="D1193" s="84"/>
      <c r="E1193" s="84"/>
      <c r="F1193" s="84"/>
      <c r="G1193" s="84"/>
      <c r="R1193" s="251"/>
      <c r="S1193" s="251"/>
      <c r="BD1193" s="399">
        <v>1190</v>
      </c>
      <c r="BE1193" s="399" t="s">
        <v>871</v>
      </c>
      <c r="BF1193" s="251" t="s">
        <v>3419</v>
      </c>
      <c r="BG1193" s="399" t="s">
        <v>739</v>
      </c>
      <c r="BH1193" s="252">
        <v>45</v>
      </c>
      <c r="BI1193" s="251" t="s">
        <v>873</v>
      </c>
      <c r="BJ1193" s="251" t="s">
        <v>413</v>
      </c>
      <c r="BK1193" s="251" t="s">
        <v>874</v>
      </c>
      <c r="BL1193" s="251" t="s">
        <v>742</v>
      </c>
    </row>
    <row r="1194" spans="2:64" ht="15">
      <c r="B1194" s="84"/>
      <c r="D1194" s="84"/>
      <c r="E1194" s="84"/>
      <c r="F1194" s="84"/>
      <c r="G1194" s="84"/>
      <c r="R1194" s="251"/>
      <c r="S1194" s="251"/>
      <c r="BD1194" s="399">
        <v>1191</v>
      </c>
      <c r="BE1194" s="399" t="s">
        <v>3521</v>
      </c>
      <c r="BF1194" s="251" t="s">
        <v>3419</v>
      </c>
      <c r="BG1194" s="399" t="s">
        <v>602</v>
      </c>
      <c r="BH1194" s="252">
        <v>47</v>
      </c>
      <c r="BI1194" s="251" t="s">
        <v>579</v>
      </c>
      <c r="BJ1194" s="251" t="s">
        <v>413</v>
      </c>
      <c r="BK1194" s="251" t="s">
        <v>3522</v>
      </c>
      <c r="BL1194" s="251" t="s">
        <v>604</v>
      </c>
    </row>
    <row r="1195" spans="2:64" ht="15">
      <c r="B1195" s="84"/>
      <c r="D1195" s="84"/>
      <c r="E1195" s="84"/>
      <c r="F1195" s="84"/>
      <c r="G1195" s="84"/>
      <c r="R1195" s="251"/>
      <c r="S1195" s="251"/>
      <c r="BD1195" s="399">
        <v>1192</v>
      </c>
      <c r="BE1195" s="399" t="s">
        <v>3523</v>
      </c>
      <c r="BF1195" s="251" t="s">
        <v>3419</v>
      </c>
      <c r="BG1195" s="399" t="s">
        <v>602</v>
      </c>
      <c r="BH1195" s="252">
        <v>47</v>
      </c>
      <c r="BI1195" s="251" t="s">
        <v>357</v>
      </c>
      <c r="BJ1195" s="251" t="s">
        <v>413</v>
      </c>
      <c r="BK1195" s="251" t="s">
        <v>3524</v>
      </c>
      <c r="BL1195" s="251" t="s">
        <v>604</v>
      </c>
    </row>
    <row r="1196" spans="2:64" ht="15">
      <c r="B1196" s="84"/>
      <c r="D1196" s="84"/>
      <c r="E1196" s="84"/>
      <c r="F1196" s="84"/>
      <c r="G1196" s="84"/>
      <c r="R1196" s="251"/>
      <c r="S1196" s="251"/>
      <c r="BD1196" s="399">
        <v>1193</v>
      </c>
      <c r="BE1196" s="399" t="s">
        <v>1782</v>
      </c>
      <c r="BF1196" s="251" t="s">
        <v>3419</v>
      </c>
      <c r="BG1196" s="399" t="s">
        <v>602</v>
      </c>
      <c r="BH1196" s="252">
        <v>47</v>
      </c>
      <c r="BI1196" s="251" t="s">
        <v>535</v>
      </c>
      <c r="BJ1196" s="251" t="s">
        <v>413</v>
      </c>
      <c r="BK1196" s="251" t="s">
        <v>1784</v>
      </c>
      <c r="BL1196" s="251" t="s">
        <v>604</v>
      </c>
    </row>
    <row r="1197" spans="2:64" ht="15">
      <c r="B1197" s="84"/>
      <c r="D1197" s="84"/>
      <c r="E1197" s="84"/>
      <c r="F1197" s="84"/>
      <c r="G1197" s="84"/>
      <c r="R1197" s="251"/>
      <c r="S1197" s="251"/>
      <c r="BD1197" s="399">
        <v>1194</v>
      </c>
      <c r="BE1197" s="399" t="s">
        <v>3525</v>
      </c>
      <c r="BF1197" s="251" t="s">
        <v>3419</v>
      </c>
      <c r="BG1197" s="399" t="s">
        <v>0</v>
      </c>
      <c r="BH1197" s="252">
        <v>48</v>
      </c>
      <c r="BI1197" s="251" t="s">
        <v>579</v>
      </c>
      <c r="BJ1197" s="251" t="s">
        <v>413</v>
      </c>
      <c r="BK1197" s="251" t="s">
        <v>3526</v>
      </c>
      <c r="BL1197" s="251" t="s">
        <v>818</v>
      </c>
    </row>
    <row r="1198" spans="2:64" ht="15">
      <c r="B1198" s="84"/>
      <c r="D1198" s="84"/>
      <c r="E1198" s="84"/>
      <c r="F1198" s="84"/>
      <c r="G1198" s="84"/>
      <c r="R1198" s="251"/>
      <c r="S1198" s="251"/>
      <c r="BD1198" s="399">
        <v>1195</v>
      </c>
      <c r="BE1198" s="399" t="s">
        <v>3527</v>
      </c>
      <c r="BF1198" s="251" t="s">
        <v>3419</v>
      </c>
      <c r="BG1198" s="399" t="s">
        <v>0</v>
      </c>
      <c r="BH1198" s="252">
        <v>48</v>
      </c>
      <c r="BI1198" s="251" t="s">
        <v>357</v>
      </c>
      <c r="BJ1198" s="251" t="s">
        <v>413</v>
      </c>
      <c r="BK1198" s="251" t="s">
        <v>3528</v>
      </c>
      <c r="BL1198" s="251" t="s">
        <v>818</v>
      </c>
    </row>
    <row r="1199" spans="2:64" ht="15">
      <c r="B1199" s="84"/>
      <c r="D1199" s="84"/>
      <c r="E1199" s="84"/>
      <c r="F1199" s="84"/>
      <c r="G1199" s="84"/>
      <c r="R1199" s="251"/>
      <c r="S1199" s="251"/>
      <c r="BD1199" s="399">
        <v>1196</v>
      </c>
      <c r="BE1199" s="399" t="s">
        <v>3529</v>
      </c>
      <c r="BF1199" s="251" t="s">
        <v>3419</v>
      </c>
      <c r="BG1199" s="399" t="s">
        <v>0</v>
      </c>
      <c r="BH1199" s="252">
        <v>48</v>
      </c>
      <c r="BI1199" s="251" t="s">
        <v>3432</v>
      </c>
      <c r="BJ1199" s="251" t="s">
        <v>413</v>
      </c>
      <c r="BK1199" s="251" t="s">
        <v>3530</v>
      </c>
      <c r="BL1199" s="251" t="s">
        <v>818</v>
      </c>
    </row>
    <row r="1200" spans="2:64" ht="15">
      <c r="B1200" s="84"/>
      <c r="D1200" s="84"/>
      <c r="E1200" s="84"/>
      <c r="F1200" s="84"/>
      <c r="G1200" s="84"/>
      <c r="R1200" s="251"/>
      <c r="S1200" s="251"/>
      <c r="BD1200" s="399">
        <v>1197</v>
      </c>
      <c r="BE1200" s="399" t="s">
        <v>1643</v>
      </c>
      <c r="BF1200" s="251" t="s">
        <v>3419</v>
      </c>
      <c r="BG1200" s="399" t="s">
        <v>0</v>
      </c>
      <c r="BH1200" s="252">
        <v>48</v>
      </c>
      <c r="BI1200" s="251" t="s">
        <v>583</v>
      </c>
      <c r="BJ1200" s="251" t="s">
        <v>413</v>
      </c>
      <c r="BK1200" s="251" t="s">
        <v>1645</v>
      </c>
      <c r="BL1200" s="251" t="s">
        <v>818</v>
      </c>
    </row>
    <row r="1201" spans="2:64" ht="15">
      <c r="B1201" s="84"/>
      <c r="D1201" s="84"/>
      <c r="E1201" s="84"/>
      <c r="F1201" s="84"/>
      <c r="G1201" s="84"/>
      <c r="R1201" s="251"/>
      <c r="S1201" s="251"/>
      <c r="BD1201" s="399">
        <v>1198</v>
      </c>
      <c r="BE1201" s="399" t="s">
        <v>3531</v>
      </c>
      <c r="BF1201" s="251" t="s">
        <v>3419</v>
      </c>
      <c r="BG1201" s="399" t="s">
        <v>0</v>
      </c>
      <c r="BH1201" s="252">
        <v>48</v>
      </c>
      <c r="BI1201" s="251" t="s">
        <v>3437</v>
      </c>
      <c r="BJ1201" s="251" t="s">
        <v>413</v>
      </c>
      <c r="BK1201" s="251" t="s">
        <v>3532</v>
      </c>
      <c r="BL1201" s="251" t="s">
        <v>818</v>
      </c>
    </row>
    <row r="1202" spans="2:64" ht="15">
      <c r="B1202" s="84"/>
      <c r="D1202" s="84"/>
      <c r="E1202" s="84"/>
      <c r="F1202" s="84"/>
      <c r="G1202" s="84"/>
      <c r="R1202" s="251"/>
      <c r="S1202" s="251"/>
      <c r="BD1202" s="399">
        <v>1199</v>
      </c>
      <c r="BE1202" s="399" t="s">
        <v>3267</v>
      </c>
      <c r="BF1202" s="251" t="s">
        <v>3419</v>
      </c>
      <c r="BG1202" s="399" t="s">
        <v>0</v>
      </c>
      <c r="BH1202" s="252">
        <v>48</v>
      </c>
      <c r="BI1202" s="251" t="s">
        <v>535</v>
      </c>
      <c r="BJ1202" s="251" t="s">
        <v>413</v>
      </c>
      <c r="BK1202" s="251" t="s">
        <v>3268</v>
      </c>
      <c r="BL1202" s="251" t="s">
        <v>818</v>
      </c>
    </row>
    <row r="1203" spans="2:64" ht="15">
      <c r="B1203" s="84"/>
      <c r="D1203" s="84"/>
      <c r="E1203" s="84"/>
      <c r="F1203" s="84"/>
      <c r="G1203" s="84"/>
      <c r="R1203" s="251"/>
      <c r="S1203" s="251"/>
      <c r="BD1203" s="399">
        <v>1200</v>
      </c>
      <c r="BE1203" s="399" t="s">
        <v>3533</v>
      </c>
      <c r="BF1203" s="251" t="s">
        <v>3419</v>
      </c>
      <c r="BG1203" s="399" t="s">
        <v>0</v>
      </c>
      <c r="BH1203" s="252">
        <v>48</v>
      </c>
      <c r="BI1203" s="251" t="s">
        <v>873</v>
      </c>
      <c r="BJ1203" s="251" t="s">
        <v>413</v>
      </c>
      <c r="BK1203" s="251" t="s">
        <v>3534</v>
      </c>
      <c r="BL1203" s="251" t="s">
        <v>818</v>
      </c>
    </row>
    <row r="1204" spans="2:64" ht="15">
      <c r="B1204" s="84"/>
      <c r="D1204" s="84"/>
      <c r="E1204" s="84"/>
      <c r="F1204" s="84"/>
      <c r="G1204" s="84"/>
      <c r="R1204" s="251"/>
      <c r="S1204" s="251"/>
      <c r="BD1204" s="399">
        <v>1201</v>
      </c>
      <c r="BE1204" s="399" t="s">
        <v>3535</v>
      </c>
      <c r="BF1204" s="251" t="s">
        <v>3419</v>
      </c>
      <c r="BG1204" s="399" t="s">
        <v>1688</v>
      </c>
      <c r="BH1204" s="252">
        <v>50</v>
      </c>
      <c r="BI1204" s="251" t="s">
        <v>579</v>
      </c>
      <c r="BJ1204" s="251" t="s">
        <v>413</v>
      </c>
      <c r="BK1204" s="251" t="s">
        <v>3536</v>
      </c>
      <c r="BL1204" s="251" t="s">
        <v>1690</v>
      </c>
    </row>
    <row r="1205" spans="2:64" ht="15">
      <c r="B1205" s="84"/>
      <c r="D1205" s="84"/>
      <c r="E1205" s="84"/>
      <c r="F1205" s="84"/>
      <c r="G1205" s="84"/>
      <c r="R1205" s="251"/>
      <c r="S1205" s="251"/>
      <c r="BD1205" s="399">
        <v>1202</v>
      </c>
      <c r="BE1205" s="399" t="s">
        <v>3537</v>
      </c>
      <c r="BF1205" s="251" t="s">
        <v>3419</v>
      </c>
      <c r="BG1205" s="399" t="s">
        <v>1688</v>
      </c>
      <c r="BH1205" s="252">
        <v>50</v>
      </c>
      <c r="BI1205" s="251" t="s">
        <v>357</v>
      </c>
      <c r="BJ1205" s="251" t="s">
        <v>413</v>
      </c>
      <c r="BK1205" s="251" t="s">
        <v>3538</v>
      </c>
      <c r="BL1205" s="251" t="s">
        <v>1690</v>
      </c>
    </row>
    <row r="1206" spans="2:64" ht="15">
      <c r="B1206" s="84"/>
      <c r="D1206" s="84"/>
      <c r="E1206" s="84"/>
      <c r="F1206" s="84"/>
      <c r="G1206" s="84"/>
      <c r="R1206" s="251"/>
      <c r="S1206" s="251"/>
      <c r="BD1206" s="399">
        <v>1203</v>
      </c>
      <c r="BE1206" s="399" t="s">
        <v>3539</v>
      </c>
      <c r="BF1206" s="251" t="s">
        <v>3419</v>
      </c>
      <c r="BG1206" s="399" t="s">
        <v>1688</v>
      </c>
      <c r="BH1206" s="252">
        <v>50</v>
      </c>
      <c r="BI1206" s="251" t="s">
        <v>3432</v>
      </c>
      <c r="BJ1206" s="251" t="s">
        <v>413</v>
      </c>
      <c r="BK1206" s="251" t="s">
        <v>3540</v>
      </c>
      <c r="BL1206" s="251" t="s">
        <v>1690</v>
      </c>
    </row>
    <row r="1207" spans="2:64" ht="15">
      <c r="B1207" s="84"/>
      <c r="D1207" s="84"/>
      <c r="E1207" s="84"/>
      <c r="F1207" s="84"/>
      <c r="G1207" s="84"/>
      <c r="R1207" s="251"/>
      <c r="S1207" s="251"/>
      <c r="BD1207" s="399">
        <v>1204</v>
      </c>
      <c r="BE1207" s="399" t="s">
        <v>3541</v>
      </c>
      <c r="BF1207" s="251" t="s">
        <v>3419</v>
      </c>
      <c r="BG1207" s="399" t="s">
        <v>1688</v>
      </c>
      <c r="BH1207" s="252">
        <v>50</v>
      </c>
      <c r="BI1207" s="251" t="s">
        <v>583</v>
      </c>
      <c r="BJ1207" s="251" t="s">
        <v>413</v>
      </c>
      <c r="BK1207" s="251" t="s">
        <v>3542</v>
      </c>
      <c r="BL1207" s="251" t="s">
        <v>1690</v>
      </c>
    </row>
    <row r="1208" spans="2:64" ht="15">
      <c r="B1208" s="84"/>
      <c r="D1208" s="84"/>
      <c r="E1208" s="84"/>
      <c r="F1208" s="84"/>
      <c r="G1208" s="84"/>
      <c r="R1208" s="251"/>
      <c r="S1208" s="251"/>
      <c r="BD1208" s="399">
        <v>1205</v>
      </c>
      <c r="BE1208" s="399" t="s">
        <v>3543</v>
      </c>
      <c r="BF1208" s="251" t="s">
        <v>3419</v>
      </c>
      <c r="BG1208" s="399" t="s">
        <v>1688</v>
      </c>
      <c r="BH1208" s="252">
        <v>50</v>
      </c>
      <c r="BI1208" s="251" t="s">
        <v>3437</v>
      </c>
      <c r="BJ1208" s="251" t="s">
        <v>413</v>
      </c>
      <c r="BK1208" s="251" t="s">
        <v>3544</v>
      </c>
      <c r="BL1208" s="251" t="s">
        <v>1690</v>
      </c>
    </row>
    <row r="1209" spans="2:64" ht="15">
      <c r="B1209" s="84"/>
      <c r="D1209" s="84"/>
      <c r="E1209" s="84"/>
      <c r="F1209" s="84"/>
      <c r="G1209" s="84"/>
      <c r="R1209" s="251"/>
      <c r="S1209" s="251"/>
      <c r="BD1209" s="399">
        <v>1206</v>
      </c>
      <c r="BE1209" s="399" t="s">
        <v>3545</v>
      </c>
      <c r="BF1209" s="251" t="s">
        <v>3419</v>
      </c>
      <c r="BG1209" s="399" t="s">
        <v>1688</v>
      </c>
      <c r="BH1209" s="252">
        <v>50</v>
      </c>
      <c r="BI1209" s="251" t="s">
        <v>535</v>
      </c>
      <c r="BJ1209" s="251" t="s">
        <v>413</v>
      </c>
      <c r="BK1209" s="251" t="s">
        <v>3546</v>
      </c>
      <c r="BL1209" s="251" t="s">
        <v>1690</v>
      </c>
    </row>
    <row r="1210" spans="2:64" ht="15">
      <c r="B1210" s="84"/>
      <c r="D1210" s="84"/>
      <c r="E1210" s="84"/>
      <c r="F1210" s="84"/>
      <c r="G1210" s="84"/>
      <c r="R1210" s="251"/>
      <c r="S1210" s="251"/>
      <c r="BD1210" s="399">
        <v>1207</v>
      </c>
      <c r="BE1210" s="399" t="s">
        <v>3547</v>
      </c>
      <c r="BF1210" s="251" t="s">
        <v>3419</v>
      </c>
      <c r="BG1210" s="399" t="s">
        <v>1688</v>
      </c>
      <c r="BH1210" s="252">
        <v>50</v>
      </c>
      <c r="BI1210" s="251" t="s">
        <v>873</v>
      </c>
      <c r="BJ1210" s="251" t="s">
        <v>413</v>
      </c>
      <c r="BK1210" s="251" t="s">
        <v>3548</v>
      </c>
      <c r="BL1210" s="251" t="s">
        <v>1690</v>
      </c>
    </row>
    <row r="1211" spans="2:64" ht="15">
      <c r="B1211" s="84"/>
      <c r="D1211" s="84"/>
      <c r="E1211" s="84"/>
      <c r="F1211" s="84"/>
      <c r="G1211" s="84"/>
      <c r="R1211" s="251"/>
      <c r="S1211" s="251"/>
      <c r="BD1211" s="399">
        <v>1208</v>
      </c>
      <c r="BE1211" s="399" t="s">
        <v>3549</v>
      </c>
      <c r="BF1211" s="251" t="s">
        <v>3419</v>
      </c>
      <c r="BG1211" s="399">
        <v>51</v>
      </c>
      <c r="BH1211" s="252">
        <v>51</v>
      </c>
      <c r="BI1211" s="251" t="s">
        <v>579</v>
      </c>
      <c r="BJ1211" s="251" t="s">
        <v>413</v>
      </c>
      <c r="BK1211" s="251" t="s">
        <v>3550</v>
      </c>
      <c r="BL1211" s="251" t="s">
        <v>730</v>
      </c>
    </row>
    <row r="1212" spans="2:64" ht="15">
      <c r="B1212" s="84"/>
      <c r="D1212" s="84"/>
      <c r="E1212" s="84"/>
      <c r="F1212" s="84"/>
      <c r="G1212" s="84"/>
      <c r="R1212" s="251"/>
      <c r="S1212" s="251"/>
      <c r="BD1212" s="399">
        <v>1209</v>
      </c>
      <c r="BE1212" s="399" t="s">
        <v>3551</v>
      </c>
      <c r="BF1212" s="251" t="s">
        <v>3419</v>
      </c>
      <c r="BG1212" s="399">
        <v>51</v>
      </c>
      <c r="BH1212" s="252">
        <v>51</v>
      </c>
      <c r="BI1212" s="251" t="s">
        <v>357</v>
      </c>
      <c r="BJ1212" s="251" t="s">
        <v>413</v>
      </c>
      <c r="BK1212" s="251" t="s">
        <v>3552</v>
      </c>
      <c r="BL1212" s="251" t="s">
        <v>730</v>
      </c>
    </row>
    <row r="1213" spans="2:64" ht="15">
      <c r="B1213" s="84"/>
      <c r="D1213" s="84"/>
      <c r="E1213" s="84"/>
      <c r="F1213" s="84"/>
      <c r="G1213" s="84"/>
      <c r="R1213" s="251"/>
      <c r="S1213" s="251"/>
      <c r="BD1213" s="399">
        <v>1210</v>
      </c>
      <c r="BE1213" s="399" t="s">
        <v>3553</v>
      </c>
      <c r="BF1213" s="251" t="s">
        <v>3419</v>
      </c>
      <c r="BG1213" s="399">
        <v>51</v>
      </c>
      <c r="BH1213" s="252">
        <v>51</v>
      </c>
      <c r="BI1213" s="251" t="s">
        <v>583</v>
      </c>
      <c r="BJ1213" s="251" t="s">
        <v>413</v>
      </c>
      <c r="BK1213" s="251" t="s">
        <v>3554</v>
      </c>
      <c r="BL1213" s="251" t="s">
        <v>730</v>
      </c>
    </row>
    <row r="1214" spans="2:64" ht="15">
      <c r="B1214" s="84"/>
      <c r="D1214" s="84"/>
      <c r="E1214" s="84"/>
      <c r="F1214" s="84"/>
      <c r="G1214" s="84"/>
      <c r="R1214" s="251"/>
      <c r="S1214" s="251"/>
      <c r="BD1214" s="399">
        <v>1211</v>
      </c>
      <c r="BE1214" s="399" t="s">
        <v>3555</v>
      </c>
      <c r="BF1214" s="251" t="s">
        <v>3419</v>
      </c>
      <c r="BG1214" s="399">
        <v>51</v>
      </c>
      <c r="BH1214" s="252">
        <v>51</v>
      </c>
      <c r="BI1214" s="251" t="s">
        <v>3437</v>
      </c>
      <c r="BJ1214" s="251" t="s">
        <v>413</v>
      </c>
      <c r="BK1214" s="251" t="s">
        <v>3556</v>
      </c>
      <c r="BL1214" s="251" t="s">
        <v>730</v>
      </c>
    </row>
    <row r="1215" spans="2:64" ht="15">
      <c r="B1215" s="84"/>
      <c r="D1215" s="84"/>
      <c r="E1215" s="84"/>
      <c r="F1215" s="84"/>
      <c r="G1215" s="84"/>
      <c r="R1215" s="251"/>
      <c r="S1215" s="251"/>
      <c r="BD1215" s="399">
        <v>1212</v>
      </c>
      <c r="BE1215" s="399" t="s">
        <v>3557</v>
      </c>
      <c r="BF1215" s="251" t="s">
        <v>3419</v>
      </c>
      <c r="BG1215" s="399">
        <v>53</v>
      </c>
      <c r="BH1215" s="252">
        <v>53</v>
      </c>
      <c r="BI1215" s="251" t="s">
        <v>579</v>
      </c>
      <c r="BJ1215" s="251" t="s">
        <v>413</v>
      </c>
      <c r="BK1215" s="251" t="s">
        <v>3558</v>
      </c>
      <c r="BL1215" s="251" t="s">
        <v>3323</v>
      </c>
    </row>
    <row r="1216" spans="2:64" ht="15">
      <c r="B1216" s="84"/>
      <c r="D1216" s="84"/>
      <c r="E1216" s="84"/>
      <c r="F1216" s="84"/>
      <c r="G1216" s="84"/>
      <c r="R1216" s="251"/>
      <c r="S1216" s="251"/>
      <c r="BD1216" s="399">
        <v>1213</v>
      </c>
      <c r="BE1216" s="399" t="s">
        <v>3559</v>
      </c>
      <c r="BF1216" s="251" t="s">
        <v>3419</v>
      </c>
      <c r="BG1216" s="399">
        <v>53</v>
      </c>
      <c r="BH1216" s="252">
        <v>53</v>
      </c>
      <c r="BI1216" s="251" t="s">
        <v>357</v>
      </c>
      <c r="BJ1216" s="251" t="s">
        <v>413</v>
      </c>
      <c r="BK1216" s="251" t="s">
        <v>3560</v>
      </c>
      <c r="BL1216" s="251" t="s">
        <v>3323</v>
      </c>
    </row>
    <row r="1217" spans="2:64" ht="15">
      <c r="B1217" s="84"/>
      <c r="D1217" s="84"/>
      <c r="E1217" s="84"/>
      <c r="F1217" s="84"/>
      <c r="G1217" s="84"/>
      <c r="R1217" s="251"/>
      <c r="S1217" s="251"/>
      <c r="BD1217" s="399">
        <v>1214</v>
      </c>
      <c r="BE1217" s="399" t="s">
        <v>3561</v>
      </c>
      <c r="BF1217" s="251" t="s">
        <v>3419</v>
      </c>
      <c r="BG1217" s="399">
        <v>53</v>
      </c>
      <c r="BH1217" s="252">
        <v>53</v>
      </c>
      <c r="BI1217" s="251" t="s">
        <v>3432</v>
      </c>
      <c r="BJ1217" s="251" t="s">
        <v>413</v>
      </c>
      <c r="BK1217" s="251" t="s">
        <v>3562</v>
      </c>
      <c r="BL1217" s="251" t="s">
        <v>3323</v>
      </c>
    </row>
    <row r="1218" spans="2:64" ht="15">
      <c r="B1218" s="84"/>
      <c r="D1218" s="84"/>
      <c r="E1218" s="84"/>
      <c r="F1218" s="84"/>
      <c r="G1218" s="84"/>
      <c r="R1218" s="251"/>
      <c r="S1218" s="251"/>
      <c r="BD1218" s="399">
        <v>1215</v>
      </c>
      <c r="BE1218" s="399" t="s">
        <v>3339</v>
      </c>
      <c r="BF1218" s="251" t="s">
        <v>3419</v>
      </c>
      <c r="BG1218" s="399">
        <v>53</v>
      </c>
      <c r="BH1218" s="252">
        <v>53</v>
      </c>
      <c r="BI1218" s="251" t="s">
        <v>583</v>
      </c>
      <c r="BJ1218" s="251" t="s">
        <v>413</v>
      </c>
      <c r="BK1218" s="251" t="s">
        <v>3340</v>
      </c>
      <c r="BL1218" s="251" t="s">
        <v>3323</v>
      </c>
    </row>
    <row r="1219" spans="2:64" ht="15">
      <c r="B1219" s="84"/>
      <c r="D1219" s="84"/>
      <c r="E1219" s="84"/>
      <c r="F1219" s="84"/>
      <c r="G1219" s="84"/>
      <c r="R1219" s="251"/>
      <c r="S1219" s="251"/>
      <c r="BD1219" s="399">
        <v>1216</v>
      </c>
      <c r="BE1219" s="399" t="s">
        <v>3563</v>
      </c>
      <c r="BF1219" s="251" t="s">
        <v>3419</v>
      </c>
      <c r="BG1219" s="399">
        <v>53</v>
      </c>
      <c r="BH1219" s="252">
        <v>53</v>
      </c>
      <c r="BI1219" s="251" t="s">
        <v>535</v>
      </c>
      <c r="BJ1219" s="251" t="s">
        <v>413</v>
      </c>
      <c r="BK1219" s="251" t="s">
        <v>3564</v>
      </c>
      <c r="BL1219" s="251" t="s">
        <v>3323</v>
      </c>
    </row>
    <row r="1220" spans="2:64" ht="15">
      <c r="B1220" s="84"/>
      <c r="D1220" s="84"/>
      <c r="E1220" s="84"/>
      <c r="F1220" s="84"/>
      <c r="G1220" s="84"/>
      <c r="R1220" s="251"/>
      <c r="S1220" s="251"/>
      <c r="BD1220" s="399">
        <v>1217</v>
      </c>
      <c r="BE1220" s="399" t="s">
        <v>3565</v>
      </c>
      <c r="BF1220" s="251" t="s">
        <v>3419</v>
      </c>
      <c r="BG1220" s="399">
        <v>56</v>
      </c>
      <c r="BH1220" s="252">
        <v>56</v>
      </c>
      <c r="BI1220" s="251" t="s">
        <v>357</v>
      </c>
      <c r="BJ1220" s="251" t="s">
        <v>413</v>
      </c>
      <c r="BK1220" s="251" t="s">
        <v>3566</v>
      </c>
      <c r="BL1220" s="251" t="s">
        <v>3346</v>
      </c>
    </row>
    <row r="1221" spans="2:64" ht="15">
      <c r="B1221" s="84"/>
      <c r="D1221" s="84"/>
      <c r="E1221" s="84"/>
      <c r="F1221" s="84"/>
      <c r="G1221" s="84"/>
      <c r="R1221" s="251"/>
      <c r="S1221" s="251"/>
      <c r="BD1221" s="399">
        <v>1218</v>
      </c>
      <c r="BE1221" s="399" t="s">
        <v>3567</v>
      </c>
      <c r="BF1221" s="251" t="s">
        <v>3419</v>
      </c>
      <c r="BG1221" s="399">
        <v>56</v>
      </c>
      <c r="BH1221" s="252">
        <v>56</v>
      </c>
      <c r="BI1221" s="251" t="s">
        <v>3432</v>
      </c>
      <c r="BJ1221" s="251" t="s">
        <v>413</v>
      </c>
      <c r="BK1221" s="251" t="s">
        <v>3568</v>
      </c>
      <c r="BL1221" s="251" t="s">
        <v>3346</v>
      </c>
    </row>
    <row r="1222" spans="2:64" ht="15">
      <c r="B1222" s="84"/>
      <c r="D1222" s="84"/>
      <c r="E1222" s="84"/>
      <c r="F1222" s="84"/>
      <c r="G1222" s="84"/>
      <c r="R1222" s="251"/>
      <c r="S1222" s="251"/>
      <c r="BD1222" s="399">
        <v>1219</v>
      </c>
      <c r="BE1222" s="399" t="s">
        <v>3569</v>
      </c>
      <c r="BF1222" s="251" t="s">
        <v>3419</v>
      </c>
      <c r="BG1222" s="399">
        <v>56</v>
      </c>
      <c r="BH1222" s="252">
        <v>56</v>
      </c>
      <c r="BI1222" s="251" t="s">
        <v>535</v>
      </c>
      <c r="BJ1222" s="251" t="s">
        <v>413</v>
      </c>
      <c r="BK1222" s="251" t="s">
        <v>3570</v>
      </c>
      <c r="BL1222" s="251" t="s">
        <v>3346</v>
      </c>
    </row>
    <row r="1223" spans="2:64" ht="15">
      <c r="B1223" s="84"/>
      <c r="D1223" s="84"/>
      <c r="E1223" s="84"/>
      <c r="F1223" s="84"/>
      <c r="G1223" s="84"/>
      <c r="R1223" s="251"/>
      <c r="S1223" s="251"/>
      <c r="BD1223" s="399">
        <v>1220</v>
      </c>
      <c r="BE1223" s="399" t="s">
        <v>3571</v>
      </c>
      <c r="BF1223" s="251" t="s">
        <v>3419</v>
      </c>
      <c r="BG1223" s="399">
        <v>59</v>
      </c>
      <c r="BH1223" s="252">
        <v>59</v>
      </c>
      <c r="BI1223" s="251" t="s">
        <v>357</v>
      </c>
      <c r="BJ1223" s="251" t="s">
        <v>413</v>
      </c>
      <c r="BK1223" s="251" t="s">
        <v>3572</v>
      </c>
      <c r="BL1223" s="251" t="s">
        <v>3397</v>
      </c>
    </row>
    <row r="1224" spans="2:64" ht="15">
      <c r="B1224" s="84"/>
      <c r="D1224" s="84"/>
      <c r="E1224" s="84"/>
      <c r="F1224" s="84"/>
      <c r="G1224" s="84"/>
      <c r="R1224" s="251"/>
      <c r="S1224" s="251"/>
      <c r="BD1224" s="399">
        <v>1221</v>
      </c>
      <c r="BE1224" s="399" t="s">
        <v>3573</v>
      </c>
      <c r="BF1224" s="251" t="s">
        <v>3419</v>
      </c>
      <c r="BG1224" s="399">
        <v>59</v>
      </c>
      <c r="BH1224" s="252">
        <v>59</v>
      </c>
      <c r="BI1224" s="251" t="s">
        <v>535</v>
      </c>
      <c r="BJ1224" s="251" t="s">
        <v>413</v>
      </c>
      <c r="BK1224" s="251" t="s">
        <v>3574</v>
      </c>
      <c r="BL1224" s="251" t="s">
        <v>3397</v>
      </c>
    </row>
    <row r="1225" spans="2:64" ht="15">
      <c r="B1225" s="84"/>
      <c r="D1225" s="84"/>
      <c r="E1225" s="84"/>
      <c r="F1225" s="84"/>
      <c r="G1225" s="84"/>
      <c r="R1225" s="251"/>
      <c r="S1225" s="251"/>
      <c r="BD1225" s="399">
        <v>1222</v>
      </c>
      <c r="BE1225" s="399" t="s">
        <v>3575</v>
      </c>
      <c r="BF1225" s="251" t="s">
        <v>3419</v>
      </c>
      <c r="BG1225" s="399">
        <v>59</v>
      </c>
      <c r="BH1225" s="252">
        <v>59</v>
      </c>
      <c r="BI1225" s="251" t="s">
        <v>873</v>
      </c>
      <c r="BJ1225" s="251" t="s">
        <v>413</v>
      </c>
      <c r="BK1225" s="251" t="s">
        <v>3576</v>
      </c>
      <c r="BL1225" s="251" t="s">
        <v>3397</v>
      </c>
    </row>
    <row r="1226" spans="2:64" ht="15">
      <c r="B1226" s="84"/>
      <c r="D1226" s="84"/>
      <c r="E1226" s="84"/>
      <c r="F1226" s="84"/>
      <c r="G1226" s="84"/>
      <c r="R1226" s="251"/>
      <c r="S1226" s="251"/>
      <c r="BD1226" s="399">
        <v>1223</v>
      </c>
      <c r="BE1226" s="399" t="s">
        <v>3577</v>
      </c>
      <c r="BF1226" s="251" t="s">
        <v>3419</v>
      </c>
      <c r="BG1226" s="399">
        <v>62</v>
      </c>
      <c r="BH1226" s="252">
        <v>62</v>
      </c>
      <c r="BI1226" s="251" t="s">
        <v>579</v>
      </c>
      <c r="BJ1226" s="251" t="s">
        <v>413</v>
      </c>
      <c r="BK1226" s="251" t="s">
        <v>3578</v>
      </c>
      <c r="BL1226" s="251" t="s">
        <v>3579</v>
      </c>
    </row>
    <row r="1227" spans="2:64" ht="15">
      <c r="B1227" s="84"/>
      <c r="D1227" s="84"/>
      <c r="E1227" s="84"/>
      <c r="F1227" s="84"/>
      <c r="G1227" s="84"/>
      <c r="R1227" s="251"/>
      <c r="S1227" s="251"/>
      <c r="BD1227" s="399">
        <v>1224</v>
      </c>
      <c r="BE1227" s="399" t="s">
        <v>3580</v>
      </c>
      <c r="BF1227" s="251" t="s">
        <v>3419</v>
      </c>
      <c r="BG1227" s="399">
        <v>62</v>
      </c>
      <c r="BH1227" s="252">
        <v>62</v>
      </c>
      <c r="BI1227" s="251" t="s">
        <v>357</v>
      </c>
      <c r="BJ1227" s="251" t="s">
        <v>413</v>
      </c>
      <c r="BK1227" s="251" t="s">
        <v>3581</v>
      </c>
      <c r="BL1227" s="251" t="s">
        <v>3579</v>
      </c>
    </row>
    <row r="1228" spans="2:64" ht="15">
      <c r="B1228" s="84"/>
      <c r="D1228" s="84"/>
      <c r="E1228" s="84"/>
      <c r="F1228" s="84"/>
      <c r="G1228" s="84"/>
      <c r="R1228" s="251"/>
      <c r="S1228" s="251"/>
      <c r="BD1228" s="399">
        <v>1225</v>
      </c>
      <c r="BE1228" s="399" t="s">
        <v>3582</v>
      </c>
      <c r="BF1228" s="251" t="s">
        <v>3419</v>
      </c>
      <c r="BG1228" s="399">
        <v>62</v>
      </c>
      <c r="BH1228" s="252">
        <v>62</v>
      </c>
      <c r="BI1228" s="251" t="s">
        <v>3437</v>
      </c>
      <c r="BJ1228" s="251" t="s">
        <v>413</v>
      </c>
      <c r="BK1228" s="251" t="s">
        <v>3583</v>
      </c>
      <c r="BL1228" s="251" t="s">
        <v>3579</v>
      </c>
    </row>
    <row r="1229" spans="2:64" ht="15">
      <c r="B1229" s="84"/>
      <c r="D1229" s="84"/>
      <c r="E1229" s="84"/>
      <c r="F1229" s="84"/>
      <c r="G1229" s="84"/>
      <c r="R1229" s="251"/>
      <c r="S1229" s="251"/>
      <c r="BD1229" s="399">
        <v>1226</v>
      </c>
      <c r="BE1229" s="399" t="s">
        <v>3584</v>
      </c>
      <c r="BF1229" s="251" t="s">
        <v>3419</v>
      </c>
      <c r="BG1229" s="399">
        <v>62</v>
      </c>
      <c r="BH1229" s="252">
        <v>62</v>
      </c>
      <c r="BI1229" s="251" t="s">
        <v>535</v>
      </c>
      <c r="BJ1229" s="251" t="s">
        <v>413</v>
      </c>
      <c r="BK1229" s="251" t="s">
        <v>3585</v>
      </c>
      <c r="BL1229" s="251" t="s">
        <v>3579</v>
      </c>
    </row>
    <row r="1230" spans="2:64" ht="15">
      <c r="B1230" s="84"/>
      <c r="D1230" s="84"/>
      <c r="E1230" s="84"/>
      <c r="F1230" s="84"/>
      <c r="G1230" s="84"/>
      <c r="R1230" s="251"/>
      <c r="S1230" s="251"/>
      <c r="BD1230" s="399">
        <v>1227</v>
      </c>
      <c r="BE1230" s="399" t="s">
        <v>3586</v>
      </c>
      <c r="BF1230" s="251" t="s">
        <v>3419</v>
      </c>
      <c r="BG1230" s="399">
        <v>62</v>
      </c>
      <c r="BH1230" s="252">
        <v>62</v>
      </c>
      <c r="BI1230" s="251" t="s">
        <v>873</v>
      </c>
      <c r="BJ1230" s="251" t="s">
        <v>413</v>
      </c>
      <c r="BK1230" s="251" t="s">
        <v>3587</v>
      </c>
      <c r="BL1230" s="251" t="s">
        <v>3579</v>
      </c>
    </row>
    <row r="1231" spans="2:64" ht="15">
      <c r="B1231" s="84"/>
      <c r="D1231" s="84"/>
      <c r="E1231" s="84"/>
      <c r="F1231" s="84"/>
      <c r="G1231" s="84"/>
      <c r="R1231" s="251"/>
      <c r="S1231" s="251"/>
      <c r="BD1231" s="399">
        <v>1228</v>
      </c>
      <c r="BE1231" s="399" t="s">
        <v>3588</v>
      </c>
      <c r="BF1231" s="251" t="s">
        <v>3419</v>
      </c>
      <c r="BG1231" s="399">
        <v>63</v>
      </c>
      <c r="BH1231" s="252">
        <v>63</v>
      </c>
      <c r="BI1231" s="251" t="s">
        <v>579</v>
      </c>
      <c r="BJ1231" s="251" t="s">
        <v>413</v>
      </c>
      <c r="BK1231" s="251" t="s">
        <v>3589</v>
      </c>
      <c r="BL1231" s="251" t="s">
        <v>3590</v>
      </c>
    </row>
    <row r="1232" spans="2:64" ht="15">
      <c r="B1232" s="84"/>
      <c r="D1232" s="84"/>
      <c r="E1232" s="84"/>
      <c r="F1232" s="84"/>
      <c r="G1232" s="84"/>
      <c r="R1232" s="251"/>
      <c r="S1232" s="251"/>
      <c r="BD1232" s="399">
        <v>1229</v>
      </c>
      <c r="BE1232" s="399" t="s">
        <v>3591</v>
      </c>
      <c r="BF1232" s="251" t="s">
        <v>3419</v>
      </c>
      <c r="BG1232" s="399">
        <v>63</v>
      </c>
      <c r="BH1232" s="252">
        <v>63</v>
      </c>
      <c r="BI1232" s="251" t="s">
        <v>357</v>
      </c>
      <c r="BJ1232" s="251" t="s">
        <v>413</v>
      </c>
      <c r="BK1232" s="251" t="s">
        <v>3592</v>
      </c>
      <c r="BL1232" s="251" t="s">
        <v>3590</v>
      </c>
    </row>
    <row r="1233" spans="2:64" ht="15">
      <c r="B1233" s="84"/>
      <c r="D1233" s="84"/>
      <c r="E1233" s="84"/>
      <c r="F1233" s="84"/>
      <c r="G1233" s="84"/>
      <c r="R1233" s="251"/>
      <c r="S1233" s="251"/>
      <c r="BD1233" s="399">
        <v>1230</v>
      </c>
      <c r="BE1233" s="399" t="s">
        <v>3593</v>
      </c>
      <c r="BF1233" s="251" t="s">
        <v>3419</v>
      </c>
      <c r="BG1233" s="399">
        <v>63</v>
      </c>
      <c r="BH1233" s="252">
        <v>63</v>
      </c>
      <c r="BI1233" s="251" t="s">
        <v>3437</v>
      </c>
      <c r="BJ1233" s="251" t="s">
        <v>413</v>
      </c>
      <c r="BK1233" s="251" t="s">
        <v>3594</v>
      </c>
      <c r="BL1233" s="251" t="s">
        <v>3590</v>
      </c>
    </row>
    <row r="1234" spans="2:64" ht="15">
      <c r="B1234" s="84"/>
      <c r="D1234" s="84"/>
      <c r="E1234" s="84"/>
      <c r="F1234" s="84"/>
      <c r="G1234" s="84"/>
      <c r="R1234" s="251"/>
      <c r="S1234" s="251"/>
      <c r="BD1234" s="399">
        <v>1231</v>
      </c>
      <c r="BE1234" s="399" t="s">
        <v>3595</v>
      </c>
      <c r="BF1234" s="251" t="s">
        <v>3419</v>
      </c>
      <c r="BG1234" s="399">
        <v>63</v>
      </c>
      <c r="BH1234" s="252">
        <v>63</v>
      </c>
      <c r="BI1234" s="251" t="s">
        <v>873</v>
      </c>
      <c r="BJ1234" s="251" t="s">
        <v>413</v>
      </c>
      <c r="BK1234" s="251" t="s">
        <v>3596</v>
      </c>
      <c r="BL1234" s="251" t="s">
        <v>3590</v>
      </c>
    </row>
    <row r="1235" spans="2:64" ht="15">
      <c r="B1235" s="84"/>
      <c r="D1235" s="84"/>
      <c r="E1235" s="84"/>
      <c r="F1235" s="84"/>
      <c r="G1235" s="84"/>
      <c r="R1235" s="251"/>
      <c r="S1235" s="251"/>
      <c r="BD1235" s="399">
        <v>1232</v>
      </c>
      <c r="BE1235" s="399" t="s">
        <v>3597</v>
      </c>
      <c r="BF1235" s="251" t="s">
        <v>3598</v>
      </c>
      <c r="BG1235" s="399" t="s">
        <v>469</v>
      </c>
      <c r="BH1235" s="252" t="s">
        <v>470</v>
      </c>
      <c r="BI1235" s="251" t="s">
        <v>3599</v>
      </c>
      <c r="BJ1235" s="251" t="s">
        <v>728</v>
      </c>
      <c r="BK1235" s="251" t="s">
        <v>3600</v>
      </c>
      <c r="BL1235" s="251" t="s">
        <v>472</v>
      </c>
    </row>
    <row r="1236" spans="2:64" ht="15">
      <c r="B1236" s="84"/>
      <c r="D1236" s="84"/>
      <c r="E1236" s="84"/>
      <c r="F1236" s="84"/>
      <c r="G1236" s="84"/>
      <c r="R1236" s="251"/>
      <c r="S1236" s="251"/>
      <c r="BD1236" s="399">
        <v>1233</v>
      </c>
      <c r="BE1236" s="399" t="s">
        <v>3601</v>
      </c>
      <c r="BF1236" s="251" t="s">
        <v>3598</v>
      </c>
      <c r="BG1236" s="399" t="s">
        <v>469</v>
      </c>
      <c r="BH1236" s="252" t="s">
        <v>470</v>
      </c>
      <c r="BI1236" s="251" t="s">
        <v>615</v>
      </c>
      <c r="BJ1236" s="251" t="s">
        <v>2333</v>
      </c>
      <c r="BK1236" s="251" t="s">
        <v>3602</v>
      </c>
      <c r="BL1236" s="251" t="s">
        <v>472</v>
      </c>
    </row>
    <row r="1237" spans="2:64" ht="15">
      <c r="B1237" s="84"/>
      <c r="D1237" s="84"/>
      <c r="E1237" s="84"/>
      <c r="F1237" s="84"/>
      <c r="G1237" s="84"/>
      <c r="R1237" s="251"/>
      <c r="S1237" s="251"/>
      <c r="BD1237" s="399">
        <v>1234</v>
      </c>
      <c r="BE1237" s="399" t="s">
        <v>3603</v>
      </c>
      <c r="BF1237" s="251" t="s">
        <v>3598</v>
      </c>
      <c r="BG1237" s="399" t="s">
        <v>469</v>
      </c>
      <c r="BH1237" s="252" t="s">
        <v>470</v>
      </c>
      <c r="BI1237" s="251" t="s">
        <v>615</v>
      </c>
      <c r="BJ1237" s="251" t="s">
        <v>3604</v>
      </c>
      <c r="BK1237" s="251" t="s">
        <v>3605</v>
      </c>
      <c r="BL1237" s="251" t="s">
        <v>472</v>
      </c>
    </row>
    <row r="1238" spans="2:64" ht="15">
      <c r="B1238" s="84"/>
      <c r="D1238" s="84"/>
      <c r="E1238" s="84"/>
      <c r="F1238" s="84"/>
      <c r="G1238" s="84"/>
      <c r="R1238" s="251"/>
      <c r="S1238" s="251"/>
      <c r="BD1238" s="399">
        <v>1235</v>
      </c>
      <c r="BE1238" s="399" t="s">
        <v>3606</v>
      </c>
      <c r="BF1238" s="251" t="s">
        <v>3598</v>
      </c>
      <c r="BG1238" s="399" t="s">
        <v>469</v>
      </c>
      <c r="BH1238" s="252" t="s">
        <v>662</v>
      </c>
      <c r="BI1238" s="251" t="s">
        <v>2159</v>
      </c>
      <c r="BJ1238" s="251" t="s">
        <v>385</v>
      </c>
      <c r="BK1238" s="251" t="s">
        <v>3607</v>
      </c>
      <c r="BL1238" s="251" t="s">
        <v>472</v>
      </c>
    </row>
    <row r="1239" spans="2:64" ht="15">
      <c r="B1239" s="84"/>
      <c r="D1239" s="84"/>
      <c r="E1239" s="84"/>
      <c r="F1239" s="84"/>
      <c r="G1239" s="84"/>
      <c r="R1239" s="251"/>
      <c r="S1239" s="251"/>
      <c r="BD1239" s="399">
        <v>1236</v>
      </c>
      <c r="BE1239" s="399" t="s">
        <v>3608</v>
      </c>
      <c r="BF1239" s="251" t="s">
        <v>3598</v>
      </c>
      <c r="BG1239" s="399" t="s">
        <v>363</v>
      </c>
      <c r="BH1239" s="252">
        <v>8</v>
      </c>
      <c r="BI1239" s="251" t="s">
        <v>3599</v>
      </c>
      <c r="BJ1239" s="251" t="s">
        <v>350</v>
      </c>
      <c r="BK1239" s="251" t="s">
        <v>3609</v>
      </c>
      <c r="BL1239" s="251" t="s">
        <v>368</v>
      </c>
    </row>
    <row r="1240" spans="2:64" ht="15">
      <c r="B1240" s="84"/>
      <c r="D1240" s="84"/>
      <c r="E1240" s="84"/>
      <c r="F1240" s="84"/>
      <c r="G1240" s="84"/>
      <c r="R1240" s="251"/>
      <c r="S1240" s="251"/>
      <c r="BD1240" s="399">
        <v>1237</v>
      </c>
      <c r="BE1240" s="399" t="s">
        <v>3610</v>
      </c>
      <c r="BF1240" s="251" t="s">
        <v>3598</v>
      </c>
      <c r="BG1240" s="399" t="s">
        <v>363</v>
      </c>
      <c r="BH1240" s="252">
        <v>8</v>
      </c>
      <c r="BI1240" s="251" t="s">
        <v>477</v>
      </c>
      <c r="BJ1240" s="251" t="s">
        <v>728</v>
      </c>
      <c r="BK1240" s="251" t="s">
        <v>3611</v>
      </c>
      <c r="BL1240" s="251" t="s">
        <v>368</v>
      </c>
    </row>
    <row r="1241" spans="2:64" ht="15">
      <c r="B1241" s="84"/>
      <c r="D1241" s="84"/>
      <c r="E1241" s="84"/>
      <c r="F1241" s="84"/>
      <c r="G1241" s="84"/>
      <c r="R1241" s="251"/>
      <c r="S1241" s="251"/>
      <c r="BD1241" s="399">
        <v>1238</v>
      </c>
      <c r="BE1241" s="399" t="s">
        <v>3612</v>
      </c>
      <c r="BF1241" s="251" t="s">
        <v>3598</v>
      </c>
      <c r="BG1241" s="399" t="s">
        <v>378</v>
      </c>
      <c r="BH1241" s="252">
        <v>11</v>
      </c>
      <c r="BI1241" s="251" t="s">
        <v>379</v>
      </c>
      <c r="BJ1241" s="251" t="s">
        <v>3604</v>
      </c>
      <c r="BK1241" s="251" t="s">
        <v>3613</v>
      </c>
      <c r="BL1241" s="251" t="s">
        <v>382</v>
      </c>
    </row>
    <row r="1242" spans="2:64" ht="15">
      <c r="B1242" s="84"/>
      <c r="D1242" s="84"/>
      <c r="E1242" s="84"/>
      <c r="F1242" s="84"/>
      <c r="G1242" s="84"/>
      <c r="R1242" s="251"/>
      <c r="S1242" s="251"/>
      <c r="BD1242" s="399">
        <v>1239</v>
      </c>
      <c r="BE1242" s="399" t="s">
        <v>3614</v>
      </c>
      <c r="BF1242" s="251" t="s">
        <v>3598</v>
      </c>
      <c r="BG1242" s="399" t="s">
        <v>378</v>
      </c>
      <c r="BH1242" s="252">
        <v>11</v>
      </c>
      <c r="BI1242" s="251" t="s">
        <v>615</v>
      </c>
      <c r="BJ1242" s="251" t="s">
        <v>728</v>
      </c>
      <c r="BK1242" s="251" t="s">
        <v>3615</v>
      </c>
      <c r="BL1242" s="251" t="s">
        <v>382</v>
      </c>
    </row>
    <row r="1243" spans="2:64" ht="15">
      <c r="B1243" s="84"/>
      <c r="D1243" s="84"/>
      <c r="E1243" s="84"/>
      <c r="F1243" s="84"/>
      <c r="G1243" s="84"/>
      <c r="R1243" s="251"/>
      <c r="S1243" s="251"/>
      <c r="BD1243" s="399">
        <v>1240</v>
      </c>
      <c r="BE1243" s="399" t="s">
        <v>3616</v>
      </c>
      <c r="BF1243" s="251" t="s">
        <v>3598</v>
      </c>
      <c r="BG1243" s="399" t="s">
        <v>378</v>
      </c>
      <c r="BH1243" s="252">
        <v>11</v>
      </c>
      <c r="BI1243" s="251" t="s">
        <v>615</v>
      </c>
      <c r="BJ1243" s="251" t="s">
        <v>3604</v>
      </c>
      <c r="BK1243" s="251" t="s">
        <v>3617</v>
      </c>
      <c r="BL1243" s="251" t="s">
        <v>382</v>
      </c>
    </row>
    <row r="1244" spans="2:64" ht="15">
      <c r="B1244" s="84"/>
      <c r="D1244" s="84"/>
      <c r="E1244" s="84"/>
      <c r="F1244" s="84"/>
      <c r="G1244" s="84"/>
      <c r="R1244" s="251"/>
      <c r="S1244" s="251"/>
      <c r="BD1244" s="399">
        <v>1241</v>
      </c>
      <c r="BE1244" s="399" t="s">
        <v>3618</v>
      </c>
      <c r="BF1244" s="251" t="s">
        <v>3598</v>
      </c>
      <c r="BG1244" s="399" t="s">
        <v>475</v>
      </c>
      <c r="BH1244" s="252" t="s">
        <v>534</v>
      </c>
      <c r="BI1244" s="251" t="s">
        <v>798</v>
      </c>
      <c r="BJ1244" s="251" t="s">
        <v>728</v>
      </c>
      <c r="BK1244" s="251" t="s">
        <v>3619</v>
      </c>
      <c r="BL1244" s="251" t="s">
        <v>479</v>
      </c>
    </row>
    <row r="1245" spans="2:64" ht="15">
      <c r="B1245" s="84"/>
      <c r="D1245" s="84"/>
      <c r="E1245" s="84"/>
      <c r="F1245" s="84"/>
      <c r="G1245" s="84"/>
      <c r="R1245" s="251"/>
      <c r="S1245" s="251"/>
      <c r="BD1245" s="399">
        <v>1242</v>
      </c>
      <c r="BE1245" s="399" t="s">
        <v>3620</v>
      </c>
      <c r="BF1245" s="251" t="s">
        <v>3598</v>
      </c>
      <c r="BG1245" s="399" t="s">
        <v>475</v>
      </c>
      <c r="BH1245" s="252" t="s">
        <v>534</v>
      </c>
      <c r="BI1245" s="251" t="s">
        <v>615</v>
      </c>
      <c r="BJ1245" s="251" t="s">
        <v>2333</v>
      </c>
      <c r="BK1245" s="251" t="s">
        <v>3621</v>
      </c>
      <c r="BL1245" s="251" t="s">
        <v>479</v>
      </c>
    </row>
    <row r="1246" spans="2:64" ht="15">
      <c r="B1246" s="84"/>
      <c r="D1246" s="84"/>
      <c r="E1246" s="84"/>
      <c r="F1246" s="84"/>
      <c r="G1246" s="84"/>
      <c r="R1246" s="251"/>
      <c r="S1246" s="251"/>
      <c r="BD1246" s="399">
        <v>1243</v>
      </c>
      <c r="BE1246" s="399" t="s">
        <v>2779</v>
      </c>
      <c r="BF1246" s="251" t="s">
        <v>3598</v>
      </c>
      <c r="BG1246" s="399" t="s">
        <v>475</v>
      </c>
      <c r="BH1246" s="252" t="s">
        <v>476</v>
      </c>
      <c r="BI1246" s="251" t="s">
        <v>728</v>
      </c>
      <c r="BJ1246" s="251" t="s">
        <v>380</v>
      </c>
      <c r="BK1246" s="251" t="s">
        <v>3622</v>
      </c>
      <c r="BL1246" s="251" t="s">
        <v>479</v>
      </c>
    </row>
    <row r="1247" spans="2:64" ht="15">
      <c r="B1247" s="84"/>
      <c r="D1247" s="84"/>
      <c r="E1247" s="84"/>
      <c r="F1247" s="84"/>
      <c r="G1247" s="84"/>
      <c r="R1247" s="251"/>
      <c r="S1247" s="251"/>
      <c r="BD1247" s="399">
        <v>1244</v>
      </c>
      <c r="BE1247" s="399" t="s">
        <v>3623</v>
      </c>
      <c r="BF1247" s="251" t="s">
        <v>3598</v>
      </c>
      <c r="BG1247" s="399" t="s">
        <v>489</v>
      </c>
      <c r="BH1247" s="252" t="s">
        <v>3624</v>
      </c>
      <c r="BI1247" s="251" t="s">
        <v>332</v>
      </c>
      <c r="BJ1247" s="251" t="s">
        <v>407</v>
      </c>
      <c r="BK1247" s="251" t="s">
        <v>3625</v>
      </c>
      <c r="BL1247" s="251" t="s">
        <v>493</v>
      </c>
    </row>
    <row r="1248" spans="2:64" ht="15">
      <c r="B1248" s="84"/>
      <c r="D1248" s="84"/>
      <c r="E1248" s="84"/>
      <c r="F1248" s="84"/>
      <c r="G1248" s="84"/>
      <c r="R1248" s="251"/>
      <c r="S1248" s="251"/>
      <c r="BD1248" s="399">
        <v>1245</v>
      </c>
      <c r="BE1248" s="399" t="s">
        <v>3626</v>
      </c>
      <c r="BF1248" s="251" t="s">
        <v>3598</v>
      </c>
      <c r="BG1248" s="399" t="s">
        <v>489</v>
      </c>
      <c r="BH1248" s="252" t="s">
        <v>3624</v>
      </c>
      <c r="BI1248" s="251" t="s">
        <v>379</v>
      </c>
      <c r="BJ1248" s="251" t="s">
        <v>728</v>
      </c>
      <c r="BK1248" s="251" t="s">
        <v>3627</v>
      </c>
      <c r="BL1248" s="251" t="s">
        <v>493</v>
      </c>
    </row>
    <row r="1249" spans="2:64" ht="15">
      <c r="B1249" s="84"/>
      <c r="D1249" s="84"/>
      <c r="E1249" s="84"/>
      <c r="F1249" s="84"/>
      <c r="G1249" s="84"/>
      <c r="R1249" s="251"/>
      <c r="S1249" s="251"/>
      <c r="BD1249" s="399">
        <v>1246</v>
      </c>
      <c r="BE1249" s="399" t="s">
        <v>3628</v>
      </c>
      <c r="BF1249" s="251" t="s">
        <v>3598</v>
      </c>
      <c r="BG1249" s="399" t="s">
        <v>489</v>
      </c>
      <c r="BH1249" s="252" t="s">
        <v>3624</v>
      </c>
      <c r="BI1249" s="251" t="s">
        <v>379</v>
      </c>
      <c r="BJ1249" s="251" t="s">
        <v>3604</v>
      </c>
      <c r="BK1249" s="251" t="s">
        <v>3629</v>
      </c>
      <c r="BL1249" s="251" t="s">
        <v>493</v>
      </c>
    </row>
    <row r="1250" spans="2:64" ht="15">
      <c r="B1250" s="84"/>
      <c r="D1250" s="84"/>
      <c r="E1250" s="84"/>
      <c r="F1250" s="84"/>
      <c r="G1250" s="84"/>
      <c r="R1250" s="251"/>
      <c r="S1250" s="251"/>
      <c r="BD1250" s="399">
        <v>1247</v>
      </c>
      <c r="BE1250" s="399" t="s">
        <v>3630</v>
      </c>
      <c r="BF1250" s="251" t="s">
        <v>3598</v>
      </c>
      <c r="BG1250" s="399" t="s">
        <v>489</v>
      </c>
      <c r="BH1250" s="252" t="s">
        <v>3624</v>
      </c>
      <c r="BI1250" s="251" t="s">
        <v>615</v>
      </c>
      <c r="BJ1250" s="251" t="s">
        <v>728</v>
      </c>
      <c r="BK1250" s="251" t="s">
        <v>3631</v>
      </c>
      <c r="BL1250" s="251" t="s">
        <v>493</v>
      </c>
    </row>
    <row r="1251" spans="2:64" ht="15">
      <c r="B1251" s="84"/>
      <c r="D1251" s="84"/>
      <c r="E1251" s="84"/>
      <c r="F1251" s="84"/>
      <c r="G1251" s="84"/>
      <c r="R1251" s="251"/>
      <c r="S1251" s="251"/>
      <c r="BD1251" s="399">
        <v>1248</v>
      </c>
      <c r="BE1251" s="399" t="s">
        <v>3632</v>
      </c>
      <c r="BF1251" s="251" t="s">
        <v>3598</v>
      </c>
      <c r="BG1251" s="399" t="s">
        <v>489</v>
      </c>
      <c r="BH1251" s="252" t="s">
        <v>3624</v>
      </c>
      <c r="BI1251" s="251" t="s">
        <v>615</v>
      </c>
      <c r="BJ1251" s="251" t="s">
        <v>350</v>
      </c>
      <c r="BK1251" s="251" t="s">
        <v>3633</v>
      </c>
      <c r="BL1251" s="251" t="s">
        <v>493</v>
      </c>
    </row>
    <row r="1252" spans="2:64" ht="15">
      <c r="B1252" s="84"/>
      <c r="D1252" s="84"/>
      <c r="E1252" s="84"/>
      <c r="F1252" s="84"/>
      <c r="G1252" s="84"/>
      <c r="R1252" s="251"/>
      <c r="S1252" s="251"/>
      <c r="BD1252" s="399">
        <v>1249</v>
      </c>
      <c r="BE1252" s="399" t="s">
        <v>3634</v>
      </c>
      <c r="BF1252" s="251" t="s">
        <v>3598</v>
      </c>
      <c r="BG1252" s="399" t="s">
        <v>489</v>
      </c>
      <c r="BH1252" s="252" t="s">
        <v>3624</v>
      </c>
      <c r="BI1252" s="251" t="s">
        <v>615</v>
      </c>
      <c r="BJ1252" s="251" t="s">
        <v>3604</v>
      </c>
      <c r="BK1252" s="251" t="s">
        <v>3635</v>
      </c>
      <c r="BL1252" s="251" t="s">
        <v>493</v>
      </c>
    </row>
    <row r="1253" spans="2:64" ht="15">
      <c r="B1253" s="84"/>
      <c r="D1253" s="84"/>
      <c r="E1253" s="84"/>
      <c r="F1253" s="84"/>
      <c r="G1253" s="84"/>
      <c r="R1253" s="251"/>
      <c r="S1253" s="251"/>
      <c r="BD1253" s="399">
        <v>1250</v>
      </c>
      <c r="BE1253" s="399" t="s">
        <v>3636</v>
      </c>
      <c r="BF1253" s="251" t="s">
        <v>3598</v>
      </c>
      <c r="BG1253" s="399" t="s">
        <v>489</v>
      </c>
      <c r="BH1253" s="252" t="s">
        <v>3624</v>
      </c>
      <c r="BI1253" s="251" t="s">
        <v>477</v>
      </c>
      <c r="BJ1253" s="251" t="s">
        <v>728</v>
      </c>
      <c r="BK1253" s="251" t="s">
        <v>3637</v>
      </c>
      <c r="BL1253" s="251" t="s">
        <v>493</v>
      </c>
    </row>
    <row r="1254" spans="2:64" ht="15">
      <c r="B1254" s="84"/>
      <c r="D1254" s="84"/>
      <c r="E1254" s="84"/>
      <c r="F1254" s="84"/>
      <c r="G1254" s="84"/>
      <c r="R1254" s="251"/>
      <c r="S1254" s="251"/>
      <c r="BD1254" s="399">
        <v>1251</v>
      </c>
      <c r="BE1254" s="399" t="s">
        <v>3638</v>
      </c>
      <c r="BF1254" s="251" t="s">
        <v>3598</v>
      </c>
      <c r="BG1254" s="399" t="s">
        <v>489</v>
      </c>
      <c r="BH1254" s="252" t="s">
        <v>3624</v>
      </c>
      <c r="BI1254" s="251" t="s">
        <v>450</v>
      </c>
      <c r="BJ1254" s="251" t="s">
        <v>1855</v>
      </c>
      <c r="BK1254" s="251" t="s">
        <v>3639</v>
      </c>
      <c r="BL1254" s="251" t="s">
        <v>493</v>
      </c>
    </row>
    <row r="1255" spans="2:64" ht="15">
      <c r="B1255" s="84"/>
      <c r="D1255" s="84"/>
      <c r="E1255" s="84"/>
      <c r="F1255" s="84"/>
      <c r="G1255" s="84"/>
      <c r="R1255" s="251"/>
      <c r="S1255" s="251"/>
      <c r="BD1255" s="399">
        <v>1252</v>
      </c>
      <c r="BE1255" s="399" t="s">
        <v>3640</v>
      </c>
      <c r="BF1255" s="251" t="s">
        <v>3598</v>
      </c>
      <c r="BG1255" s="399" t="s">
        <v>489</v>
      </c>
      <c r="BH1255" s="252" t="s">
        <v>3624</v>
      </c>
      <c r="BI1255" s="251" t="s">
        <v>450</v>
      </c>
      <c r="BJ1255" s="251" t="s">
        <v>728</v>
      </c>
      <c r="BK1255" s="251" t="s">
        <v>3641</v>
      </c>
      <c r="BL1255" s="251" t="s">
        <v>493</v>
      </c>
    </row>
    <row r="1256" spans="2:64" ht="15">
      <c r="B1256" s="84"/>
      <c r="D1256" s="84"/>
      <c r="E1256" s="84"/>
      <c r="F1256" s="84"/>
      <c r="G1256" s="84"/>
      <c r="R1256" s="251"/>
      <c r="S1256" s="251"/>
      <c r="BD1256" s="399">
        <v>1253</v>
      </c>
      <c r="BE1256" s="399" t="s">
        <v>3642</v>
      </c>
      <c r="BF1256" s="251" t="s">
        <v>3598</v>
      </c>
      <c r="BG1256" s="399" t="s">
        <v>489</v>
      </c>
      <c r="BH1256" s="252" t="s">
        <v>639</v>
      </c>
      <c r="BI1256" s="251" t="s">
        <v>450</v>
      </c>
      <c r="BJ1256" s="251" t="s">
        <v>3604</v>
      </c>
      <c r="BK1256" s="251" t="s">
        <v>3643</v>
      </c>
      <c r="BL1256" s="251" t="s">
        <v>493</v>
      </c>
    </row>
    <row r="1257" spans="2:64" ht="15">
      <c r="B1257" s="84"/>
      <c r="D1257" s="84"/>
      <c r="E1257" s="84"/>
      <c r="F1257" s="84"/>
      <c r="G1257" s="84"/>
      <c r="R1257" s="251"/>
      <c r="S1257" s="251"/>
      <c r="BD1257" s="399">
        <v>1254</v>
      </c>
      <c r="BE1257" s="399" t="s">
        <v>3644</v>
      </c>
      <c r="BF1257" s="251" t="s">
        <v>3598</v>
      </c>
      <c r="BG1257" s="399" t="s">
        <v>489</v>
      </c>
      <c r="BH1257" s="252" t="s">
        <v>639</v>
      </c>
      <c r="BI1257" s="251" t="s">
        <v>2530</v>
      </c>
      <c r="BJ1257" s="251" t="s">
        <v>1855</v>
      </c>
      <c r="BK1257" s="251" t="s">
        <v>3645</v>
      </c>
      <c r="BL1257" s="251" t="s">
        <v>493</v>
      </c>
    </row>
    <row r="1258" spans="2:64" ht="15">
      <c r="B1258" s="84"/>
      <c r="D1258" s="84"/>
      <c r="E1258" s="84"/>
      <c r="F1258" s="84"/>
      <c r="G1258" s="84"/>
      <c r="R1258" s="251"/>
      <c r="S1258" s="251"/>
      <c r="BD1258" s="399">
        <v>1255</v>
      </c>
      <c r="BE1258" s="399" t="s">
        <v>3646</v>
      </c>
      <c r="BF1258" s="251" t="s">
        <v>3598</v>
      </c>
      <c r="BG1258" s="399" t="s">
        <v>489</v>
      </c>
      <c r="BH1258" s="252" t="s">
        <v>958</v>
      </c>
      <c r="BI1258" s="251" t="s">
        <v>2530</v>
      </c>
      <c r="BJ1258" s="251" t="s">
        <v>350</v>
      </c>
      <c r="BK1258" s="251" t="s">
        <v>3647</v>
      </c>
      <c r="BL1258" s="251" t="s">
        <v>493</v>
      </c>
    </row>
    <row r="1259" spans="2:64" ht="15">
      <c r="B1259" s="84"/>
      <c r="D1259" s="84"/>
      <c r="E1259" s="84"/>
      <c r="F1259" s="84"/>
      <c r="G1259" s="84"/>
      <c r="R1259" s="251"/>
      <c r="S1259" s="251"/>
      <c r="BD1259" s="399">
        <v>1256</v>
      </c>
      <c r="BE1259" s="399" t="s">
        <v>3648</v>
      </c>
      <c r="BF1259" s="251" t="s">
        <v>3598</v>
      </c>
      <c r="BG1259" s="399" t="s">
        <v>395</v>
      </c>
      <c r="BH1259" s="252">
        <v>16</v>
      </c>
      <c r="BI1259" s="251" t="s">
        <v>365</v>
      </c>
      <c r="BJ1259" s="251" t="s">
        <v>350</v>
      </c>
      <c r="BK1259" s="251" t="s">
        <v>3649</v>
      </c>
      <c r="BL1259" s="251" t="s">
        <v>399</v>
      </c>
    </row>
    <row r="1260" spans="2:64" ht="15">
      <c r="B1260" s="84"/>
      <c r="D1260" s="84"/>
      <c r="E1260" s="84"/>
      <c r="F1260" s="84"/>
      <c r="G1260" s="84"/>
      <c r="R1260" s="251"/>
      <c r="S1260" s="251"/>
      <c r="BD1260" s="399">
        <v>1257</v>
      </c>
      <c r="BE1260" s="399" t="s">
        <v>3650</v>
      </c>
      <c r="BF1260" s="251" t="s">
        <v>3598</v>
      </c>
      <c r="BG1260" s="399" t="s">
        <v>395</v>
      </c>
      <c r="BH1260" s="252">
        <v>16</v>
      </c>
      <c r="BI1260" s="251" t="s">
        <v>3599</v>
      </c>
      <c r="BJ1260" s="251" t="s">
        <v>1855</v>
      </c>
      <c r="BK1260" s="251" t="s">
        <v>3651</v>
      </c>
      <c r="BL1260" s="251" t="s">
        <v>399</v>
      </c>
    </row>
    <row r="1261" spans="2:64" ht="15">
      <c r="B1261" s="84"/>
      <c r="D1261" s="84"/>
      <c r="E1261" s="84"/>
      <c r="F1261" s="84"/>
      <c r="G1261" s="84"/>
      <c r="R1261" s="251"/>
      <c r="S1261" s="251"/>
      <c r="BD1261" s="399">
        <v>1258</v>
      </c>
      <c r="BE1261" s="399" t="s">
        <v>3652</v>
      </c>
      <c r="BF1261" s="251" t="s">
        <v>3598</v>
      </c>
      <c r="BG1261" s="399" t="s">
        <v>395</v>
      </c>
      <c r="BH1261" s="252">
        <v>16</v>
      </c>
      <c r="BI1261" s="251" t="s">
        <v>379</v>
      </c>
      <c r="BJ1261" s="251" t="s">
        <v>728</v>
      </c>
      <c r="BK1261" s="251" t="s">
        <v>3653</v>
      </c>
      <c r="BL1261" s="251" t="s">
        <v>399</v>
      </c>
    </row>
    <row r="1262" spans="2:64" ht="15">
      <c r="B1262" s="84"/>
      <c r="D1262" s="84"/>
      <c r="E1262" s="84"/>
      <c r="F1262" s="84"/>
      <c r="G1262" s="84"/>
      <c r="R1262" s="251"/>
      <c r="S1262" s="251"/>
      <c r="BD1262" s="399">
        <v>1259</v>
      </c>
      <c r="BE1262" s="399" t="s">
        <v>3654</v>
      </c>
      <c r="BF1262" s="251" t="s">
        <v>3598</v>
      </c>
      <c r="BG1262" s="399" t="s">
        <v>395</v>
      </c>
      <c r="BH1262" s="252">
        <v>16</v>
      </c>
      <c r="BI1262" s="251" t="s">
        <v>3599</v>
      </c>
      <c r="BJ1262" s="251" t="s">
        <v>350</v>
      </c>
      <c r="BK1262" s="251" t="s">
        <v>3655</v>
      </c>
      <c r="BL1262" s="251" t="s">
        <v>399</v>
      </c>
    </row>
    <row r="1263" spans="2:64" ht="15">
      <c r="B1263" s="84"/>
      <c r="D1263" s="84"/>
      <c r="E1263" s="84"/>
      <c r="F1263" s="84"/>
      <c r="G1263" s="84"/>
      <c r="R1263" s="251"/>
      <c r="S1263" s="251"/>
      <c r="BD1263" s="399">
        <v>1260</v>
      </c>
      <c r="BE1263" s="399" t="s">
        <v>3656</v>
      </c>
      <c r="BF1263" s="251" t="s">
        <v>3598</v>
      </c>
      <c r="BG1263" s="399" t="s">
        <v>395</v>
      </c>
      <c r="BH1263" s="252">
        <v>16</v>
      </c>
      <c r="BI1263" s="251" t="s">
        <v>379</v>
      </c>
      <c r="BJ1263" s="251" t="s">
        <v>3604</v>
      </c>
      <c r="BK1263" s="251" t="s">
        <v>3657</v>
      </c>
      <c r="BL1263" s="251" t="s">
        <v>399</v>
      </c>
    </row>
    <row r="1264" spans="2:64" ht="15">
      <c r="B1264" s="84"/>
      <c r="D1264" s="84"/>
      <c r="E1264" s="84"/>
      <c r="F1264" s="84"/>
      <c r="G1264" s="84"/>
      <c r="R1264" s="251"/>
      <c r="S1264" s="251"/>
      <c r="BD1264" s="399">
        <v>1261</v>
      </c>
      <c r="BE1264" s="399" t="s">
        <v>3658</v>
      </c>
      <c r="BF1264" s="251" t="s">
        <v>3598</v>
      </c>
      <c r="BG1264" s="399" t="s">
        <v>395</v>
      </c>
      <c r="BH1264" s="252">
        <v>16</v>
      </c>
      <c r="BI1264" s="251" t="s">
        <v>615</v>
      </c>
      <c r="BJ1264" s="251" t="s">
        <v>2333</v>
      </c>
      <c r="BK1264" s="251" t="s">
        <v>3659</v>
      </c>
      <c r="BL1264" s="251" t="s">
        <v>399</v>
      </c>
    </row>
    <row r="1265" spans="2:64" ht="15">
      <c r="B1265" s="84"/>
      <c r="D1265" s="84"/>
      <c r="E1265" s="84"/>
      <c r="F1265" s="84"/>
      <c r="G1265" s="84"/>
      <c r="R1265" s="251"/>
      <c r="S1265" s="251"/>
      <c r="BD1265" s="399">
        <v>1262</v>
      </c>
      <c r="BE1265" s="399" t="s">
        <v>3660</v>
      </c>
      <c r="BF1265" s="251" t="s">
        <v>3598</v>
      </c>
      <c r="BG1265" s="399" t="s">
        <v>395</v>
      </c>
      <c r="BH1265" s="252">
        <v>16</v>
      </c>
      <c r="BI1265" s="251" t="s">
        <v>615</v>
      </c>
      <c r="BJ1265" s="251" t="s">
        <v>728</v>
      </c>
      <c r="BK1265" s="251" t="s">
        <v>3661</v>
      </c>
      <c r="BL1265" s="251" t="s">
        <v>399</v>
      </c>
    </row>
    <row r="1266" spans="2:64" ht="15">
      <c r="B1266" s="84"/>
      <c r="D1266" s="84"/>
      <c r="E1266" s="84"/>
      <c r="F1266" s="84"/>
      <c r="G1266" s="84"/>
      <c r="R1266" s="251"/>
      <c r="S1266" s="251"/>
      <c r="BD1266" s="399">
        <v>1263</v>
      </c>
      <c r="BE1266" s="399" t="s">
        <v>3662</v>
      </c>
      <c r="BF1266" s="251" t="s">
        <v>3598</v>
      </c>
      <c r="BG1266" s="399" t="s">
        <v>395</v>
      </c>
      <c r="BH1266" s="252">
        <v>16</v>
      </c>
      <c r="BI1266" s="251" t="s">
        <v>615</v>
      </c>
      <c r="BJ1266" s="251" t="s">
        <v>350</v>
      </c>
      <c r="BK1266" s="251" t="s">
        <v>3663</v>
      </c>
      <c r="BL1266" s="251" t="s">
        <v>399</v>
      </c>
    </row>
    <row r="1267" spans="2:64" ht="15">
      <c r="B1267" s="84"/>
      <c r="D1267" s="84"/>
      <c r="E1267" s="84"/>
      <c r="F1267" s="84"/>
      <c r="G1267" s="84"/>
      <c r="R1267" s="251"/>
      <c r="S1267" s="251"/>
      <c r="BD1267" s="399">
        <v>1264</v>
      </c>
      <c r="BE1267" s="399" t="s">
        <v>3664</v>
      </c>
      <c r="BF1267" s="251" t="s">
        <v>3598</v>
      </c>
      <c r="BG1267" s="399" t="s">
        <v>395</v>
      </c>
      <c r="BH1267" s="252">
        <v>16</v>
      </c>
      <c r="BI1267" s="251" t="s">
        <v>615</v>
      </c>
      <c r="BJ1267" s="251" t="s">
        <v>3604</v>
      </c>
      <c r="BK1267" s="251" t="s">
        <v>3665</v>
      </c>
      <c r="BL1267" s="251" t="s">
        <v>399</v>
      </c>
    </row>
    <row r="1268" spans="2:64" ht="15">
      <c r="B1268" s="84"/>
      <c r="D1268" s="84"/>
      <c r="E1268" s="84"/>
      <c r="F1268" s="84"/>
      <c r="G1268" s="84"/>
      <c r="R1268" s="251"/>
      <c r="S1268" s="251"/>
      <c r="BD1268" s="399">
        <v>1265</v>
      </c>
      <c r="BE1268" s="399" t="s">
        <v>3666</v>
      </c>
      <c r="BF1268" s="251" t="s">
        <v>3598</v>
      </c>
      <c r="BG1268" s="399" t="s">
        <v>395</v>
      </c>
      <c r="BH1268" s="252">
        <v>16</v>
      </c>
      <c r="BI1268" s="251" t="s">
        <v>450</v>
      </c>
      <c r="BJ1268" s="251" t="s">
        <v>539</v>
      </c>
      <c r="BK1268" s="251" t="s">
        <v>3667</v>
      </c>
      <c r="BL1268" s="251" t="s">
        <v>399</v>
      </c>
    </row>
    <row r="1269" spans="2:64" ht="15">
      <c r="B1269" s="84"/>
      <c r="D1269" s="84"/>
      <c r="E1269" s="84"/>
      <c r="F1269" s="84"/>
      <c r="G1269" s="84"/>
      <c r="R1269" s="251"/>
      <c r="S1269" s="251"/>
      <c r="BD1269" s="399">
        <v>1266</v>
      </c>
      <c r="BE1269" s="399" t="s">
        <v>3668</v>
      </c>
      <c r="BF1269" s="251" t="s">
        <v>3598</v>
      </c>
      <c r="BG1269" s="399" t="s">
        <v>395</v>
      </c>
      <c r="BH1269" s="252">
        <v>16</v>
      </c>
      <c r="BI1269" s="251" t="s">
        <v>450</v>
      </c>
      <c r="BJ1269" s="251" t="s">
        <v>1855</v>
      </c>
      <c r="BK1269" s="251" t="s">
        <v>3669</v>
      </c>
      <c r="BL1269" s="251" t="s">
        <v>399</v>
      </c>
    </row>
    <row r="1270" spans="2:64" ht="15">
      <c r="B1270" s="84"/>
      <c r="D1270" s="84"/>
      <c r="E1270" s="84"/>
      <c r="F1270" s="84"/>
      <c r="G1270" s="84"/>
      <c r="R1270" s="251"/>
      <c r="S1270" s="251"/>
      <c r="BD1270" s="399">
        <v>1267</v>
      </c>
      <c r="BE1270" s="399" t="s">
        <v>3670</v>
      </c>
      <c r="BF1270" s="251" t="s">
        <v>3598</v>
      </c>
      <c r="BG1270" s="399" t="s">
        <v>395</v>
      </c>
      <c r="BH1270" s="252">
        <v>16</v>
      </c>
      <c r="BI1270" s="251" t="s">
        <v>2530</v>
      </c>
      <c r="BJ1270" s="251" t="s">
        <v>350</v>
      </c>
      <c r="BK1270" s="251" t="s">
        <v>3671</v>
      </c>
      <c r="BL1270" s="251" t="s">
        <v>399</v>
      </c>
    </row>
    <row r="1271" spans="2:64" ht="15">
      <c r="B1271" s="84"/>
      <c r="D1271" s="84"/>
      <c r="E1271" s="84"/>
      <c r="F1271" s="84"/>
      <c r="G1271" s="84"/>
      <c r="R1271" s="251"/>
      <c r="S1271" s="251"/>
      <c r="BD1271" s="399">
        <v>1268</v>
      </c>
      <c r="BE1271" s="399" t="s">
        <v>3672</v>
      </c>
      <c r="BF1271" s="251" t="s">
        <v>3598</v>
      </c>
      <c r="BG1271" s="399" t="s">
        <v>349</v>
      </c>
      <c r="BH1271" s="252">
        <v>17</v>
      </c>
      <c r="BI1271" s="251" t="s">
        <v>365</v>
      </c>
      <c r="BJ1271" s="251" t="s">
        <v>350</v>
      </c>
      <c r="BK1271" s="251" t="s">
        <v>3673</v>
      </c>
      <c r="BL1271" s="251" t="s">
        <v>353</v>
      </c>
    </row>
    <row r="1272" spans="2:64" ht="15">
      <c r="B1272" s="84"/>
      <c r="D1272" s="84"/>
      <c r="E1272" s="84"/>
      <c r="F1272" s="84"/>
      <c r="G1272" s="84"/>
      <c r="R1272" s="251"/>
      <c r="S1272" s="251"/>
      <c r="BD1272" s="399">
        <v>1269</v>
      </c>
      <c r="BE1272" s="399" t="s">
        <v>3674</v>
      </c>
      <c r="BF1272" s="251" t="s">
        <v>3598</v>
      </c>
      <c r="BG1272" s="399" t="s">
        <v>349</v>
      </c>
      <c r="BH1272" s="252">
        <v>17</v>
      </c>
      <c r="BI1272" s="251" t="s">
        <v>379</v>
      </c>
      <c r="BJ1272" s="251" t="s">
        <v>728</v>
      </c>
      <c r="BK1272" s="251" t="s">
        <v>3675</v>
      </c>
      <c r="BL1272" s="251" t="s">
        <v>353</v>
      </c>
    </row>
    <row r="1273" spans="2:64" ht="15">
      <c r="B1273" s="84"/>
      <c r="D1273" s="84"/>
      <c r="E1273" s="84"/>
      <c r="F1273" s="84"/>
      <c r="G1273" s="84"/>
      <c r="R1273" s="251"/>
      <c r="S1273" s="251"/>
      <c r="BD1273" s="399">
        <v>1270</v>
      </c>
      <c r="BE1273" s="399" t="s">
        <v>3676</v>
      </c>
      <c r="BF1273" s="251" t="s">
        <v>3598</v>
      </c>
      <c r="BG1273" s="399" t="s">
        <v>349</v>
      </c>
      <c r="BH1273" s="252">
        <v>17</v>
      </c>
      <c r="BI1273" s="251" t="s">
        <v>615</v>
      </c>
      <c r="BJ1273" s="251" t="s">
        <v>1855</v>
      </c>
      <c r="BK1273" s="251" t="s">
        <v>3677</v>
      </c>
      <c r="BL1273" s="251" t="s">
        <v>353</v>
      </c>
    </row>
    <row r="1274" spans="2:64" ht="15">
      <c r="B1274" s="84"/>
      <c r="D1274" s="84"/>
      <c r="E1274" s="84"/>
      <c r="F1274" s="84"/>
      <c r="G1274" s="84"/>
      <c r="R1274" s="251"/>
      <c r="S1274" s="251"/>
      <c r="BD1274" s="399">
        <v>1271</v>
      </c>
      <c r="BE1274" s="399" t="s">
        <v>3678</v>
      </c>
      <c r="BF1274" s="251" t="s">
        <v>3598</v>
      </c>
      <c r="BG1274" s="399" t="s">
        <v>349</v>
      </c>
      <c r="BH1274" s="252">
        <v>17</v>
      </c>
      <c r="BI1274" s="251" t="s">
        <v>615</v>
      </c>
      <c r="BJ1274" s="251" t="s">
        <v>350</v>
      </c>
      <c r="BK1274" s="251" t="s">
        <v>3679</v>
      </c>
      <c r="BL1274" s="251" t="s">
        <v>353</v>
      </c>
    </row>
    <row r="1275" spans="2:64" ht="15">
      <c r="B1275" s="84"/>
      <c r="D1275" s="84"/>
      <c r="E1275" s="84"/>
      <c r="F1275" s="84"/>
      <c r="G1275" s="84"/>
      <c r="R1275" s="251"/>
      <c r="S1275" s="251"/>
      <c r="BD1275" s="399">
        <v>1272</v>
      </c>
      <c r="BE1275" s="399" t="s">
        <v>3680</v>
      </c>
      <c r="BF1275" s="251" t="s">
        <v>3598</v>
      </c>
      <c r="BG1275" s="399" t="s">
        <v>349</v>
      </c>
      <c r="BH1275" s="252">
        <v>17</v>
      </c>
      <c r="BI1275" s="251" t="s">
        <v>477</v>
      </c>
      <c r="BJ1275" s="251" t="s">
        <v>728</v>
      </c>
      <c r="BK1275" s="251" t="s">
        <v>3681</v>
      </c>
      <c r="BL1275" s="251" t="s">
        <v>353</v>
      </c>
    </row>
    <row r="1276" spans="2:64" ht="15">
      <c r="B1276" s="84"/>
      <c r="D1276" s="84"/>
      <c r="E1276" s="84"/>
      <c r="F1276" s="84"/>
      <c r="G1276" s="84"/>
      <c r="R1276" s="251"/>
      <c r="S1276" s="251"/>
      <c r="BD1276" s="399">
        <v>1273</v>
      </c>
      <c r="BE1276" s="399" t="s">
        <v>3682</v>
      </c>
      <c r="BF1276" s="251" t="s">
        <v>3598</v>
      </c>
      <c r="BG1276" s="399" t="s">
        <v>349</v>
      </c>
      <c r="BH1276" s="252">
        <v>17</v>
      </c>
      <c r="BI1276" s="251" t="s">
        <v>450</v>
      </c>
      <c r="BJ1276" s="251" t="s">
        <v>1855</v>
      </c>
      <c r="BK1276" s="251" t="s">
        <v>3683</v>
      </c>
      <c r="BL1276" s="251" t="s">
        <v>353</v>
      </c>
    </row>
    <row r="1277" spans="2:64" ht="15">
      <c r="B1277" s="84"/>
      <c r="D1277" s="84"/>
      <c r="E1277" s="84"/>
      <c r="F1277" s="84"/>
      <c r="G1277" s="84"/>
      <c r="R1277" s="251"/>
      <c r="S1277" s="251"/>
      <c r="BD1277" s="399">
        <v>1274</v>
      </c>
      <c r="BE1277" s="399" t="s">
        <v>3684</v>
      </c>
      <c r="BF1277" s="251" t="s">
        <v>3598</v>
      </c>
      <c r="BG1277" s="399" t="s">
        <v>349</v>
      </c>
      <c r="BH1277" s="252">
        <v>17</v>
      </c>
      <c r="BI1277" s="251" t="s">
        <v>450</v>
      </c>
      <c r="BJ1277" s="251" t="s">
        <v>728</v>
      </c>
      <c r="BK1277" s="251" t="s">
        <v>3685</v>
      </c>
      <c r="BL1277" s="251" t="s">
        <v>353</v>
      </c>
    </row>
    <row r="1278" spans="2:64" ht="15">
      <c r="B1278" s="84"/>
      <c r="D1278" s="84"/>
      <c r="E1278" s="84"/>
      <c r="F1278" s="84"/>
      <c r="G1278" s="84"/>
      <c r="R1278" s="251"/>
      <c r="S1278" s="251"/>
      <c r="BD1278" s="399">
        <v>1275</v>
      </c>
      <c r="BE1278" s="399" t="s">
        <v>3686</v>
      </c>
      <c r="BF1278" s="251" t="s">
        <v>3598</v>
      </c>
      <c r="BG1278" s="399" t="s">
        <v>356</v>
      </c>
      <c r="BH1278" s="252">
        <v>18</v>
      </c>
      <c r="BI1278" s="251" t="s">
        <v>3599</v>
      </c>
      <c r="BJ1278" s="251" t="s">
        <v>3604</v>
      </c>
      <c r="BK1278" s="251" t="s">
        <v>3687</v>
      </c>
      <c r="BL1278" s="251" t="s">
        <v>360</v>
      </c>
    </row>
    <row r="1279" spans="2:64" ht="15">
      <c r="B1279" s="84"/>
      <c r="D1279" s="84"/>
      <c r="E1279" s="84"/>
      <c r="F1279" s="84"/>
      <c r="G1279" s="84"/>
      <c r="R1279" s="251"/>
      <c r="S1279" s="251"/>
      <c r="BD1279" s="399">
        <v>1276</v>
      </c>
      <c r="BE1279" s="399" t="s">
        <v>3688</v>
      </c>
      <c r="BF1279" s="251" t="s">
        <v>3598</v>
      </c>
      <c r="BG1279" s="399" t="s">
        <v>356</v>
      </c>
      <c r="BH1279" s="252">
        <v>18</v>
      </c>
      <c r="BI1279" s="251" t="s">
        <v>3599</v>
      </c>
      <c r="BJ1279" s="251" t="s">
        <v>3689</v>
      </c>
      <c r="BK1279" s="251" t="s">
        <v>3690</v>
      </c>
      <c r="BL1279" s="251" t="s">
        <v>360</v>
      </c>
    </row>
    <row r="1280" spans="2:64" ht="15">
      <c r="B1280" s="84"/>
      <c r="D1280" s="84"/>
      <c r="E1280" s="84"/>
      <c r="F1280" s="84"/>
      <c r="G1280" s="84"/>
      <c r="R1280" s="251"/>
      <c r="S1280" s="251"/>
      <c r="BD1280" s="399">
        <v>1277</v>
      </c>
      <c r="BE1280" s="399" t="s">
        <v>3691</v>
      </c>
      <c r="BF1280" s="251" t="s">
        <v>3598</v>
      </c>
      <c r="BG1280" s="399" t="s">
        <v>356</v>
      </c>
      <c r="BH1280" s="252">
        <v>18</v>
      </c>
      <c r="BI1280" s="251" t="s">
        <v>615</v>
      </c>
      <c r="BJ1280" s="251" t="s">
        <v>1855</v>
      </c>
      <c r="BK1280" s="251" t="s">
        <v>3692</v>
      </c>
      <c r="BL1280" s="251" t="s">
        <v>360</v>
      </c>
    </row>
    <row r="1281" spans="2:64" ht="15">
      <c r="B1281" s="84"/>
      <c r="D1281" s="84"/>
      <c r="E1281" s="84"/>
      <c r="F1281" s="84"/>
      <c r="G1281" s="84"/>
      <c r="R1281" s="251"/>
      <c r="S1281" s="251"/>
      <c r="BD1281" s="399">
        <v>1278</v>
      </c>
      <c r="BE1281" s="399" t="s">
        <v>3693</v>
      </c>
      <c r="BF1281" s="251" t="s">
        <v>3598</v>
      </c>
      <c r="BG1281" s="399" t="s">
        <v>356</v>
      </c>
      <c r="BH1281" s="252">
        <v>18</v>
      </c>
      <c r="BI1281" s="251" t="s">
        <v>615</v>
      </c>
      <c r="BJ1281" s="251" t="s">
        <v>728</v>
      </c>
      <c r="BK1281" s="251" t="s">
        <v>3694</v>
      </c>
      <c r="BL1281" s="251" t="s">
        <v>360</v>
      </c>
    </row>
    <row r="1282" spans="2:64" ht="15">
      <c r="B1282" s="84"/>
      <c r="D1282" s="84"/>
      <c r="E1282" s="84"/>
      <c r="F1282" s="84"/>
      <c r="G1282" s="84"/>
      <c r="R1282" s="251"/>
      <c r="S1282" s="251"/>
      <c r="BD1282" s="399">
        <v>1279</v>
      </c>
      <c r="BE1282" s="399" t="s">
        <v>3695</v>
      </c>
      <c r="BF1282" s="251" t="s">
        <v>3598</v>
      </c>
      <c r="BG1282" s="399" t="s">
        <v>356</v>
      </c>
      <c r="BH1282" s="252">
        <v>18</v>
      </c>
      <c r="BI1282" s="251" t="s">
        <v>615</v>
      </c>
      <c r="BJ1282" s="251" t="s">
        <v>3604</v>
      </c>
      <c r="BK1282" s="251" t="s">
        <v>3696</v>
      </c>
      <c r="BL1282" s="251" t="s">
        <v>360</v>
      </c>
    </row>
    <row r="1283" spans="2:64" ht="15">
      <c r="B1283" s="84"/>
      <c r="D1283" s="84"/>
      <c r="E1283" s="84"/>
      <c r="F1283" s="84"/>
      <c r="G1283" s="84"/>
      <c r="R1283" s="251"/>
      <c r="S1283" s="251"/>
      <c r="BD1283" s="399">
        <v>1280</v>
      </c>
      <c r="BE1283" s="399" t="s">
        <v>3697</v>
      </c>
      <c r="BF1283" s="251" t="s">
        <v>3598</v>
      </c>
      <c r="BG1283" s="399" t="s">
        <v>356</v>
      </c>
      <c r="BH1283" s="252">
        <v>18</v>
      </c>
      <c r="BI1283" s="251" t="s">
        <v>477</v>
      </c>
      <c r="BJ1283" s="251" t="s">
        <v>728</v>
      </c>
      <c r="BK1283" s="251" t="s">
        <v>3698</v>
      </c>
      <c r="BL1283" s="251" t="s">
        <v>360</v>
      </c>
    </row>
    <row r="1284" spans="2:64" ht="15">
      <c r="B1284" s="84"/>
      <c r="D1284" s="84"/>
      <c r="E1284" s="84"/>
      <c r="F1284" s="84"/>
      <c r="G1284" s="84"/>
      <c r="R1284" s="251"/>
      <c r="S1284" s="251"/>
      <c r="BD1284" s="399">
        <v>1281</v>
      </c>
      <c r="BE1284" s="399" t="s">
        <v>3699</v>
      </c>
      <c r="BF1284" s="251" t="s">
        <v>3598</v>
      </c>
      <c r="BG1284" s="399" t="s">
        <v>356</v>
      </c>
      <c r="BH1284" s="252">
        <v>18</v>
      </c>
      <c r="BI1284" s="251" t="s">
        <v>450</v>
      </c>
      <c r="BJ1284" s="251" t="s">
        <v>1855</v>
      </c>
      <c r="BK1284" s="251" t="s">
        <v>3700</v>
      </c>
      <c r="BL1284" s="251" t="s">
        <v>360</v>
      </c>
    </row>
    <row r="1285" spans="2:64" ht="15">
      <c r="B1285" s="84"/>
      <c r="D1285" s="84"/>
      <c r="E1285" s="84"/>
      <c r="F1285" s="84"/>
      <c r="G1285" s="84"/>
      <c r="R1285" s="251"/>
      <c r="S1285" s="251"/>
      <c r="BD1285" s="399">
        <v>1282</v>
      </c>
      <c r="BE1285" s="399" t="s">
        <v>3701</v>
      </c>
      <c r="BF1285" s="251" t="s">
        <v>3598</v>
      </c>
      <c r="BG1285" s="399" t="s">
        <v>777</v>
      </c>
      <c r="BH1285" s="252">
        <v>21</v>
      </c>
      <c r="BI1285" s="251" t="s">
        <v>333</v>
      </c>
      <c r="BJ1285" s="251" t="s">
        <v>1855</v>
      </c>
      <c r="BK1285" s="251" t="s">
        <v>3702</v>
      </c>
      <c r="BL1285" s="251" t="s">
        <v>780</v>
      </c>
    </row>
    <row r="1286" spans="2:64" ht="15">
      <c r="B1286" s="84"/>
      <c r="D1286" s="84"/>
      <c r="E1286" s="84"/>
      <c r="F1286" s="84"/>
      <c r="G1286" s="84"/>
      <c r="R1286" s="251"/>
      <c r="S1286" s="251"/>
      <c r="BD1286" s="399">
        <v>1283</v>
      </c>
      <c r="BE1286" s="399" t="s">
        <v>3703</v>
      </c>
      <c r="BF1286" s="251" t="s">
        <v>3598</v>
      </c>
      <c r="BG1286" s="399" t="s">
        <v>777</v>
      </c>
      <c r="BH1286" s="252">
        <v>21</v>
      </c>
      <c r="BI1286" s="251" t="s">
        <v>365</v>
      </c>
      <c r="BJ1286" s="251" t="s">
        <v>2333</v>
      </c>
      <c r="BK1286" s="251" t="s">
        <v>3704</v>
      </c>
      <c r="BL1286" s="251" t="s">
        <v>780</v>
      </c>
    </row>
    <row r="1287" spans="2:64" ht="15">
      <c r="B1287" s="84"/>
      <c r="D1287" s="84"/>
      <c r="E1287" s="84"/>
      <c r="F1287" s="84"/>
      <c r="G1287" s="84"/>
      <c r="R1287" s="251"/>
      <c r="S1287" s="251"/>
      <c r="BD1287" s="399">
        <v>1284</v>
      </c>
      <c r="BE1287" s="399" t="s">
        <v>3705</v>
      </c>
      <c r="BF1287" s="251" t="s">
        <v>3598</v>
      </c>
      <c r="BG1287" s="399" t="s">
        <v>777</v>
      </c>
      <c r="BH1287" s="252">
        <v>21</v>
      </c>
      <c r="BI1287" s="251" t="s">
        <v>365</v>
      </c>
      <c r="BJ1287" s="251" t="s">
        <v>1855</v>
      </c>
      <c r="BK1287" s="251" t="s">
        <v>3706</v>
      </c>
      <c r="BL1287" s="251" t="s">
        <v>780</v>
      </c>
    </row>
    <row r="1288" spans="2:64" ht="15">
      <c r="B1288" s="84"/>
      <c r="D1288" s="84"/>
      <c r="E1288" s="84"/>
      <c r="F1288" s="84"/>
      <c r="G1288" s="84"/>
      <c r="R1288" s="251"/>
      <c r="S1288" s="251"/>
      <c r="BD1288" s="399">
        <v>1285</v>
      </c>
      <c r="BE1288" s="399" t="s">
        <v>3707</v>
      </c>
      <c r="BF1288" s="251" t="s">
        <v>3598</v>
      </c>
      <c r="BG1288" s="399" t="s">
        <v>777</v>
      </c>
      <c r="BH1288" s="252">
        <v>21</v>
      </c>
      <c r="BI1288" s="251" t="s">
        <v>379</v>
      </c>
      <c r="BJ1288" s="251" t="s">
        <v>1855</v>
      </c>
      <c r="BK1288" s="251" t="s">
        <v>3708</v>
      </c>
      <c r="BL1288" s="251" t="s">
        <v>780</v>
      </c>
    </row>
    <row r="1289" spans="2:64" ht="15">
      <c r="B1289" s="84"/>
      <c r="D1289" s="84"/>
      <c r="E1289" s="84"/>
      <c r="F1289" s="84"/>
      <c r="G1289" s="84"/>
      <c r="R1289" s="251"/>
      <c r="S1289" s="251"/>
      <c r="BD1289" s="399">
        <v>1286</v>
      </c>
      <c r="BE1289" s="399" t="s">
        <v>3709</v>
      </c>
      <c r="BF1289" s="251" t="s">
        <v>3598</v>
      </c>
      <c r="BG1289" s="399" t="s">
        <v>777</v>
      </c>
      <c r="BH1289" s="252">
        <v>21</v>
      </c>
      <c r="BI1289" s="251" t="s">
        <v>379</v>
      </c>
      <c r="BJ1289" s="251" t="s">
        <v>728</v>
      </c>
      <c r="BK1289" s="251" t="s">
        <v>3710</v>
      </c>
      <c r="BL1289" s="251" t="s">
        <v>780</v>
      </c>
    </row>
    <row r="1290" spans="2:64" ht="15">
      <c r="B1290" s="84"/>
      <c r="D1290" s="84"/>
      <c r="E1290" s="84"/>
      <c r="F1290" s="84"/>
      <c r="G1290" s="84"/>
      <c r="R1290" s="251"/>
      <c r="S1290" s="251"/>
      <c r="BD1290" s="399">
        <v>1287</v>
      </c>
      <c r="BE1290" s="399" t="s">
        <v>3711</v>
      </c>
      <c r="BF1290" s="251" t="s">
        <v>3598</v>
      </c>
      <c r="BG1290" s="399" t="s">
        <v>777</v>
      </c>
      <c r="BH1290" s="252">
        <v>21</v>
      </c>
      <c r="BI1290" s="251" t="s">
        <v>615</v>
      </c>
      <c r="BJ1290" s="251" t="s">
        <v>728</v>
      </c>
      <c r="BK1290" s="251" t="s">
        <v>3712</v>
      </c>
      <c r="BL1290" s="251" t="s">
        <v>780</v>
      </c>
    </row>
    <row r="1291" spans="2:64" ht="15">
      <c r="B1291" s="84"/>
      <c r="D1291" s="84"/>
      <c r="E1291" s="84"/>
      <c r="F1291" s="84"/>
      <c r="G1291" s="84"/>
      <c r="R1291" s="251"/>
      <c r="S1291" s="251"/>
      <c r="BD1291" s="399">
        <v>1288</v>
      </c>
      <c r="BE1291" s="399" t="s">
        <v>3713</v>
      </c>
      <c r="BF1291" s="251" t="s">
        <v>3598</v>
      </c>
      <c r="BG1291" s="399" t="s">
        <v>777</v>
      </c>
      <c r="BH1291" s="252">
        <v>21</v>
      </c>
      <c r="BI1291" s="251" t="s">
        <v>615</v>
      </c>
      <c r="BJ1291" s="251" t="s">
        <v>3714</v>
      </c>
      <c r="BK1291" s="251" t="s">
        <v>3715</v>
      </c>
      <c r="BL1291" s="251" t="s">
        <v>780</v>
      </c>
    </row>
    <row r="1292" spans="2:64" ht="15">
      <c r="B1292" s="84"/>
      <c r="D1292" s="84"/>
      <c r="E1292" s="84"/>
      <c r="F1292" s="84"/>
      <c r="G1292" s="84"/>
      <c r="R1292" s="251"/>
      <c r="S1292" s="251"/>
      <c r="BD1292" s="399">
        <v>1289</v>
      </c>
      <c r="BE1292" s="399" t="s">
        <v>3716</v>
      </c>
      <c r="BF1292" s="251" t="s">
        <v>3598</v>
      </c>
      <c r="BG1292" s="399" t="s">
        <v>777</v>
      </c>
      <c r="BH1292" s="252">
        <v>21</v>
      </c>
      <c r="BI1292" s="251" t="s">
        <v>477</v>
      </c>
      <c r="BJ1292" s="251" t="s">
        <v>728</v>
      </c>
      <c r="BK1292" s="251" t="s">
        <v>3717</v>
      </c>
      <c r="BL1292" s="251" t="s">
        <v>780</v>
      </c>
    </row>
    <row r="1293" spans="2:64" ht="15">
      <c r="B1293" s="84"/>
      <c r="D1293" s="84"/>
      <c r="E1293" s="84"/>
      <c r="F1293" s="84"/>
      <c r="G1293" s="84"/>
      <c r="R1293" s="251"/>
      <c r="S1293" s="251"/>
      <c r="BD1293" s="399">
        <v>1290</v>
      </c>
      <c r="BE1293" s="399" t="s">
        <v>3718</v>
      </c>
      <c r="BF1293" s="251" t="s">
        <v>3598</v>
      </c>
      <c r="BG1293" s="399" t="s">
        <v>777</v>
      </c>
      <c r="BH1293" s="252">
        <v>21</v>
      </c>
      <c r="BI1293" s="251" t="s">
        <v>450</v>
      </c>
      <c r="BJ1293" s="251" t="s">
        <v>1855</v>
      </c>
      <c r="BK1293" s="251" t="s">
        <v>3719</v>
      </c>
      <c r="BL1293" s="251" t="s">
        <v>780</v>
      </c>
    </row>
    <row r="1294" spans="2:64" ht="15">
      <c r="B1294" s="84"/>
      <c r="D1294" s="84"/>
      <c r="E1294" s="84"/>
      <c r="F1294" s="84"/>
      <c r="G1294" s="84"/>
      <c r="R1294" s="251"/>
      <c r="S1294" s="251"/>
      <c r="BD1294" s="399">
        <v>1291</v>
      </c>
      <c r="BE1294" s="399" t="s">
        <v>3720</v>
      </c>
      <c r="BF1294" s="251" t="s">
        <v>3598</v>
      </c>
      <c r="BG1294" s="399" t="s">
        <v>777</v>
      </c>
      <c r="BH1294" s="252">
        <v>21</v>
      </c>
      <c r="BI1294" s="251" t="s">
        <v>450</v>
      </c>
      <c r="BJ1294" s="251" t="s">
        <v>728</v>
      </c>
      <c r="BK1294" s="251" t="s">
        <v>3721</v>
      </c>
      <c r="BL1294" s="251" t="s">
        <v>780</v>
      </c>
    </row>
    <row r="1295" spans="2:64" ht="15">
      <c r="B1295" s="84"/>
      <c r="D1295" s="84"/>
      <c r="E1295" s="84"/>
      <c r="F1295" s="84"/>
      <c r="G1295" s="84"/>
      <c r="R1295" s="251"/>
      <c r="S1295" s="251"/>
      <c r="BD1295" s="399">
        <v>1292</v>
      </c>
      <c r="BE1295" s="399" t="s">
        <v>3722</v>
      </c>
      <c r="BF1295" s="251" t="s">
        <v>3598</v>
      </c>
      <c r="BG1295" s="399" t="s">
        <v>777</v>
      </c>
      <c r="BH1295" s="252">
        <v>21</v>
      </c>
      <c r="BI1295" s="251" t="s">
        <v>450</v>
      </c>
      <c r="BJ1295" s="251" t="s">
        <v>3604</v>
      </c>
      <c r="BK1295" s="251" t="s">
        <v>3723</v>
      </c>
      <c r="BL1295" s="251" t="s">
        <v>780</v>
      </c>
    </row>
    <row r="1296" spans="2:64" ht="15">
      <c r="B1296" s="84"/>
      <c r="D1296" s="84"/>
      <c r="E1296" s="84"/>
      <c r="F1296" s="84"/>
      <c r="G1296" s="84"/>
      <c r="R1296" s="251"/>
      <c r="S1296" s="251"/>
      <c r="BD1296" s="399">
        <v>1293</v>
      </c>
      <c r="BE1296" s="399" t="s">
        <v>3724</v>
      </c>
      <c r="BF1296" s="251" t="s">
        <v>3598</v>
      </c>
      <c r="BG1296" s="399" t="s">
        <v>777</v>
      </c>
      <c r="BH1296" s="252">
        <v>21</v>
      </c>
      <c r="BI1296" s="251" t="s">
        <v>3395</v>
      </c>
      <c r="BJ1296" s="251" t="s">
        <v>1855</v>
      </c>
      <c r="BK1296" s="251" t="s">
        <v>3725</v>
      </c>
      <c r="BL1296" s="251" t="s">
        <v>780</v>
      </c>
    </row>
    <row r="1297" spans="2:64" ht="15">
      <c r="B1297" s="84"/>
      <c r="D1297" s="84"/>
      <c r="E1297" s="84"/>
      <c r="F1297" s="84"/>
      <c r="G1297" s="84"/>
      <c r="R1297" s="251"/>
      <c r="S1297" s="251"/>
      <c r="BD1297" s="399">
        <v>1294</v>
      </c>
      <c r="BE1297" s="399" t="s">
        <v>3726</v>
      </c>
      <c r="BF1297" s="251" t="s">
        <v>3598</v>
      </c>
      <c r="BG1297" s="399" t="s">
        <v>371</v>
      </c>
      <c r="BH1297" s="252">
        <v>28</v>
      </c>
      <c r="BI1297" s="251" t="s">
        <v>379</v>
      </c>
      <c r="BJ1297" s="251" t="s">
        <v>539</v>
      </c>
      <c r="BK1297" s="251" t="s">
        <v>3727</v>
      </c>
      <c r="BL1297" s="251" t="s">
        <v>375</v>
      </c>
    </row>
    <row r="1298" spans="2:64" ht="15">
      <c r="B1298" s="84"/>
      <c r="D1298" s="84"/>
      <c r="E1298" s="84"/>
      <c r="F1298" s="84"/>
      <c r="G1298" s="84"/>
      <c r="R1298" s="251"/>
      <c r="S1298" s="251"/>
      <c r="BD1298" s="399">
        <v>1295</v>
      </c>
      <c r="BE1298" s="399" t="s">
        <v>3728</v>
      </c>
      <c r="BF1298" s="251" t="s">
        <v>3598</v>
      </c>
      <c r="BG1298" s="399" t="s">
        <v>371</v>
      </c>
      <c r="BH1298" s="252">
        <v>28</v>
      </c>
      <c r="BI1298" s="251" t="s">
        <v>450</v>
      </c>
      <c r="BJ1298" s="251" t="s">
        <v>728</v>
      </c>
      <c r="BK1298" s="251" t="s">
        <v>3729</v>
      </c>
      <c r="BL1298" s="251" t="s">
        <v>375</v>
      </c>
    </row>
    <row r="1299" spans="2:64" ht="15">
      <c r="B1299" s="84"/>
      <c r="D1299" s="84"/>
      <c r="E1299" s="84"/>
      <c r="F1299" s="84"/>
      <c r="G1299" s="84"/>
      <c r="R1299" s="251"/>
      <c r="S1299" s="251"/>
      <c r="BD1299" s="399">
        <v>1296</v>
      </c>
      <c r="BE1299" s="399" t="s">
        <v>3730</v>
      </c>
      <c r="BF1299" s="251" t="s">
        <v>3598</v>
      </c>
      <c r="BG1299" s="399" t="s">
        <v>455</v>
      </c>
      <c r="BH1299" s="252">
        <v>35</v>
      </c>
      <c r="BI1299" s="251" t="s">
        <v>365</v>
      </c>
      <c r="BJ1299" s="251" t="s">
        <v>1855</v>
      </c>
      <c r="BK1299" s="251" t="s">
        <v>3731</v>
      </c>
      <c r="BL1299" s="251" t="s">
        <v>458</v>
      </c>
    </row>
    <row r="1300" spans="2:64" ht="15">
      <c r="B1300" s="84"/>
      <c r="D1300" s="84"/>
      <c r="E1300" s="84"/>
      <c r="F1300" s="84"/>
      <c r="G1300" s="84"/>
      <c r="R1300" s="251"/>
      <c r="S1300" s="251"/>
      <c r="BD1300" s="399">
        <v>1297</v>
      </c>
      <c r="BE1300" s="399" t="s">
        <v>3732</v>
      </c>
      <c r="BF1300" s="251" t="s">
        <v>3598</v>
      </c>
      <c r="BG1300" s="399" t="s">
        <v>455</v>
      </c>
      <c r="BH1300" s="252">
        <v>35</v>
      </c>
      <c r="BI1300" s="251" t="s">
        <v>365</v>
      </c>
      <c r="BJ1300" s="251" t="s">
        <v>728</v>
      </c>
      <c r="BK1300" s="251" t="s">
        <v>3733</v>
      </c>
      <c r="BL1300" s="251" t="s">
        <v>458</v>
      </c>
    </row>
    <row r="1301" spans="2:64" ht="15">
      <c r="B1301" s="84"/>
      <c r="D1301" s="84"/>
      <c r="E1301" s="84"/>
      <c r="F1301" s="84"/>
      <c r="G1301" s="84"/>
      <c r="R1301" s="251"/>
      <c r="S1301" s="251"/>
      <c r="BD1301" s="399">
        <v>1298</v>
      </c>
      <c r="BE1301" s="399" t="s">
        <v>3734</v>
      </c>
      <c r="BF1301" s="251" t="s">
        <v>3598</v>
      </c>
      <c r="BG1301" s="399" t="s">
        <v>455</v>
      </c>
      <c r="BH1301" s="252">
        <v>35</v>
      </c>
      <c r="BI1301" s="251" t="s">
        <v>365</v>
      </c>
      <c r="BJ1301" s="251" t="s">
        <v>350</v>
      </c>
      <c r="BK1301" s="251" t="s">
        <v>3735</v>
      </c>
      <c r="BL1301" s="251" t="s">
        <v>458</v>
      </c>
    </row>
    <row r="1302" spans="2:64" ht="15">
      <c r="B1302" s="84"/>
      <c r="D1302" s="84"/>
      <c r="E1302" s="84"/>
      <c r="F1302" s="84"/>
      <c r="G1302" s="84"/>
      <c r="R1302" s="251"/>
      <c r="S1302" s="251"/>
      <c r="BD1302" s="399">
        <v>1299</v>
      </c>
      <c r="BE1302" s="399" t="s">
        <v>3736</v>
      </c>
      <c r="BF1302" s="251" t="s">
        <v>3598</v>
      </c>
      <c r="BG1302" s="399" t="s">
        <v>455</v>
      </c>
      <c r="BH1302" s="252">
        <v>35</v>
      </c>
      <c r="BI1302" s="251" t="s">
        <v>365</v>
      </c>
      <c r="BJ1302" s="251" t="s">
        <v>3604</v>
      </c>
      <c r="BK1302" s="251" t="s">
        <v>3737</v>
      </c>
      <c r="BL1302" s="251" t="s">
        <v>458</v>
      </c>
    </row>
    <row r="1303" spans="2:64" ht="15">
      <c r="B1303" s="84"/>
      <c r="D1303" s="84"/>
      <c r="E1303" s="84"/>
      <c r="F1303" s="84"/>
      <c r="G1303" s="84"/>
      <c r="R1303" s="251"/>
      <c r="S1303" s="251"/>
      <c r="BD1303" s="399">
        <v>1300</v>
      </c>
      <c r="BE1303" s="399" t="s">
        <v>3738</v>
      </c>
      <c r="BF1303" s="251" t="s">
        <v>3598</v>
      </c>
      <c r="BG1303" s="399" t="s">
        <v>455</v>
      </c>
      <c r="BH1303" s="252">
        <v>35</v>
      </c>
      <c r="BI1303" s="251" t="s">
        <v>379</v>
      </c>
      <c r="BJ1303" s="251" t="s">
        <v>1855</v>
      </c>
      <c r="BK1303" s="251" t="s">
        <v>3739</v>
      </c>
      <c r="BL1303" s="251" t="s">
        <v>458</v>
      </c>
    </row>
    <row r="1304" spans="2:64" ht="15">
      <c r="B1304" s="84"/>
      <c r="D1304" s="84"/>
      <c r="E1304" s="84"/>
      <c r="F1304" s="84"/>
      <c r="G1304" s="84"/>
      <c r="R1304" s="251"/>
      <c r="S1304" s="251"/>
      <c r="BD1304" s="399">
        <v>1301</v>
      </c>
      <c r="BE1304" s="399" t="s">
        <v>3740</v>
      </c>
      <c r="BF1304" s="251" t="s">
        <v>3598</v>
      </c>
      <c r="BG1304" s="399" t="s">
        <v>455</v>
      </c>
      <c r="BH1304" s="252">
        <v>35</v>
      </c>
      <c r="BI1304" s="251" t="s">
        <v>379</v>
      </c>
      <c r="BJ1304" s="251" t="s">
        <v>728</v>
      </c>
      <c r="BK1304" s="251" t="s">
        <v>3741</v>
      </c>
      <c r="BL1304" s="251" t="s">
        <v>458</v>
      </c>
    </row>
    <row r="1305" spans="2:64" ht="15">
      <c r="B1305" s="84"/>
      <c r="D1305" s="84"/>
      <c r="E1305" s="84"/>
      <c r="F1305" s="84"/>
      <c r="G1305" s="84"/>
      <c r="R1305" s="251"/>
      <c r="S1305" s="251"/>
      <c r="BD1305" s="399">
        <v>1302</v>
      </c>
      <c r="BE1305" s="399" t="s">
        <v>3742</v>
      </c>
      <c r="BF1305" s="251" t="s">
        <v>3598</v>
      </c>
      <c r="BG1305" s="399" t="s">
        <v>455</v>
      </c>
      <c r="BH1305" s="252">
        <v>35</v>
      </c>
      <c r="BI1305" s="251" t="s">
        <v>3599</v>
      </c>
      <c r="BJ1305" s="251" t="s">
        <v>350</v>
      </c>
      <c r="BK1305" s="251" t="s">
        <v>3743</v>
      </c>
      <c r="BL1305" s="251" t="s">
        <v>458</v>
      </c>
    </row>
    <row r="1306" spans="2:64" ht="15">
      <c r="B1306" s="84"/>
      <c r="D1306" s="84"/>
      <c r="E1306" s="84"/>
      <c r="F1306" s="84"/>
      <c r="G1306" s="84"/>
      <c r="R1306" s="251"/>
      <c r="S1306" s="251"/>
      <c r="BD1306" s="399">
        <v>1303</v>
      </c>
      <c r="BE1306" s="399" t="s">
        <v>3744</v>
      </c>
      <c r="BF1306" s="251" t="s">
        <v>3598</v>
      </c>
      <c r="BG1306" s="399" t="s">
        <v>455</v>
      </c>
      <c r="BH1306" s="252">
        <v>35</v>
      </c>
      <c r="BI1306" s="251" t="s">
        <v>379</v>
      </c>
      <c r="BJ1306" s="251" t="s">
        <v>3604</v>
      </c>
      <c r="BK1306" s="251" t="s">
        <v>3745</v>
      </c>
      <c r="BL1306" s="251" t="s">
        <v>458</v>
      </c>
    </row>
    <row r="1307" spans="2:64" ht="15">
      <c r="B1307" s="84"/>
      <c r="D1307" s="84"/>
      <c r="E1307" s="84"/>
      <c r="F1307" s="84"/>
      <c r="G1307" s="84"/>
      <c r="R1307" s="251"/>
      <c r="S1307" s="251"/>
      <c r="BD1307" s="399">
        <v>1304</v>
      </c>
      <c r="BE1307" s="399" t="s">
        <v>3746</v>
      </c>
      <c r="BF1307" s="251" t="s">
        <v>3598</v>
      </c>
      <c r="BG1307" s="399" t="s">
        <v>455</v>
      </c>
      <c r="BH1307" s="252">
        <v>35</v>
      </c>
      <c r="BI1307" s="251" t="s">
        <v>615</v>
      </c>
      <c r="BJ1307" s="251" t="s">
        <v>2333</v>
      </c>
      <c r="BK1307" s="251" t="s">
        <v>3747</v>
      </c>
      <c r="BL1307" s="251" t="s">
        <v>458</v>
      </c>
    </row>
    <row r="1308" spans="2:64" ht="15">
      <c r="B1308" s="84"/>
      <c r="D1308" s="84"/>
      <c r="E1308" s="84"/>
      <c r="F1308" s="84"/>
      <c r="G1308" s="84"/>
      <c r="R1308" s="251"/>
      <c r="S1308" s="251"/>
      <c r="BD1308" s="399">
        <v>1305</v>
      </c>
      <c r="BE1308" s="399" t="s">
        <v>3748</v>
      </c>
      <c r="BF1308" s="251" t="s">
        <v>3598</v>
      </c>
      <c r="BG1308" s="399" t="s">
        <v>455</v>
      </c>
      <c r="BH1308" s="252">
        <v>35</v>
      </c>
      <c r="BI1308" s="251" t="s">
        <v>615</v>
      </c>
      <c r="BJ1308" s="251" t="s">
        <v>1855</v>
      </c>
      <c r="BK1308" s="251" t="s">
        <v>3749</v>
      </c>
      <c r="BL1308" s="251" t="s">
        <v>458</v>
      </c>
    </row>
    <row r="1309" spans="2:64" ht="15">
      <c r="B1309" s="84"/>
      <c r="D1309" s="84"/>
      <c r="E1309" s="84"/>
      <c r="F1309" s="84"/>
      <c r="G1309" s="84"/>
      <c r="R1309" s="251"/>
      <c r="S1309" s="251"/>
      <c r="BD1309" s="399">
        <v>1306</v>
      </c>
      <c r="BE1309" s="399" t="s">
        <v>3750</v>
      </c>
      <c r="BF1309" s="251" t="s">
        <v>3598</v>
      </c>
      <c r="BG1309" s="399" t="s">
        <v>455</v>
      </c>
      <c r="BH1309" s="252">
        <v>35</v>
      </c>
      <c r="BI1309" s="251" t="s">
        <v>615</v>
      </c>
      <c r="BJ1309" s="251" t="s">
        <v>350</v>
      </c>
      <c r="BK1309" s="251" t="s">
        <v>3751</v>
      </c>
      <c r="BL1309" s="251" t="s">
        <v>458</v>
      </c>
    </row>
    <row r="1310" spans="2:64" ht="15">
      <c r="B1310" s="84"/>
      <c r="D1310" s="84"/>
      <c r="E1310" s="84"/>
      <c r="F1310" s="84"/>
      <c r="G1310" s="84"/>
      <c r="R1310" s="251"/>
      <c r="S1310" s="251"/>
      <c r="BD1310" s="399">
        <v>1307</v>
      </c>
      <c r="BE1310" s="399" t="s">
        <v>3752</v>
      </c>
      <c r="BF1310" s="251" t="s">
        <v>3598</v>
      </c>
      <c r="BG1310" s="399" t="s">
        <v>455</v>
      </c>
      <c r="BH1310" s="252">
        <v>35</v>
      </c>
      <c r="BI1310" s="251" t="s">
        <v>477</v>
      </c>
      <c r="BJ1310" s="251" t="s">
        <v>1855</v>
      </c>
      <c r="BK1310" s="251" t="s">
        <v>3753</v>
      </c>
      <c r="BL1310" s="251" t="s">
        <v>458</v>
      </c>
    </row>
    <row r="1311" spans="2:64" ht="15">
      <c r="B1311" s="84"/>
      <c r="D1311" s="84"/>
      <c r="E1311" s="84"/>
      <c r="F1311" s="84"/>
      <c r="G1311" s="84"/>
      <c r="R1311" s="251"/>
      <c r="S1311" s="251"/>
      <c r="BD1311" s="399">
        <v>1308</v>
      </c>
      <c r="BE1311" s="399" t="s">
        <v>3754</v>
      </c>
      <c r="BF1311" s="251" t="s">
        <v>3598</v>
      </c>
      <c r="BG1311" s="399" t="s">
        <v>455</v>
      </c>
      <c r="BH1311" s="252">
        <v>35</v>
      </c>
      <c r="BI1311" s="251" t="s">
        <v>477</v>
      </c>
      <c r="BJ1311" s="251" t="s">
        <v>728</v>
      </c>
      <c r="BK1311" s="251" t="s">
        <v>3755</v>
      </c>
      <c r="BL1311" s="251" t="s">
        <v>458</v>
      </c>
    </row>
    <row r="1312" spans="2:64" ht="15">
      <c r="B1312" s="84"/>
      <c r="D1312" s="84"/>
      <c r="E1312" s="84"/>
      <c r="F1312" s="84"/>
      <c r="G1312" s="84"/>
      <c r="R1312" s="251"/>
      <c r="S1312" s="251"/>
      <c r="BD1312" s="399">
        <v>1309</v>
      </c>
      <c r="BE1312" s="399" t="s">
        <v>3756</v>
      </c>
      <c r="BF1312" s="251" t="s">
        <v>3598</v>
      </c>
      <c r="BG1312" s="399" t="s">
        <v>455</v>
      </c>
      <c r="BH1312" s="252">
        <v>35</v>
      </c>
      <c r="BI1312" s="251" t="s">
        <v>477</v>
      </c>
      <c r="BJ1312" s="251" t="s">
        <v>350</v>
      </c>
      <c r="BK1312" s="251" t="s">
        <v>3757</v>
      </c>
      <c r="BL1312" s="251" t="s">
        <v>458</v>
      </c>
    </row>
    <row r="1313" spans="2:64" ht="15">
      <c r="B1313" s="84"/>
      <c r="D1313" s="84"/>
      <c r="E1313" s="84"/>
      <c r="F1313" s="84"/>
      <c r="G1313" s="84"/>
      <c r="R1313" s="251"/>
      <c r="S1313" s="251"/>
      <c r="BD1313" s="399">
        <v>1310</v>
      </c>
      <c r="BE1313" s="399" t="s">
        <v>3758</v>
      </c>
      <c r="BF1313" s="251" t="s">
        <v>3598</v>
      </c>
      <c r="BG1313" s="399" t="s">
        <v>455</v>
      </c>
      <c r="BH1313" s="252">
        <v>35</v>
      </c>
      <c r="BI1313" s="251" t="s">
        <v>477</v>
      </c>
      <c r="BJ1313" s="251" t="s">
        <v>3759</v>
      </c>
      <c r="BK1313" s="251" t="s">
        <v>3760</v>
      </c>
      <c r="BL1313" s="251" t="s">
        <v>458</v>
      </c>
    </row>
    <row r="1314" spans="2:64" ht="15">
      <c r="B1314" s="84"/>
      <c r="D1314" s="84"/>
      <c r="E1314" s="84"/>
      <c r="F1314" s="84"/>
      <c r="G1314" s="84"/>
      <c r="R1314" s="251"/>
      <c r="S1314" s="251"/>
      <c r="BD1314" s="399">
        <v>1311</v>
      </c>
      <c r="BE1314" s="399" t="s">
        <v>3761</v>
      </c>
      <c r="BF1314" s="251" t="s">
        <v>3598</v>
      </c>
      <c r="BG1314" s="399" t="s">
        <v>455</v>
      </c>
      <c r="BH1314" s="252">
        <v>35</v>
      </c>
      <c r="BI1314" s="251" t="s">
        <v>450</v>
      </c>
      <c r="BJ1314" s="251" t="s">
        <v>350</v>
      </c>
      <c r="BK1314" s="251" t="s">
        <v>3762</v>
      </c>
      <c r="BL1314" s="251" t="s">
        <v>458</v>
      </c>
    </row>
    <row r="1315" spans="2:64" ht="15">
      <c r="B1315" s="84"/>
      <c r="D1315" s="84"/>
      <c r="E1315" s="84"/>
      <c r="F1315" s="84"/>
      <c r="G1315" s="84"/>
      <c r="R1315" s="251"/>
      <c r="S1315" s="251"/>
      <c r="BD1315" s="399">
        <v>1312</v>
      </c>
      <c r="BE1315" s="399" t="s">
        <v>3763</v>
      </c>
      <c r="BF1315" s="251" t="s">
        <v>3598</v>
      </c>
      <c r="BG1315" s="399" t="s">
        <v>455</v>
      </c>
      <c r="BH1315" s="252">
        <v>35</v>
      </c>
      <c r="BI1315" s="251" t="s">
        <v>2530</v>
      </c>
      <c r="BJ1315" s="251" t="s">
        <v>2333</v>
      </c>
      <c r="BK1315" s="251" t="s">
        <v>3764</v>
      </c>
      <c r="BL1315" s="251" t="s">
        <v>458</v>
      </c>
    </row>
    <row r="1316" spans="2:64" ht="15">
      <c r="B1316" s="84"/>
      <c r="D1316" s="84"/>
      <c r="E1316" s="84"/>
      <c r="F1316" s="84"/>
      <c r="G1316" s="84"/>
      <c r="R1316" s="251"/>
      <c r="S1316" s="251"/>
      <c r="BD1316" s="399">
        <v>1313</v>
      </c>
      <c r="BE1316" s="399" t="s">
        <v>3765</v>
      </c>
      <c r="BF1316" s="251" t="s">
        <v>3598</v>
      </c>
      <c r="BG1316" s="399" t="s">
        <v>455</v>
      </c>
      <c r="BH1316" s="252">
        <v>35</v>
      </c>
      <c r="BI1316" s="251" t="s">
        <v>2530</v>
      </c>
      <c r="BJ1316" s="251" t="s">
        <v>1855</v>
      </c>
      <c r="BK1316" s="251" t="s">
        <v>3766</v>
      </c>
      <c r="BL1316" s="251" t="s">
        <v>458</v>
      </c>
    </row>
    <row r="1317" spans="2:64" ht="15">
      <c r="B1317" s="84"/>
      <c r="D1317" s="84"/>
      <c r="E1317" s="84"/>
      <c r="F1317" s="84"/>
      <c r="G1317" s="84"/>
      <c r="R1317" s="251"/>
      <c r="S1317" s="251"/>
      <c r="BD1317" s="399">
        <v>1314</v>
      </c>
      <c r="BE1317" s="399" t="s">
        <v>3767</v>
      </c>
      <c r="BF1317" s="251" t="s">
        <v>3598</v>
      </c>
      <c r="BG1317" s="399" t="s">
        <v>455</v>
      </c>
      <c r="BH1317" s="252">
        <v>35</v>
      </c>
      <c r="BI1317" s="251" t="s">
        <v>2530</v>
      </c>
      <c r="BJ1317" s="251" t="s">
        <v>728</v>
      </c>
      <c r="BK1317" s="251" t="s">
        <v>3768</v>
      </c>
      <c r="BL1317" s="251" t="s">
        <v>458</v>
      </c>
    </row>
    <row r="1318" spans="2:64" ht="15">
      <c r="B1318" s="84"/>
      <c r="D1318" s="84"/>
      <c r="E1318" s="84"/>
      <c r="F1318" s="84"/>
      <c r="G1318" s="84"/>
      <c r="R1318" s="251"/>
      <c r="S1318" s="251"/>
      <c r="BD1318" s="399">
        <v>1315</v>
      </c>
      <c r="BE1318" s="399" t="s">
        <v>3769</v>
      </c>
      <c r="BF1318" s="251" t="s">
        <v>3598</v>
      </c>
      <c r="BG1318" s="399" t="s">
        <v>455</v>
      </c>
      <c r="BH1318" s="252">
        <v>35</v>
      </c>
      <c r="BI1318" s="251" t="s">
        <v>2530</v>
      </c>
      <c r="BJ1318" s="251" t="s">
        <v>350</v>
      </c>
      <c r="BK1318" s="251" t="s">
        <v>3770</v>
      </c>
      <c r="BL1318" s="251" t="s">
        <v>458</v>
      </c>
    </row>
    <row r="1319" spans="2:64" ht="15">
      <c r="B1319" s="84"/>
      <c r="D1319" s="84"/>
      <c r="E1319" s="84"/>
      <c r="F1319" s="84"/>
      <c r="G1319" s="84"/>
      <c r="R1319" s="251"/>
      <c r="S1319" s="251"/>
      <c r="BD1319" s="399">
        <v>1316</v>
      </c>
      <c r="BE1319" s="399" t="s">
        <v>3771</v>
      </c>
      <c r="BF1319" s="251" t="s">
        <v>3598</v>
      </c>
      <c r="BG1319" s="399" t="s">
        <v>614</v>
      </c>
      <c r="BH1319" s="252">
        <v>38</v>
      </c>
      <c r="BI1319" s="251" t="s">
        <v>365</v>
      </c>
      <c r="BJ1319" s="251" t="s">
        <v>728</v>
      </c>
      <c r="BK1319" s="251" t="s">
        <v>3772</v>
      </c>
      <c r="BL1319" s="251" t="s">
        <v>617</v>
      </c>
    </row>
    <row r="1320" spans="2:64" ht="15">
      <c r="B1320" s="84"/>
      <c r="D1320" s="84"/>
      <c r="E1320" s="84"/>
      <c r="F1320" s="84"/>
      <c r="G1320" s="84"/>
      <c r="R1320" s="251"/>
      <c r="S1320" s="251"/>
      <c r="BD1320" s="399">
        <v>1317</v>
      </c>
      <c r="BE1320" s="399" t="s">
        <v>3773</v>
      </c>
      <c r="BF1320" s="251" t="s">
        <v>3598</v>
      </c>
      <c r="BG1320" s="399" t="s">
        <v>614</v>
      </c>
      <c r="BH1320" s="252">
        <v>38</v>
      </c>
      <c r="BI1320" s="251" t="s">
        <v>365</v>
      </c>
      <c r="BJ1320" s="251" t="s">
        <v>3604</v>
      </c>
      <c r="BK1320" s="251" t="s">
        <v>3774</v>
      </c>
      <c r="BL1320" s="251" t="s">
        <v>617</v>
      </c>
    </row>
    <row r="1321" spans="2:64" ht="15">
      <c r="B1321" s="84"/>
      <c r="D1321" s="84"/>
      <c r="E1321" s="84"/>
      <c r="F1321" s="84"/>
      <c r="G1321" s="84"/>
      <c r="R1321" s="251"/>
      <c r="S1321" s="251"/>
      <c r="BD1321" s="399">
        <v>1318</v>
      </c>
      <c r="BE1321" s="399" t="s">
        <v>3775</v>
      </c>
      <c r="BF1321" s="251" t="s">
        <v>3598</v>
      </c>
      <c r="BG1321" s="399" t="s">
        <v>614</v>
      </c>
      <c r="BH1321" s="252">
        <v>38</v>
      </c>
      <c r="BI1321" s="251" t="s">
        <v>379</v>
      </c>
      <c r="BJ1321" s="251" t="s">
        <v>1855</v>
      </c>
      <c r="BK1321" s="251" t="s">
        <v>3776</v>
      </c>
      <c r="BL1321" s="251" t="s">
        <v>617</v>
      </c>
    </row>
    <row r="1322" spans="2:64" ht="15">
      <c r="B1322" s="84"/>
      <c r="D1322" s="84"/>
      <c r="E1322" s="84"/>
      <c r="F1322" s="84"/>
      <c r="G1322" s="84"/>
      <c r="R1322" s="251"/>
      <c r="S1322" s="251"/>
      <c r="BD1322" s="399">
        <v>1319</v>
      </c>
      <c r="BE1322" s="399" t="s">
        <v>3777</v>
      </c>
      <c r="BF1322" s="251" t="s">
        <v>3598</v>
      </c>
      <c r="BG1322" s="399" t="s">
        <v>614</v>
      </c>
      <c r="BH1322" s="252">
        <v>38</v>
      </c>
      <c r="BI1322" s="251" t="s">
        <v>379</v>
      </c>
      <c r="BJ1322" s="251" t="s">
        <v>728</v>
      </c>
      <c r="BK1322" s="251" t="s">
        <v>3778</v>
      </c>
      <c r="BL1322" s="251" t="s">
        <v>617</v>
      </c>
    </row>
    <row r="1323" spans="2:64" ht="15">
      <c r="B1323" s="84"/>
      <c r="D1323" s="84"/>
      <c r="E1323" s="84"/>
      <c r="F1323" s="84"/>
      <c r="G1323" s="84"/>
      <c r="R1323" s="251"/>
      <c r="S1323" s="251"/>
      <c r="BD1323" s="399">
        <v>1320</v>
      </c>
      <c r="BE1323" s="399" t="s">
        <v>3779</v>
      </c>
      <c r="BF1323" s="251" t="s">
        <v>3598</v>
      </c>
      <c r="BG1323" s="399" t="s">
        <v>614</v>
      </c>
      <c r="BH1323" s="252">
        <v>38</v>
      </c>
      <c r="BI1323" s="251" t="s">
        <v>379</v>
      </c>
      <c r="BJ1323" s="251" t="s">
        <v>3604</v>
      </c>
      <c r="BK1323" s="251" t="s">
        <v>3780</v>
      </c>
      <c r="BL1323" s="251" t="s">
        <v>617</v>
      </c>
    </row>
    <row r="1324" spans="2:64" ht="15">
      <c r="B1324" s="84"/>
      <c r="D1324" s="84"/>
      <c r="E1324" s="84"/>
      <c r="F1324" s="84"/>
      <c r="G1324" s="84"/>
      <c r="R1324" s="251"/>
      <c r="S1324" s="251"/>
      <c r="BD1324" s="399">
        <v>1321</v>
      </c>
      <c r="BE1324" s="399" t="s">
        <v>3781</v>
      </c>
      <c r="BF1324" s="251" t="s">
        <v>3598</v>
      </c>
      <c r="BG1324" s="399" t="s">
        <v>614</v>
      </c>
      <c r="BH1324" s="252">
        <v>38</v>
      </c>
      <c r="BI1324" s="251" t="s">
        <v>3599</v>
      </c>
      <c r="BJ1324" s="251" t="s">
        <v>2333</v>
      </c>
      <c r="BK1324" s="251" t="s">
        <v>3782</v>
      </c>
      <c r="BL1324" s="251" t="s">
        <v>617</v>
      </c>
    </row>
    <row r="1325" spans="2:64" ht="15">
      <c r="B1325" s="84"/>
      <c r="D1325" s="84"/>
      <c r="E1325" s="84"/>
      <c r="F1325" s="84"/>
      <c r="G1325" s="84"/>
      <c r="R1325" s="251"/>
      <c r="S1325" s="251"/>
      <c r="BD1325" s="399">
        <v>1322</v>
      </c>
      <c r="BE1325" s="399" t="s">
        <v>3783</v>
      </c>
      <c r="BF1325" s="251" t="s">
        <v>3598</v>
      </c>
      <c r="BG1325" s="399" t="s">
        <v>614</v>
      </c>
      <c r="BH1325" s="252">
        <v>38</v>
      </c>
      <c r="BI1325" s="251" t="s">
        <v>3599</v>
      </c>
      <c r="BJ1325" s="251" t="s">
        <v>350</v>
      </c>
      <c r="BK1325" s="251" t="s">
        <v>3784</v>
      </c>
      <c r="BL1325" s="251" t="s">
        <v>617</v>
      </c>
    </row>
    <row r="1326" spans="2:64" ht="15">
      <c r="B1326" s="84"/>
      <c r="D1326" s="84"/>
      <c r="E1326" s="84"/>
      <c r="F1326" s="84"/>
      <c r="G1326" s="84"/>
      <c r="R1326" s="251"/>
      <c r="S1326" s="251"/>
      <c r="BD1326" s="399">
        <v>1323</v>
      </c>
      <c r="BE1326" s="399" t="s">
        <v>3785</v>
      </c>
      <c r="BF1326" s="251" t="s">
        <v>3598</v>
      </c>
      <c r="BG1326" s="399" t="s">
        <v>614</v>
      </c>
      <c r="BH1326" s="252">
        <v>38</v>
      </c>
      <c r="BI1326" s="251" t="s">
        <v>3599</v>
      </c>
      <c r="BJ1326" s="251" t="s">
        <v>413</v>
      </c>
      <c r="BK1326" s="251" t="s">
        <v>3786</v>
      </c>
      <c r="BL1326" s="251" t="s">
        <v>617</v>
      </c>
    </row>
    <row r="1327" spans="2:64" ht="15">
      <c r="B1327" s="84"/>
      <c r="D1327" s="84"/>
      <c r="E1327" s="84"/>
      <c r="F1327" s="84"/>
      <c r="G1327" s="84"/>
      <c r="R1327" s="251"/>
      <c r="S1327" s="251"/>
      <c r="BD1327" s="399">
        <v>1324</v>
      </c>
      <c r="BE1327" s="399" t="s">
        <v>3787</v>
      </c>
      <c r="BF1327" s="251" t="s">
        <v>3598</v>
      </c>
      <c r="BG1327" s="399" t="s">
        <v>614</v>
      </c>
      <c r="BH1327" s="252">
        <v>38</v>
      </c>
      <c r="BI1327" s="251" t="s">
        <v>3599</v>
      </c>
      <c r="BJ1327" s="251" t="s">
        <v>3788</v>
      </c>
      <c r="BK1327" s="251" t="s">
        <v>3789</v>
      </c>
      <c r="BL1327" s="251" t="s">
        <v>617</v>
      </c>
    </row>
    <row r="1328" spans="2:64" ht="15">
      <c r="B1328" s="84"/>
      <c r="D1328" s="84"/>
      <c r="E1328" s="84"/>
      <c r="F1328" s="84"/>
      <c r="G1328" s="84"/>
      <c r="R1328" s="251"/>
      <c r="S1328" s="251"/>
      <c r="BD1328" s="399">
        <v>1325</v>
      </c>
      <c r="BE1328" s="399" t="s">
        <v>3790</v>
      </c>
      <c r="BF1328" s="251" t="s">
        <v>3598</v>
      </c>
      <c r="BG1328" s="399" t="s">
        <v>614</v>
      </c>
      <c r="BH1328" s="252">
        <v>38</v>
      </c>
      <c r="BI1328" s="251" t="s">
        <v>615</v>
      </c>
      <c r="BJ1328" s="251" t="s">
        <v>728</v>
      </c>
      <c r="BK1328" s="251" t="s">
        <v>3791</v>
      </c>
      <c r="BL1328" s="251" t="s">
        <v>617</v>
      </c>
    </row>
    <row r="1329" spans="2:64" ht="15">
      <c r="B1329" s="84"/>
      <c r="D1329" s="84"/>
      <c r="E1329" s="84"/>
      <c r="F1329" s="84"/>
      <c r="G1329" s="84"/>
      <c r="R1329" s="251"/>
      <c r="S1329" s="251"/>
      <c r="BD1329" s="399">
        <v>1326</v>
      </c>
      <c r="BE1329" s="399" t="s">
        <v>3792</v>
      </c>
      <c r="BF1329" s="251" t="s">
        <v>3598</v>
      </c>
      <c r="BG1329" s="399" t="s">
        <v>614</v>
      </c>
      <c r="BH1329" s="252">
        <v>38</v>
      </c>
      <c r="BI1329" s="251" t="s">
        <v>615</v>
      </c>
      <c r="BJ1329" s="251" t="s">
        <v>350</v>
      </c>
      <c r="BK1329" s="251" t="s">
        <v>3793</v>
      </c>
      <c r="BL1329" s="251" t="s">
        <v>617</v>
      </c>
    </row>
    <row r="1330" spans="2:64" ht="15">
      <c r="B1330" s="84"/>
      <c r="D1330" s="84"/>
      <c r="E1330" s="84"/>
      <c r="F1330" s="84"/>
      <c r="G1330" s="84"/>
      <c r="R1330" s="251"/>
      <c r="S1330" s="251"/>
      <c r="BD1330" s="399">
        <v>1327</v>
      </c>
      <c r="BE1330" s="399" t="s">
        <v>3794</v>
      </c>
      <c r="BF1330" s="251" t="s">
        <v>3598</v>
      </c>
      <c r="BG1330" s="399" t="s">
        <v>614</v>
      </c>
      <c r="BH1330" s="252">
        <v>38</v>
      </c>
      <c r="BI1330" s="251" t="s">
        <v>615</v>
      </c>
      <c r="BJ1330" s="251" t="s">
        <v>3795</v>
      </c>
      <c r="BK1330" s="251" t="s">
        <v>3796</v>
      </c>
      <c r="BL1330" s="251" t="s">
        <v>617</v>
      </c>
    </row>
    <row r="1331" spans="2:64" ht="15">
      <c r="B1331" s="84"/>
      <c r="D1331" s="84"/>
      <c r="E1331" s="84"/>
      <c r="F1331" s="84"/>
      <c r="G1331" s="84"/>
      <c r="R1331" s="251"/>
      <c r="S1331" s="251"/>
      <c r="BD1331" s="399">
        <v>1328</v>
      </c>
      <c r="BE1331" s="399" t="s">
        <v>3797</v>
      </c>
      <c r="BF1331" s="251" t="s">
        <v>3598</v>
      </c>
      <c r="BG1331" s="399" t="s">
        <v>614</v>
      </c>
      <c r="BH1331" s="252">
        <v>38</v>
      </c>
      <c r="BI1331" s="251" t="s">
        <v>477</v>
      </c>
      <c r="BJ1331" s="251" t="s">
        <v>2333</v>
      </c>
      <c r="BK1331" s="251" t="s">
        <v>3798</v>
      </c>
      <c r="BL1331" s="251" t="s">
        <v>617</v>
      </c>
    </row>
    <row r="1332" spans="2:64" ht="15">
      <c r="B1332" s="84"/>
      <c r="D1332" s="84"/>
      <c r="E1332" s="84"/>
      <c r="F1332" s="84"/>
      <c r="G1332" s="84"/>
      <c r="R1332" s="251"/>
      <c r="S1332" s="251"/>
      <c r="BD1332" s="399">
        <v>1329</v>
      </c>
      <c r="BE1332" s="399" t="s">
        <v>3799</v>
      </c>
      <c r="BF1332" s="251" t="s">
        <v>3598</v>
      </c>
      <c r="BG1332" s="399" t="s">
        <v>614</v>
      </c>
      <c r="BH1332" s="252">
        <v>38</v>
      </c>
      <c r="BI1332" s="251" t="s">
        <v>477</v>
      </c>
      <c r="BJ1332" s="251" t="s">
        <v>1855</v>
      </c>
      <c r="BK1332" s="251" t="s">
        <v>3800</v>
      </c>
      <c r="BL1332" s="251" t="s">
        <v>617</v>
      </c>
    </row>
    <row r="1333" spans="2:64" ht="15">
      <c r="B1333" s="84"/>
      <c r="D1333" s="84"/>
      <c r="E1333" s="84"/>
      <c r="F1333" s="84"/>
      <c r="G1333" s="84"/>
      <c r="R1333" s="251"/>
      <c r="S1333" s="251"/>
      <c r="BD1333" s="399">
        <v>1330</v>
      </c>
      <c r="BE1333" s="399" t="s">
        <v>3801</v>
      </c>
      <c r="BF1333" s="251" t="s">
        <v>3598</v>
      </c>
      <c r="BG1333" s="399" t="s">
        <v>614</v>
      </c>
      <c r="BH1333" s="252">
        <v>38</v>
      </c>
      <c r="BI1333" s="251" t="s">
        <v>477</v>
      </c>
      <c r="BJ1333" s="251" t="s">
        <v>728</v>
      </c>
      <c r="BK1333" s="251" t="s">
        <v>3802</v>
      </c>
      <c r="BL1333" s="251" t="s">
        <v>617</v>
      </c>
    </row>
    <row r="1334" spans="2:64" ht="15">
      <c r="B1334" s="84"/>
      <c r="D1334" s="84"/>
      <c r="E1334" s="84"/>
      <c r="F1334" s="84"/>
      <c r="G1334" s="84"/>
      <c r="R1334" s="251"/>
      <c r="S1334" s="251"/>
      <c r="BD1334" s="399">
        <v>1331</v>
      </c>
      <c r="BE1334" s="399" t="s">
        <v>3803</v>
      </c>
      <c r="BF1334" s="251" t="s">
        <v>3598</v>
      </c>
      <c r="BG1334" s="399" t="s">
        <v>614</v>
      </c>
      <c r="BH1334" s="252">
        <v>38</v>
      </c>
      <c r="BI1334" s="251" t="s">
        <v>477</v>
      </c>
      <c r="BJ1334" s="251" t="s">
        <v>350</v>
      </c>
      <c r="BK1334" s="251" t="s">
        <v>3804</v>
      </c>
      <c r="BL1334" s="251" t="s">
        <v>617</v>
      </c>
    </row>
    <row r="1335" spans="2:64" ht="15">
      <c r="B1335" s="84"/>
      <c r="D1335" s="84"/>
      <c r="E1335" s="84"/>
      <c r="F1335" s="84"/>
      <c r="G1335" s="84"/>
      <c r="R1335" s="251"/>
      <c r="S1335" s="251"/>
      <c r="BD1335" s="399">
        <v>1332</v>
      </c>
      <c r="BE1335" s="399" t="s">
        <v>3805</v>
      </c>
      <c r="BF1335" s="251" t="s">
        <v>3598</v>
      </c>
      <c r="BG1335" s="399" t="s">
        <v>614</v>
      </c>
      <c r="BH1335" s="252">
        <v>38</v>
      </c>
      <c r="BI1335" s="251" t="s">
        <v>450</v>
      </c>
      <c r="BJ1335" s="251" t="s">
        <v>728</v>
      </c>
      <c r="BK1335" s="251" t="s">
        <v>3806</v>
      </c>
      <c r="BL1335" s="251" t="s">
        <v>617</v>
      </c>
    </row>
    <row r="1336" spans="2:64" ht="15">
      <c r="B1336" s="84"/>
      <c r="D1336" s="84"/>
      <c r="E1336" s="84"/>
      <c r="F1336" s="84"/>
      <c r="G1336" s="84"/>
      <c r="R1336" s="251"/>
      <c r="S1336" s="251"/>
      <c r="BD1336" s="399">
        <v>1333</v>
      </c>
      <c r="BE1336" s="399" t="s">
        <v>3807</v>
      </c>
      <c r="BF1336" s="251" t="s">
        <v>3598</v>
      </c>
      <c r="BG1336" s="399" t="s">
        <v>614</v>
      </c>
      <c r="BH1336" s="252">
        <v>38</v>
      </c>
      <c r="BI1336" s="251" t="s">
        <v>450</v>
      </c>
      <c r="BJ1336" s="251" t="s">
        <v>3604</v>
      </c>
      <c r="BK1336" s="251" t="s">
        <v>3808</v>
      </c>
      <c r="BL1336" s="251" t="s">
        <v>617</v>
      </c>
    </row>
    <row r="1337" spans="2:64" ht="15">
      <c r="B1337" s="84"/>
      <c r="D1337" s="84"/>
      <c r="E1337" s="84"/>
      <c r="F1337" s="84"/>
      <c r="G1337" s="84"/>
      <c r="R1337" s="251"/>
      <c r="S1337" s="251"/>
      <c r="BD1337" s="399">
        <v>1334</v>
      </c>
      <c r="BE1337" s="399" t="s">
        <v>3809</v>
      </c>
      <c r="BF1337" s="251" t="s">
        <v>3598</v>
      </c>
      <c r="BG1337" s="399" t="s">
        <v>614</v>
      </c>
      <c r="BH1337" s="252">
        <v>38</v>
      </c>
      <c r="BI1337" s="251" t="s">
        <v>2530</v>
      </c>
      <c r="BJ1337" s="251" t="s">
        <v>350</v>
      </c>
      <c r="BK1337" s="251" t="s">
        <v>3810</v>
      </c>
      <c r="BL1337" s="251" t="s">
        <v>617</v>
      </c>
    </row>
    <row r="1338" spans="2:64" ht="15">
      <c r="B1338" s="84"/>
      <c r="D1338" s="84"/>
      <c r="E1338" s="84"/>
      <c r="F1338" s="84"/>
      <c r="G1338" s="84"/>
      <c r="R1338" s="251"/>
      <c r="S1338" s="251"/>
      <c r="BD1338" s="399">
        <v>1335</v>
      </c>
      <c r="BE1338" s="399" t="s">
        <v>3811</v>
      </c>
      <c r="BF1338" s="251" t="s">
        <v>3598</v>
      </c>
      <c r="BG1338" s="399" t="s">
        <v>614</v>
      </c>
      <c r="BH1338" s="252">
        <v>38</v>
      </c>
      <c r="BI1338" s="251" t="s">
        <v>2530</v>
      </c>
      <c r="BJ1338" s="251" t="s">
        <v>3604</v>
      </c>
      <c r="BK1338" s="251" t="s">
        <v>3812</v>
      </c>
      <c r="BL1338" s="251" t="s">
        <v>617</v>
      </c>
    </row>
    <row r="1339" spans="2:64" ht="15">
      <c r="B1339" s="84"/>
      <c r="D1339" s="84"/>
      <c r="E1339" s="84"/>
      <c r="F1339" s="84"/>
      <c r="G1339" s="84"/>
      <c r="R1339" s="251"/>
      <c r="S1339" s="251"/>
      <c r="BD1339" s="399">
        <v>1336</v>
      </c>
      <c r="BE1339" s="399" t="s">
        <v>3813</v>
      </c>
      <c r="BF1339" s="251" t="s">
        <v>3598</v>
      </c>
      <c r="BG1339" s="399" t="s">
        <v>614</v>
      </c>
      <c r="BH1339" s="252">
        <v>38</v>
      </c>
      <c r="BI1339" s="251" t="s">
        <v>3604</v>
      </c>
      <c r="BJ1339" s="251" t="s">
        <v>413</v>
      </c>
      <c r="BK1339" s="251" t="s">
        <v>3814</v>
      </c>
      <c r="BL1339" s="251" t="s">
        <v>617</v>
      </c>
    </row>
    <row r="1340" spans="2:64" ht="15">
      <c r="B1340" s="84"/>
      <c r="D1340" s="84"/>
      <c r="E1340" s="84"/>
      <c r="F1340" s="84"/>
      <c r="G1340" s="84"/>
      <c r="R1340" s="251"/>
      <c r="S1340" s="251"/>
      <c r="BD1340" s="399">
        <v>1337</v>
      </c>
      <c r="BE1340" s="399" t="s">
        <v>3815</v>
      </c>
      <c r="BF1340" s="251" t="s">
        <v>3598</v>
      </c>
      <c r="BG1340" s="399" t="s">
        <v>614</v>
      </c>
      <c r="BH1340" s="252">
        <v>38</v>
      </c>
      <c r="BI1340" s="251" t="s">
        <v>3759</v>
      </c>
      <c r="BJ1340" s="251" t="s">
        <v>3795</v>
      </c>
      <c r="BK1340" s="251" t="s">
        <v>3816</v>
      </c>
      <c r="BL1340" s="251" t="s">
        <v>617</v>
      </c>
    </row>
    <row r="1341" spans="2:64" ht="15">
      <c r="B1341" s="84"/>
      <c r="D1341" s="84"/>
      <c r="E1341" s="84"/>
      <c r="F1341" s="84"/>
      <c r="G1341" s="84"/>
      <c r="R1341" s="251"/>
      <c r="S1341" s="251"/>
      <c r="BD1341" s="399">
        <v>1338</v>
      </c>
      <c r="BE1341" s="399" t="s">
        <v>3817</v>
      </c>
      <c r="BF1341" s="251" t="s">
        <v>3598</v>
      </c>
      <c r="BG1341" s="399" t="s">
        <v>623</v>
      </c>
      <c r="BH1341" s="252">
        <v>40</v>
      </c>
      <c r="BI1341" s="251" t="s">
        <v>579</v>
      </c>
      <c r="BJ1341" s="251" t="s">
        <v>1855</v>
      </c>
      <c r="BK1341" s="251" t="s">
        <v>3818</v>
      </c>
      <c r="BL1341" s="251" t="s">
        <v>626</v>
      </c>
    </row>
    <row r="1342" spans="2:64" ht="15">
      <c r="B1342" s="84"/>
      <c r="D1342" s="84"/>
      <c r="E1342" s="84"/>
      <c r="F1342" s="84"/>
      <c r="G1342" s="84"/>
      <c r="R1342" s="251"/>
      <c r="S1342" s="251"/>
      <c r="BD1342" s="399">
        <v>1339</v>
      </c>
      <c r="BE1342" s="399" t="s">
        <v>3819</v>
      </c>
      <c r="BF1342" s="251" t="s">
        <v>3598</v>
      </c>
      <c r="BG1342" s="399" t="s">
        <v>623</v>
      </c>
      <c r="BH1342" s="252">
        <v>40</v>
      </c>
      <c r="BI1342" s="251" t="s">
        <v>365</v>
      </c>
      <c r="BJ1342" s="251" t="s">
        <v>2333</v>
      </c>
      <c r="BK1342" s="251" t="s">
        <v>3820</v>
      </c>
      <c r="BL1342" s="251" t="s">
        <v>626</v>
      </c>
    </row>
    <row r="1343" spans="2:64" ht="15">
      <c r="B1343" s="84"/>
      <c r="D1343" s="84"/>
      <c r="E1343" s="84"/>
      <c r="F1343" s="84"/>
      <c r="G1343" s="84"/>
      <c r="R1343" s="251"/>
      <c r="S1343" s="251"/>
      <c r="BD1343" s="399">
        <v>1340</v>
      </c>
      <c r="BE1343" s="399" t="s">
        <v>3821</v>
      </c>
      <c r="BF1343" s="251" t="s">
        <v>3598</v>
      </c>
      <c r="BG1343" s="399" t="s">
        <v>623</v>
      </c>
      <c r="BH1343" s="252">
        <v>40</v>
      </c>
      <c r="BI1343" s="251" t="s">
        <v>379</v>
      </c>
      <c r="BJ1343" s="251" t="s">
        <v>728</v>
      </c>
      <c r="BK1343" s="251" t="s">
        <v>3822</v>
      </c>
      <c r="BL1343" s="251" t="s">
        <v>626</v>
      </c>
    </row>
    <row r="1344" spans="2:64" ht="15">
      <c r="B1344" s="84"/>
      <c r="D1344" s="84"/>
      <c r="E1344" s="84"/>
      <c r="F1344" s="84"/>
      <c r="G1344" s="84"/>
      <c r="R1344" s="251"/>
      <c r="S1344" s="251"/>
      <c r="BD1344" s="399">
        <v>1341</v>
      </c>
      <c r="BE1344" s="399" t="s">
        <v>3823</v>
      </c>
      <c r="BF1344" s="251" t="s">
        <v>3598</v>
      </c>
      <c r="BG1344" s="399" t="s">
        <v>623</v>
      </c>
      <c r="BH1344" s="252">
        <v>40</v>
      </c>
      <c r="BI1344" s="251" t="s">
        <v>379</v>
      </c>
      <c r="BJ1344" s="251" t="s">
        <v>3604</v>
      </c>
      <c r="BK1344" s="251" t="s">
        <v>3824</v>
      </c>
      <c r="BL1344" s="251" t="s">
        <v>626</v>
      </c>
    </row>
    <row r="1345" spans="2:64" ht="15">
      <c r="B1345" s="84"/>
      <c r="D1345" s="84"/>
      <c r="E1345" s="84"/>
      <c r="F1345" s="84"/>
      <c r="G1345" s="84"/>
      <c r="R1345" s="251"/>
      <c r="S1345" s="251"/>
      <c r="BD1345" s="399">
        <v>1342</v>
      </c>
      <c r="BE1345" s="399" t="s">
        <v>3825</v>
      </c>
      <c r="BF1345" s="251" t="s">
        <v>3598</v>
      </c>
      <c r="BG1345" s="399" t="s">
        <v>623</v>
      </c>
      <c r="BH1345" s="252">
        <v>40</v>
      </c>
      <c r="BI1345" s="251" t="s">
        <v>615</v>
      </c>
      <c r="BJ1345" s="251" t="s">
        <v>728</v>
      </c>
      <c r="BK1345" s="251" t="s">
        <v>3826</v>
      </c>
      <c r="BL1345" s="251" t="s">
        <v>626</v>
      </c>
    </row>
    <row r="1346" spans="2:64" ht="15">
      <c r="B1346" s="84"/>
      <c r="D1346" s="84"/>
      <c r="E1346" s="84"/>
      <c r="F1346" s="84"/>
      <c r="G1346" s="84"/>
      <c r="R1346" s="251"/>
      <c r="S1346" s="251"/>
      <c r="BD1346" s="399">
        <v>1343</v>
      </c>
      <c r="BE1346" s="399" t="s">
        <v>3827</v>
      </c>
      <c r="BF1346" s="251" t="s">
        <v>3598</v>
      </c>
      <c r="BG1346" s="399" t="s">
        <v>623</v>
      </c>
      <c r="BH1346" s="252" t="s">
        <v>624</v>
      </c>
      <c r="BI1346" s="251" t="s">
        <v>615</v>
      </c>
      <c r="BJ1346" s="251" t="s">
        <v>3604</v>
      </c>
      <c r="BK1346" s="251" t="s">
        <v>3828</v>
      </c>
      <c r="BL1346" s="251" t="s">
        <v>626</v>
      </c>
    </row>
    <row r="1347" spans="2:64" ht="15">
      <c r="B1347" s="84"/>
      <c r="D1347" s="84"/>
      <c r="E1347" s="84"/>
      <c r="F1347" s="84"/>
      <c r="G1347" s="84"/>
      <c r="R1347" s="251"/>
      <c r="S1347" s="251"/>
      <c r="BD1347" s="399">
        <v>1344</v>
      </c>
      <c r="BE1347" s="399" t="s">
        <v>3829</v>
      </c>
      <c r="BF1347" s="251" t="s">
        <v>3598</v>
      </c>
      <c r="BG1347" s="399" t="s">
        <v>623</v>
      </c>
      <c r="BH1347" s="252">
        <v>40</v>
      </c>
      <c r="BI1347" s="251" t="s">
        <v>477</v>
      </c>
      <c r="BJ1347" s="251" t="s">
        <v>3604</v>
      </c>
      <c r="BK1347" s="251" t="s">
        <v>3830</v>
      </c>
      <c r="BL1347" s="251" t="s">
        <v>626</v>
      </c>
    </row>
    <row r="1348" spans="2:64" ht="15">
      <c r="B1348" s="84"/>
      <c r="D1348" s="84"/>
      <c r="E1348" s="84"/>
      <c r="F1348" s="84"/>
      <c r="G1348" s="84"/>
      <c r="R1348" s="251"/>
      <c r="S1348" s="251"/>
      <c r="BD1348" s="399">
        <v>1345</v>
      </c>
      <c r="BE1348" s="399" t="s">
        <v>3831</v>
      </c>
      <c r="BF1348" s="251" t="s">
        <v>3598</v>
      </c>
      <c r="BG1348" s="399" t="s">
        <v>623</v>
      </c>
      <c r="BH1348" s="252">
        <v>40</v>
      </c>
      <c r="BI1348" s="251" t="s">
        <v>450</v>
      </c>
      <c r="BJ1348" s="251" t="s">
        <v>350</v>
      </c>
      <c r="BK1348" s="251" t="s">
        <v>3832</v>
      </c>
      <c r="BL1348" s="251" t="s">
        <v>626</v>
      </c>
    </row>
    <row r="1349" spans="2:64" ht="15">
      <c r="B1349" s="84"/>
      <c r="D1349" s="84"/>
      <c r="E1349" s="84"/>
      <c r="F1349" s="84"/>
      <c r="G1349" s="84"/>
      <c r="R1349" s="251"/>
      <c r="S1349" s="251"/>
      <c r="BD1349" s="399">
        <v>1346</v>
      </c>
      <c r="BE1349" s="399" t="s">
        <v>3076</v>
      </c>
      <c r="BF1349" s="251" t="s">
        <v>3598</v>
      </c>
      <c r="BG1349" s="399" t="s">
        <v>623</v>
      </c>
      <c r="BH1349" s="252">
        <v>40</v>
      </c>
      <c r="BI1349" s="251" t="s">
        <v>2159</v>
      </c>
      <c r="BJ1349" s="251" t="s">
        <v>351</v>
      </c>
      <c r="BK1349" s="251" t="s">
        <v>3833</v>
      </c>
      <c r="BL1349" s="251" t="s">
        <v>626</v>
      </c>
    </row>
    <row r="1350" spans="2:64" ht="15">
      <c r="B1350" s="84"/>
      <c r="D1350" s="84"/>
      <c r="E1350" s="84"/>
      <c r="F1350" s="84"/>
      <c r="G1350" s="84"/>
      <c r="R1350" s="251"/>
      <c r="S1350" s="251"/>
      <c r="BD1350" s="399">
        <v>1347</v>
      </c>
      <c r="BE1350" s="399" t="s">
        <v>3834</v>
      </c>
      <c r="BF1350" s="251" t="s">
        <v>3598</v>
      </c>
      <c r="BG1350" s="399" t="s">
        <v>549</v>
      </c>
      <c r="BH1350" s="252">
        <v>41</v>
      </c>
      <c r="BI1350" s="251" t="s">
        <v>333</v>
      </c>
      <c r="BJ1350" s="251" t="s">
        <v>1855</v>
      </c>
      <c r="BK1350" s="251" t="s">
        <v>3835</v>
      </c>
      <c r="BL1350" s="251" t="s">
        <v>551</v>
      </c>
    </row>
    <row r="1351" spans="2:64" ht="15">
      <c r="B1351" s="84"/>
      <c r="D1351" s="84"/>
      <c r="E1351" s="84"/>
      <c r="F1351" s="84"/>
      <c r="G1351" s="84"/>
      <c r="R1351" s="251"/>
      <c r="S1351" s="251"/>
      <c r="BD1351" s="399">
        <v>1348</v>
      </c>
      <c r="BE1351" s="399" t="s">
        <v>3836</v>
      </c>
      <c r="BF1351" s="251" t="s">
        <v>3598</v>
      </c>
      <c r="BG1351" s="399" t="s">
        <v>549</v>
      </c>
      <c r="BH1351" s="252">
        <v>41</v>
      </c>
      <c r="BI1351" s="251" t="s">
        <v>3599</v>
      </c>
      <c r="BJ1351" s="251" t="s">
        <v>350</v>
      </c>
      <c r="BK1351" s="251" t="s">
        <v>3837</v>
      </c>
      <c r="BL1351" s="251" t="s">
        <v>551</v>
      </c>
    </row>
    <row r="1352" spans="2:64" ht="15">
      <c r="B1352" s="84"/>
      <c r="D1352" s="84"/>
      <c r="E1352" s="84"/>
      <c r="F1352" s="84"/>
      <c r="G1352" s="84"/>
      <c r="R1352" s="251"/>
      <c r="S1352" s="251"/>
      <c r="BD1352" s="399">
        <v>1349</v>
      </c>
      <c r="BE1352" s="399" t="s">
        <v>3838</v>
      </c>
      <c r="BF1352" s="251" t="s">
        <v>3598</v>
      </c>
      <c r="BG1352" s="399" t="s">
        <v>733</v>
      </c>
      <c r="BH1352" s="252">
        <v>42</v>
      </c>
      <c r="BI1352" s="251" t="s">
        <v>379</v>
      </c>
      <c r="BJ1352" s="251" t="s">
        <v>1855</v>
      </c>
      <c r="BK1352" s="251" t="s">
        <v>3839</v>
      </c>
      <c r="BL1352" s="251" t="s">
        <v>736</v>
      </c>
    </row>
    <row r="1353" spans="2:64" ht="15">
      <c r="B1353" s="84"/>
      <c r="D1353" s="84"/>
      <c r="E1353" s="84"/>
      <c r="F1353" s="84"/>
      <c r="G1353" s="84"/>
      <c r="R1353" s="251"/>
      <c r="S1353" s="251"/>
      <c r="BD1353" s="399">
        <v>1350</v>
      </c>
      <c r="BE1353" s="399" t="s">
        <v>3840</v>
      </c>
      <c r="BF1353" s="251" t="s">
        <v>3598</v>
      </c>
      <c r="BG1353" s="399" t="s">
        <v>733</v>
      </c>
      <c r="BH1353" s="252">
        <v>42</v>
      </c>
      <c r="BI1353" s="251" t="s">
        <v>379</v>
      </c>
      <c r="BJ1353" s="251" t="s">
        <v>728</v>
      </c>
      <c r="BK1353" s="251" t="s">
        <v>3841</v>
      </c>
      <c r="BL1353" s="251" t="s">
        <v>736</v>
      </c>
    </row>
    <row r="1354" spans="2:64" ht="15">
      <c r="B1354" s="84"/>
      <c r="D1354" s="84"/>
      <c r="E1354" s="84"/>
      <c r="F1354" s="84"/>
      <c r="G1354" s="84"/>
      <c r="R1354" s="251"/>
      <c r="S1354" s="251"/>
      <c r="BD1354" s="399">
        <v>1351</v>
      </c>
      <c r="BE1354" s="399" t="s">
        <v>3842</v>
      </c>
      <c r="BF1354" s="251" t="s">
        <v>3598</v>
      </c>
      <c r="BG1354" s="399" t="s">
        <v>733</v>
      </c>
      <c r="BH1354" s="252">
        <v>42</v>
      </c>
      <c r="BI1354" s="251" t="s">
        <v>3599</v>
      </c>
      <c r="BJ1354" s="251" t="s">
        <v>350</v>
      </c>
      <c r="BK1354" s="251" t="s">
        <v>3843</v>
      </c>
      <c r="BL1354" s="251" t="s">
        <v>736</v>
      </c>
    </row>
    <row r="1355" spans="2:64" ht="15">
      <c r="B1355" s="84"/>
      <c r="D1355" s="84"/>
      <c r="E1355" s="84"/>
      <c r="F1355" s="84"/>
      <c r="G1355" s="84"/>
      <c r="R1355" s="251"/>
      <c r="S1355" s="251"/>
      <c r="BD1355" s="399">
        <v>1352</v>
      </c>
      <c r="BE1355" s="399" t="s">
        <v>3844</v>
      </c>
      <c r="BF1355" s="251" t="s">
        <v>3598</v>
      </c>
      <c r="BG1355" s="399" t="s">
        <v>733</v>
      </c>
      <c r="BH1355" s="252">
        <v>42</v>
      </c>
      <c r="BI1355" s="251" t="s">
        <v>615</v>
      </c>
      <c r="BJ1355" s="251" t="s">
        <v>2333</v>
      </c>
      <c r="BK1355" s="251" t="s">
        <v>3845</v>
      </c>
      <c r="BL1355" s="251" t="s">
        <v>736</v>
      </c>
    </row>
    <row r="1356" spans="2:64" ht="15">
      <c r="B1356" s="84"/>
      <c r="D1356" s="84"/>
      <c r="E1356" s="84"/>
      <c r="F1356" s="84"/>
      <c r="G1356" s="84"/>
      <c r="R1356" s="251"/>
      <c r="S1356" s="251"/>
      <c r="BD1356" s="399">
        <v>1353</v>
      </c>
      <c r="BE1356" s="399" t="s">
        <v>3124</v>
      </c>
      <c r="BF1356" s="251" t="s">
        <v>3598</v>
      </c>
      <c r="BG1356" s="399" t="s">
        <v>733</v>
      </c>
      <c r="BH1356" s="252">
        <v>42</v>
      </c>
      <c r="BI1356" s="251" t="s">
        <v>615</v>
      </c>
      <c r="BJ1356" s="251" t="s">
        <v>1855</v>
      </c>
      <c r="BK1356" s="251" t="s">
        <v>3125</v>
      </c>
      <c r="BL1356" s="251" t="s">
        <v>736</v>
      </c>
    </row>
    <row r="1357" spans="2:64" ht="15">
      <c r="B1357" s="84"/>
      <c r="D1357" s="84"/>
      <c r="E1357" s="84"/>
      <c r="F1357" s="84"/>
      <c r="G1357" s="84"/>
      <c r="R1357" s="251"/>
      <c r="S1357" s="251"/>
      <c r="BD1357" s="399">
        <v>1354</v>
      </c>
      <c r="BE1357" s="399" t="s">
        <v>3846</v>
      </c>
      <c r="BF1357" s="251" t="s">
        <v>3598</v>
      </c>
      <c r="BG1357" s="399" t="s">
        <v>733</v>
      </c>
      <c r="BH1357" s="252">
        <v>42</v>
      </c>
      <c r="BI1357" s="251" t="s">
        <v>615</v>
      </c>
      <c r="BJ1357" s="251" t="s">
        <v>728</v>
      </c>
      <c r="BK1357" s="251" t="s">
        <v>3847</v>
      </c>
      <c r="BL1357" s="251" t="s">
        <v>736</v>
      </c>
    </row>
    <row r="1358" spans="2:64" ht="15">
      <c r="B1358" s="84"/>
      <c r="D1358" s="84"/>
      <c r="E1358" s="84"/>
      <c r="F1358" s="84"/>
      <c r="G1358" s="84"/>
      <c r="R1358" s="251"/>
      <c r="S1358" s="251"/>
      <c r="BD1358" s="399">
        <v>1355</v>
      </c>
      <c r="BE1358" s="399" t="s">
        <v>3848</v>
      </c>
      <c r="BF1358" s="251" t="s">
        <v>3598</v>
      </c>
      <c r="BG1358" s="399" t="s">
        <v>733</v>
      </c>
      <c r="BH1358" s="252">
        <v>42</v>
      </c>
      <c r="BI1358" s="251" t="s">
        <v>615</v>
      </c>
      <c r="BJ1358" s="251" t="s">
        <v>3604</v>
      </c>
      <c r="BK1358" s="251" t="s">
        <v>3849</v>
      </c>
      <c r="BL1358" s="251" t="s">
        <v>736</v>
      </c>
    </row>
    <row r="1359" spans="2:64" ht="15">
      <c r="B1359" s="84"/>
      <c r="D1359" s="84"/>
      <c r="E1359" s="84"/>
      <c r="F1359" s="84"/>
      <c r="G1359" s="84"/>
      <c r="R1359" s="251"/>
      <c r="S1359" s="251"/>
      <c r="BD1359" s="399">
        <v>1356</v>
      </c>
      <c r="BE1359" s="399" t="s">
        <v>3850</v>
      </c>
      <c r="BF1359" s="251" t="s">
        <v>3598</v>
      </c>
      <c r="BG1359" s="399" t="s">
        <v>733</v>
      </c>
      <c r="BH1359" s="252">
        <v>42</v>
      </c>
      <c r="BI1359" s="251" t="s">
        <v>477</v>
      </c>
      <c r="BJ1359" s="251" t="s">
        <v>728</v>
      </c>
      <c r="BK1359" s="251" t="s">
        <v>3851</v>
      </c>
      <c r="BL1359" s="251" t="s">
        <v>736</v>
      </c>
    </row>
    <row r="1360" spans="2:64" ht="15">
      <c r="B1360" s="84"/>
      <c r="D1360" s="84"/>
      <c r="E1360" s="84"/>
      <c r="F1360" s="84"/>
      <c r="G1360" s="84"/>
      <c r="R1360" s="251"/>
      <c r="S1360" s="251"/>
      <c r="BD1360" s="399">
        <v>1357</v>
      </c>
      <c r="BE1360" s="399" t="s">
        <v>3852</v>
      </c>
      <c r="BF1360" s="251" t="s">
        <v>3598</v>
      </c>
      <c r="BG1360" s="399" t="s">
        <v>733</v>
      </c>
      <c r="BH1360" s="252">
        <v>42</v>
      </c>
      <c r="BI1360" s="251" t="s">
        <v>477</v>
      </c>
      <c r="BJ1360" s="251" t="s">
        <v>3604</v>
      </c>
      <c r="BK1360" s="251" t="s">
        <v>3853</v>
      </c>
      <c r="BL1360" s="251" t="s">
        <v>736</v>
      </c>
    </row>
    <row r="1361" spans="2:64" ht="15">
      <c r="B1361" s="84"/>
      <c r="D1361" s="84"/>
      <c r="E1361" s="84"/>
      <c r="F1361" s="84"/>
      <c r="G1361" s="84"/>
      <c r="R1361" s="251"/>
      <c r="S1361" s="251"/>
      <c r="BD1361" s="399">
        <v>1358</v>
      </c>
      <c r="BE1361" s="399" t="s">
        <v>3130</v>
      </c>
      <c r="BF1361" s="251" t="s">
        <v>3598</v>
      </c>
      <c r="BG1361" s="399" t="s">
        <v>733</v>
      </c>
      <c r="BH1361" s="252">
        <v>42</v>
      </c>
      <c r="BI1361" s="251" t="s">
        <v>477</v>
      </c>
      <c r="BJ1361" s="251" t="s">
        <v>413</v>
      </c>
      <c r="BK1361" s="251" t="s">
        <v>3131</v>
      </c>
      <c r="BL1361" s="251" t="s">
        <v>736</v>
      </c>
    </row>
    <row r="1362" spans="2:64" ht="15">
      <c r="B1362" s="84"/>
      <c r="D1362" s="84"/>
      <c r="E1362" s="84"/>
      <c r="F1362" s="84"/>
      <c r="G1362" s="84"/>
      <c r="R1362" s="251"/>
      <c r="S1362" s="251"/>
      <c r="BD1362" s="399">
        <v>1359</v>
      </c>
      <c r="BE1362" s="399" t="s">
        <v>3142</v>
      </c>
      <c r="BF1362" s="251" t="s">
        <v>3598</v>
      </c>
      <c r="BG1362" s="399" t="s">
        <v>733</v>
      </c>
      <c r="BH1362" s="252">
        <v>42</v>
      </c>
      <c r="BI1362" s="251" t="s">
        <v>450</v>
      </c>
      <c r="BJ1362" s="251" t="s">
        <v>1855</v>
      </c>
      <c r="BK1362" s="251" t="s">
        <v>3143</v>
      </c>
      <c r="BL1362" s="251" t="s">
        <v>736</v>
      </c>
    </row>
    <row r="1363" spans="2:64" ht="15">
      <c r="B1363" s="84"/>
      <c r="D1363" s="84"/>
      <c r="E1363" s="84"/>
      <c r="F1363" s="84"/>
      <c r="G1363" s="84"/>
      <c r="R1363" s="251"/>
      <c r="S1363" s="251"/>
      <c r="BD1363" s="399">
        <v>1360</v>
      </c>
      <c r="BE1363" s="399" t="s">
        <v>3854</v>
      </c>
      <c r="BF1363" s="251" t="s">
        <v>3598</v>
      </c>
      <c r="BG1363" s="399" t="s">
        <v>733</v>
      </c>
      <c r="BH1363" s="252">
        <v>42</v>
      </c>
      <c r="BI1363" s="251" t="s">
        <v>450</v>
      </c>
      <c r="BJ1363" s="251" t="s">
        <v>728</v>
      </c>
      <c r="BK1363" s="251" t="s">
        <v>3855</v>
      </c>
      <c r="BL1363" s="251" t="s">
        <v>736</v>
      </c>
    </row>
    <row r="1364" spans="2:64" ht="15">
      <c r="B1364" s="84"/>
      <c r="D1364" s="84"/>
      <c r="E1364" s="84"/>
      <c r="F1364" s="84"/>
      <c r="G1364" s="84"/>
      <c r="R1364" s="251"/>
      <c r="S1364" s="251"/>
      <c r="BD1364" s="399">
        <v>1361</v>
      </c>
      <c r="BE1364" s="399" t="s">
        <v>3856</v>
      </c>
      <c r="BF1364" s="251" t="s">
        <v>3598</v>
      </c>
      <c r="BG1364" s="399" t="s">
        <v>733</v>
      </c>
      <c r="BH1364" s="252">
        <v>42</v>
      </c>
      <c r="BI1364" s="251" t="s">
        <v>450</v>
      </c>
      <c r="BJ1364" s="251" t="s">
        <v>350</v>
      </c>
      <c r="BK1364" s="251" t="s">
        <v>3857</v>
      </c>
      <c r="BL1364" s="251" t="s">
        <v>736</v>
      </c>
    </row>
    <row r="1365" spans="2:64" ht="15">
      <c r="B1365" s="84"/>
      <c r="D1365" s="84"/>
      <c r="E1365" s="84"/>
      <c r="F1365" s="84"/>
      <c r="G1365" s="84"/>
      <c r="R1365" s="251"/>
      <c r="S1365" s="251"/>
      <c r="BD1365" s="399">
        <v>1362</v>
      </c>
      <c r="BE1365" s="399" t="s">
        <v>3858</v>
      </c>
      <c r="BF1365" s="251" t="s">
        <v>3598</v>
      </c>
      <c r="BG1365" s="399" t="s">
        <v>733</v>
      </c>
      <c r="BH1365" s="252">
        <v>42</v>
      </c>
      <c r="BI1365" s="251" t="s">
        <v>450</v>
      </c>
      <c r="BJ1365" s="251" t="s">
        <v>1966</v>
      </c>
      <c r="BK1365" s="251" t="s">
        <v>3859</v>
      </c>
      <c r="BL1365" s="251" t="s">
        <v>736</v>
      </c>
    </row>
    <row r="1366" spans="2:64" ht="15">
      <c r="B1366" s="84"/>
      <c r="D1366" s="84"/>
      <c r="E1366" s="84"/>
      <c r="F1366" s="84"/>
      <c r="G1366" s="84"/>
      <c r="R1366" s="251"/>
      <c r="S1366" s="251"/>
      <c r="BD1366" s="399">
        <v>1363</v>
      </c>
      <c r="BE1366" s="399" t="s">
        <v>3860</v>
      </c>
      <c r="BF1366" s="251" t="s">
        <v>3598</v>
      </c>
      <c r="BG1366" s="399" t="s">
        <v>733</v>
      </c>
      <c r="BH1366" s="252">
        <v>42</v>
      </c>
      <c r="BI1366" s="251" t="s">
        <v>2530</v>
      </c>
      <c r="BJ1366" s="251" t="s">
        <v>728</v>
      </c>
      <c r="BK1366" s="251" t="s">
        <v>3861</v>
      </c>
      <c r="BL1366" s="251" t="s">
        <v>736</v>
      </c>
    </row>
    <row r="1367" spans="2:64" ht="15">
      <c r="B1367" s="84"/>
      <c r="D1367" s="84"/>
      <c r="E1367" s="84"/>
      <c r="F1367" s="84"/>
      <c r="G1367" s="84"/>
      <c r="R1367" s="251"/>
      <c r="S1367" s="251"/>
      <c r="BD1367" s="399">
        <v>1364</v>
      </c>
      <c r="BE1367" s="399" t="s">
        <v>3862</v>
      </c>
      <c r="BF1367" s="251" t="s">
        <v>3598</v>
      </c>
      <c r="BG1367" s="399" t="s">
        <v>733</v>
      </c>
      <c r="BH1367" s="252">
        <v>42</v>
      </c>
      <c r="BI1367" s="251" t="s">
        <v>3714</v>
      </c>
      <c r="BJ1367" s="251" t="s">
        <v>380</v>
      </c>
      <c r="BK1367" s="251" t="s">
        <v>3863</v>
      </c>
      <c r="BL1367" s="251" t="s">
        <v>736</v>
      </c>
    </row>
    <row r="1368" spans="2:64" ht="15">
      <c r="B1368" s="84"/>
      <c r="D1368" s="84"/>
      <c r="E1368" s="84"/>
      <c r="F1368" s="84"/>
      <c r="G1368" s="84"/>
      <c r="R1368" s="251"/>
      <c r="S1368" s="251"/>
      <c r="BD1368" s="399">
        <v>1365</v>
      </c>
      <c r="BE1368" s="399" t="s">
        <v>3864</v>
      </c>
      <c r="BF1368" s="251" t="s">
        <v>3598</v>
      </c>
      <c r="BG1368" s="399" t="s">
        <v>449</v>
      </c>
      <c r="BH1368" s="252">
        <v>43</v>
      </c>
      <c r="BI1368" s="251" t="s">
        <v>524</v>
      </c>
      <c r="BJ1368" s="251" t="s">
        <v>2509</v>
      </c>
      <c r="BK1368" s="251" t="s">
        <v>3865</v>
      </c>
      <c r="BL1368" s="251" t="s">
        <v>452</v>
      </c>
    </row>
    <row r="1369" spans="2:64" ht="15">
      <c r="B1369" s="84"/>
      <c r="D1369" s="84"/>
      <c r="E1369" s="84"/>
      <c r="F1369" s="84"/>
      <c r="G1369" s="84"/>
      <c r="R1369" s="251"/>
      <c r="S1369" s="251"/>
      <c r="BD1369" s="399">
        <v>1366</v>
      </c>
      <c r="BE1369" s="399" t="s">
        <v>3866</v>
      </c>
      <c r="BF1369" s="251" t="s">
        <v>3598</v>
      </c>
      <c r="BG1369" s="399" t="s">
        <v>449</v>
      </c>
      <c r="BH1369" s="252">
        <v>43</v>
      </c>
      <c r="BI1369" s="251" t="s">
        <v>379</v>
      </c>
      <c r="BJ1369" s="251" t="s">
        <v>728</v>
      </c>
      <c r="BK1369" s="251" t="s">
        <v>3867</v>
      </c>
      <c r="BL1369" s="251" t="s">
        <v>452</v>
      </c>
    </row>
    <row r="1370" spans="2:64" ht="15">
      <c r="B1370" s="84"/>
      <c r="D1370" s="84"/>
      <c r="E1370" s="84"/>
      <c r="F1370" s="84"/>
      <c r="G1370" s="84"/>
      <c r="R1370" s="251"/>
      <c r="S1370" s="251"/>
      <c r="BD1370" s="399">
        <v>1367</v>
      </c>
      <c r="BE1370" s="399" t="s">
        <v>3868</v>
      </c>
      <c r="BF1370" s="251" t="s">
        <v>3598</v>
      </c>
      <c r="BG1370" s="399" t="s">
        <v>449</v>
      </c>
      <c r="BH1370" s="252">
        <v>43</v>
      </c>
      <c r="BI1370" s="251" t="s">
        <v>615</v>
      </c>
      <c r="BJ1370" s="251" t="s">
        <v>3604</v>
      </c>
      <c r="BK1370" s="251" t="s">
        <v>3869</v>
      </c>
      <c r="BL1370" s="251" t="s">
        <v>452</v>
      </c>
    </row>
    <row r="1371" spans="2:64" ht="15">
      <c r="B1371" s="84"/>
      <c r="D1371" s="84"/>
      <c r="E1371" s="84"/>
      <c r="F1371" s="84"/>
      <c r="G1371" s="84"/>
      <c r="R1371" s="251"/>
      <c r="S1371" s="251"/>
      <c r="BD1371" s="399">
        <v>1368</v>
      </c>
      <c r="BE1371" s="399" t="s">
        <v>3870</v>
      </c>
      <c r="BF1371" s="251" t="s">
        <v>3598</v>
      </c>
      <c r="BG1371" s="399" t="s">
        <v>449</v>
      </c>
      <c r="BH1371" s="252">
        <v>43</v>
      </c>
      <c r="BI1371" s="251" t="s">
        <v>477</v>
      </c>
      <c r="BJ1371" s="251" t="s">
        <v>1855</v>
      </c>
      <c r="BK1371" s="251" t="s">
        <v>3871</v>
      </c>
      <c r="BL1371" s="251" t="s">
        <v>452</v>
      </c>
    </row>
    <row r="1372" spans="2:64" ht="15">
      <c r="B1372" s="84"/>
      <c r="D1372" s="84"/>
      <c r="E1372" s="84"/>
      <c r="F1372" s="84"/>
      <c r="G1372" s="84"/>
      <c r="R1372" s="251"/>
      <c r="S1372" s="251"/>
      <c r="BD1372" s="399">
        <v>1369</v>
      </c>
      <c r="BE1372" s="399" t="s">
        <v>3872</v>
      </c>
      <c r="BF1372" s="251" t="s">
        <v>3598</v>
      </c>
      <c r="BG1372" s="399" t="s">
        <v>449</v>
      </c>
      <c r="BH1372" s="252">
        <v>43</v>
      </c>
      <c r="BI1372" s="251" t="s">
        <v>477</v>
      </c>
      <c r="BJ1372" s="251" t="s">
        <v>728</v>
      </c>
      <c r="BK1372" s="251" t="s">
        <v>3873</v>
      </c>
      <c r="BL1372" s="251" t="s">
        <v>452</v>
      </c>
    </row>
    <row r="1373" spans="2:64" ht="15">
      <c r="B1373" s="84"/>
      <c r="D1373" s="84"/>
      <c r="E1373" s="84"/>
      <c r="F1373" s="84"/>
      <c r="G1373" s="84"/>
      <c r="R1373" s="251"/>
      <c r="S1373" s="251"/>
      <c r="BD1373" s="399">
        <v>1370</v>
      </c>
      <c r="BE1373" s="399" t="s">
        <v>3874</v>
      </c>
      <c r="BF1373" s="251" t="s">
        <v>3598</v>
      </c>
      <c r="BG1373" s="399" t="s">
        <v>449</v>
      </c>
      <c r="BH1373" s="252">
        <v>43</v>
      </c>
      <c r="BI1373" s="251" t="s">
        <v>477</v>
      </c>
      <c r="BJ1373" s="251" t="s">
        <v>3604</v>
      </c>
      <c r="BK1373" s="251" t="s">
        <v>3875</v>
      </c>
      <c r="BL1373" s="251" t="s">
        <v>452</v>
      </c>
    </row>
    <row r="1374" spans="2:64" ht="15">
      <c r="B1374" s="84"/>
      <c r="D1374" s="84"/>
      <c r="E1374" s="84"/>
      <c r="F1374" s="84"/>
      <c r="G1374" s="84"/>
      <c r="R1374" s="251"/>
      <c r="S1374" s="251"/>
      <c r="BD1374" s="399">
        <v>1371</v>
      </c>
      <c r="BE1374" s="399" t="s">
        <v>3876</v>
      </c>
      <c r="BF1374" s="251" t="s">
        <v>3598</v>
      </c>
      <c r="BG1374" s="399" t="s">
        <v>449</v>
      </c>
      <c r="BH1374" s="252">
        <v>43</v>
      </c>
      <c r="BI1374" s="251" t="s">
        <v>2530</v>
      </c>
      <c r="BJ1374" s="251" t="s">
        <v>3604</v>
      </c>
      <c r="BK1374" s="251" t="s">
        <v>3877</v>
      </c>
      <c r="BL1374" s="251" t="s">
        <v>452</v>
      </c>
    </row>
    <row r="1375" spans="2:64" ht="15">
      <c r="B1375" s="84"/>
      <c r="D1375" s="84"/>
      <c r="E1375" s="84"/>
      <c r="F1375" s="84"/>
      <c r="G1375" s="84"/>
      <c r="R1375" s="251"/>
      <c r="S1375" s="251"/>
      <c r="BD1375" s="399">
        <v>1372</v>
      </c>
      <c r="BE1375" s="399" t="s">
        <v>3878</v>
      </c>
      <c r="BF1375" s="251" t="s">
        <v>3598</v>
      </c>
      <c r="BG1375" s="399" t="s">
        <v>590</v>
      </c>
      <c r="BH1375" s="252" t="s">
        <v>2031</v>
      </c>
      <c r="BI1375" s="251" t="s">
        <v>524</v>
      </c>
      <c r="BJ1375" s="251" t="s">
        <v>380</v>
      </c>
      <c r="BK1375" s="251" t="s">
        <v>3879</v>
      </c>
      <c r="BL1375" s="251" t="s">
        <v>592</v>
      </c>
    </row>
    <row r="1376" spans="2:64" ht="15">
      <c r="B1376" s="84"/>
      <c r="D1376" s="84"/>
      <c r="E1376" s="84"/>
      <c r="F1376" s="84"/>
      <c r="G1376" s="84"/>
      <c r="R1376" s="251"/>
      <c r="S1376" s="251"/>
      <c r="BD1376" s="399">
        <v>1373</v>
      </c>
      <c r="BE1376" s="399" t="s">
        <v>3880</v>
      </c>
      <c r="BF1376" s="251" t="s">
        <v>3598</v>
      </c>
      <c r="BG1376" s="399" t="s">
        <v>602</v>
      </c>
      <c r="BH1376" s="252">
        <v>47</v>
      </c>
      <c r="BI1376" s="251" t="s">
        <v>333</v>
      </c>
      <c r="BJ1376" s="251" t="s">
        <v>2333</v>
      </c>
      <c r="BK1376" s="251" t="s">
        <v>3881</v>
      </c>
      <c r="BL1376" s="251" t="s">
        <v>604</v>
      </c>
    </row>
    <row r="1377" spans="2:64" ht="15">
      <c r="B1377" s="84"/>
      <c r="D1377" s="84"/>
      <c r="E1377" s="84"/>
      <c r="F1377" s="84"/>
      <c r="G1377" s="84"/>
      <c r="R1377" s="251"/>
      <c r="S1377" s="251"/>
      <c r="BD1377" s="399">
        <v>1374</v>
      </c>
      <c r="BE1377" s="399" t="s">
        <v>3882</v>
      </c>
      <c r="BF1377" s="251" t="s">
        <v>3598</v>
      </c>
      <c r="BG1377" s="399" t="s">
        <v>602</v>
      </c>
      <c r="BH1377" s="252">
        <v>47</v>
      </c>
      <c r="BI1377" s="251" t="s">
        <v>333</v>
      </c>
      <c r="BJ1377" s="251" t="s">
        <v>1855</v>
      </c>
      <c r="BK1377" s="251" t="s">
        <v>3883</v>
      </c>
      <c r="BL1377" s="251" t="s">
        <v>604</v>
      </c>
    </row>
    <row r="1378" spans="2:64" ht="15">
      <c r="B1378" s="84"/>
      <c r="D1378" s="84"/>
      <c r="E1378" s="84"/>
      <c r="F1378" s="84"/>
      <c r="G1378" s="84"/>
      <c r="R1378" s="251"/>
      <c r="S1378" s="251"/>
      <c r="BD1378" s="399">
        <v>1375</v>
      </c>
      <c r="BE1378" s="399" t="s">
        <v>3884</v>
      </c>
      <c r="BF1378" s="251" t="s">
        <v>3598</v>
      </c>
      <c r="BG1378" s="399" t="s">
        <v>602</v>
      </c>
      <c r="BH1378" s="252">
        <v>47</v>
      </c>
      <c r="BI1378" s="251" t="s">
        <v>333</v>
      </c>
      <c r="BJ1378" s="251" t="s">
        <v>728</v>
      </c>
      <c r="BK1378" s="251" t="s">
        <v>3885</v>
      </c>
      <c r="BL1378" s="251" t="s">
        <v>604</v>
      </c>
    </row>
    <row r="1379" spans="2:64" ht="15">
      <c r="B1379" s="84"/>
      <c r="D1379" s="84"/>
      <c r="E1379" s="84"/>
      <c r="F1379" s="84"/>
      <c r="G1379" s="84"/>
      <c r="R1379" s="251"/>
      <c r="S1379" s="251"/>
      <c r="BD1379" s="399">
        <v>1376</v>
      </c>
      <c r="BE1379" s="399" t="s">
        <v>3886</v>
      </c>
      <c r="BF1379" s="251" t="s">
        <v>3598</v>
      </c>
      <c r="BG1379" s="399" t="s">
        <v>602</v>
      </c>
      <c r="BH1379" s="252">
        <v>47</v>
      </c>
      <c r="BI1379" s="251" t="s">
        <v>333</v>
      </c>
      <c r="BJ1379" s="251" t="s">
        <v>350</v>
      </c>
      <c r="BK1379" s="251" t="s">
        <v>3887</v>
      </c>
      <c r="BL1379" s="251" t="s">
        <v>604</v>
      </c>
    </row>
    <row r="1380" spans="2:64" ht="15">
      <c r="B1380" s="84"/>
      <c r="D1380" s="84"/>
      <c r="E1380" s="84"/>
      <c r="F1380" s="84"/>
      <c r="G1380" s="84"/>
      <c r="R1380" s="251"/>
      <c r="S1380" s="251"/>
      <c r="BD1380" s="399">
        <v>1377</v>
      </c>
      <c r="BE1380" s="399" t="s">
        <v>3888</v>
      </c>
      <c r="BF1380" s="251" t="s">
        <v>3598</v>
      </c>
      <c r="BG1380" s="399" t="s">
        <v>602</v>
      </c>
      <c r="BH1380" s="252">
        <v>47</v>
      </c>
      <c r="BI1380" s="251" t="s">
        <v>365</v>
      </c>
      <c r="BJ1380" s="251" t="s">
        <v>1855</v>
      </c>
      <c r="BK1380" s="251" t="s">
        <v>3889</v>
      </c>
      <c r="BL1380" s="251" t="s">
        <v>604</v>
      </c>
    </row>
    <row r="1381" spans="2:64" ht="15">
      <c r="B1381" s="84"/>
      <c r="D1381" s="84"/>
      <c r="E1381" s="84"/>
      <c r="F1381" s="84"/>
      <c r="G1381" s="84"/>
      <c r="R1381" s="251"/>
      <c r="S1381" s="251"/>
      <c r="BD1381" s="399">
        <v>1378</v>
      </c>
      <c r="BE1381" s="399" t="s">
        <v>3890</v>
      </c>
      <c r="BF1381" s="251" t="s">
        <v>3598</v>
      </c>
      <c r="BG1381" s="399" t="s">
        <v>602</v>
      </c>
      <c r="BH1381" s="252">
        <v>47</v>
      </c>
      <c r="BI1381" s="251" t="s">
        <v>365</v>
      </c>
      <c r="BJ1381" s="251" t="s">
        <v>728</v>
      </c>
      <c r="BK1381" s="251" t="s">
        <v>3891</v>
      </c>
      <c r="BL1381" s="251" t="s">
        <v>604</v>
      </c>
    </row>
    <row r="1382" spans="2:64" ht="15">
      <c r="B1382" s="84"/>
      <c r="D1382" s="84"/>
      <c r="E1382" s="84"/>
      <c r="F1382" s="84"/>
      <c r="G1382" s="84"/>
      <c r="R1382" s="251"/>
      <c r="S1382" s="251"/>
      <c r="BD1382" s="399">
        <v>1379</v>
      </c>
      <c r="BE1382" s="399" t="s">
        <v>3892</v>
      </c>
      <c r="BF1382" s="251" t="s">
        <v>3598</v>
      </c>
      <c r="BG1382" s="399" t="s">
        <v>602</v>
      </c>
      <c r="BH1382" s="252">
        <v>47</v>
      </c>
      <c r="BI1382" s="251" t="s">
        <v>365</v>
      </c>
      <c r="BJ1382" s="251" t="s">
        <v>350</v>
      </c>
      <c r="BK1382" s="251" t="s">
        <v>3893</v>
      </c>
      <c r="BL1382" s="251" t="s">
        <v>604</v>
      </c>
    </row>
    <row r="1383" spans="2:64" ht="15">
      <c r="B1383" s="84"/>
      <c r="D1383" s="84"/>
      <c r="E1383" s="84"/>
      <c r="F1383" s="84"/>
      <c r="G1383" s="84"/>
      <c r="R1383" s="251"/>
      <c r="S1383" s="251"/>
      <c r="BD1383" s="399">
        <v>1380</v>
      </c>
      <c r="BE1383" s="399" t="s">
        <v>3894</v>
      </c>
      <c r="BF1383" s="251" t="s">
        <v>3598</v>
      </c>
      <c r="BG1383" s="399" t="s">
        <v>602</v>
      </c>
      <c r="BH1383" s="252">
        <v>47</v>
      </c>
      <c r="BI1383" s="251" t="s">
        <v>365</v>
      </c>
      <c r="BJ1383" s="251" t="s">
        <v>3604</v>
      </c>
      <c r="BK1383" s="251" t="s">
        <v>3895</v>
      </c>
      <c r="BL1383" s="251" t="s">
        <v>604</v>
      </c>
    </row>
    <row r="1384" spans="2:64" ht="15">
      <c r="B1384" s="84"/>
      <c r="D1384" s="84"/>
      <c r="E1384" s="84"/>
      <c r="F1384" s="84"/>
      <c r="G1384" s="84"/>
      <c r="R1384" s="251"/>
      <c r="S1384" s="251"/>
      <c r="BD1384" s="399">
        <v>1381</v>
      </c>
      <c r="BE1384" s="399" t="s">
        <v>3896</v>
      </c>
      <c r="BF1384" s="251" t="s">
        <v>3598</v>
      </c>
      <c r="BG1384" s="399" t="s">
        <v>602</v>
      </c>
      <c r="BH1384" s="252">
        <v>47</v>
      </c>
      <c r="BI1384" s="251" t="s">
        <v>379</v>
      </c>
      <c r="BJ1384" s="251" t="s">
        <v>2333</v>
      </c>
      <c r="BK1384" s="251" t="s">
        <v>3897</v>
      </c>
      <c r="BL1384" s="251" t="s">
        <v>604</v>
      </c>
    </row>
    <row r="1385" spans="2:64" ht="15">
      <c r="B1385" s="84"/>
      <c r="D1385" s="84"/>
      <c r="E1385" s="84"/>
      <c r="F1385" s="84"/>
      <c r="G1385" s="84"/>
      <c r="R1385" s="251"/>
      <c r="S1385" s="251"/>
      <c r="BD1385" s="399">
        <v>1382</v>
      </c>
      <c r="BE1385" s="399" t="s">
        <v>3898</v>
      </c>
      <c r="BF1385" s="251" t="s">
        <v>3598</v>
      </c>
      <c r="BG1385" s="399" t="s">
        <v>602</v>
      </c>
      <c r="BH1385" s="252">
        <v>47</v>
      </c>
      <c r="BI1385" s="251" t="s">
        <v>379</v>
      </c>
      <c r="BJ1385" s="251" t="s">
        <v>1855</v>
      </c>
      <c r="BK1385" s="251" t="s">
        <v>3899</v>
      </c>
      <c r="BL1385" s="251" t="s">
        <v>604</v>
      </c>
    </row>
    <row r="1386" spans="2:64" ht="15">
      <c r="B1386" s="84"/>
      <c r="D1386" s="84"/>
      <c r="E1386" s="84"/>
      <c r="F1386" s="84"/>
      <c r="G1386" s="84"/>
      <c r="R1386" s="251"/>
      <c r="S1386" s="251"/>
      <c r="BD1386" s="399">
        <v>1383</v>
      </c>
      <c r="BE1386" s="399" t="s">
        <v>3900</v>
      </c>
      <c r="BF1386" s="251" t="s">
        <v>3598</v>
      </c>
      <c r="BG1386" s="399" t="s">
        <v>602</v>
      </c>
      <c r="BH1386" s="252">
        <v>47</v>
      </c>
      <c r="BI1386" s="251" t="s">
        <v>379</v>
      </c>
      <c r="BJ1386" s="251" t="s">
        <v>728</v>
      </c>
      <c r="BK1386" s="251" t="s">
        <v>3901</v>
      </c>
      <c r="BL1386" s="251" t="s">
        <v>604</v>
      </c>
    </row>
    <row r="1387" spans="2:64" ht="15">
      <c r="B1387" s="84"/>
      <c r="D1387" s="84"/>
      <c r="E1387" s="84"/>
      <c r="F1387" s="84"/>
      <c r="G1387" s="84"/>
      <c r="R1387" s="251"/>
      <c r="S1387" s="251"/>
      <c r="BD1387" s="399">
        <v>1384</v>
      </c>
      <c r="BE1387" s="399" t="s">
        <v>3902</v>
      </c>
      <c r="BF1387" s="251" t="s">
        <v>3598</v>
      </c>
      <c r="BG1387" s="399" t="s">
        <v>602</v>
      </c>
      <c r="BH1387" s="252">
        <v>47</v>
      </c>
      <c r="BI1387" s="251" t="s">
        <v>379</v>
      </c>
      <c r="BJ1387" s="251" t="s">
        <v>350</v>
      </c>
      <c r="BK1387" s="251" t="s">
        <v>3903</v>
      </c>
      <c r="BL1387" s="251" t="s">
        <v>604</v>
      </c>
    </row>
    <row r="1388" spans="2:64" ht="15">
      <c r="B1388" s="84"/>
      <c r="D1388" s="84"/>
      <c r="E1388" s="84"/>
      <c r="F1388" s="84"/>
      <c r="G1388" s="84"/>
      <c r="R1388" s="251"/>
      <c r="S1388" s="251"/>
      <c r="BD1388" s="399">
        <v>1385</v>
      </c>
      <c r="BE1388" s="399" t="s">
        <v>3904</v>
      </c>
      <c r="BF1388" s="251" t="s">
        <v>3598</v>
      </c>
      <c r="BG1388" s="399" t="s">
        <v>602</v>
      </c>
      <c r="BH1388" s="252">
        <v>47</v>
      </c>
      <c r="BI1388" s="251" t="s">
        <v>379</v>
      </c>
      <c r="BJ1388" s="251" t="s">
        <v>3604</v>
      </c>
      <c r="BK1388" s="251" t="s">
        <v>3905</v>
      </c>
      <c r="BL1388" s="251" t="s">
        <v>604</v>
      </c>
    </row>
    <row r="1389" spans="2:64" ht="15">
      <c r="B1389" s="84"/>
      <c r="D1389" s="84"/>
      <c r="E1389" s="84"/>
      <c r="F1389" s="84"/>
      <c r="G1389" s="84"/>
      <c r="R1389" s="251"/>
      <c r="S1389" s="251"/>
      <c r="BD1389" s="399">
        <v>1386</v>
      </c>
      <c r="BE1389" s="399" t="s">
        <v>3906</v>
      </c>
      <c r="BF1389" s="251" t="s">
        <v>3598</v>
      </c>
      <c r="BG1389" s="399" t="s">
        <v>602</v>
      </c>
      <c r="BH1389" s="252">
        <v>47</v>
      </c>
      <c r="BI1389" s="251" t="s">
        <v>615</v>
      </c>
      <c r="BJ1389" s="251" t="s">
        <v>2416</v>
      </c>
      <c r="BK1389" s="251" t="s">
        <v>3907</v>
      </c>
      <c r="BL1389" s="251" t="s">
        <v>604</v>
      </c>
    </row>
    <row r="1390" spans="2:64" ht="15">
      <c r="B1390" s="84"/>
      <c r="D1390" s="84"/>
      <c r="E1390" s="84"/>
      <c r="F1390" s="84"/>
      <c r="G1390" s="84"/>
      <c r="R1390" s="251"/>
      <c r="S1390" s="251"/>
      <c r="BD1390" s="399">
        <v>1387</v>
      </c>
      <c r="BE1390" s="399" t="s">
        <v>3908</v>
      </c>
      <c r="BF1390" s="251" t="s">
        <v>3598</v>
      </c>
      <c r="BG1390" s="399" t="s">
        <v>602</v>
      </c>
      <c r="BH1390" s="252">
        <v>47</v>
      </c>
      <c r="BI1390" s="251" t="s">
        <v>615</v>
      </c>
      <c r="BJ1390" s="251" t="s">
        <v>1855</v>
      </c>
      <c r="BK1390" s="251" t="s">
        <v>3909</v>
      </c>
      <c r="BL1390" s="251" t="s">
        <v>604</v>
      </c>
    </row>
    <row r="1391" spans="2:64" ht="15">
      <c r="B1391" s="84"/>
      <c r="D1391" s="84"/>
      <c r="E1391" s="84"/>
      <c r="F1391" s="84"/>
      <c r="G1391" s="84"/>
      <c r="R1391" s="251"/>
      <c r="S1391" s="251"/>
      <c r="BD1391" s="399">
        <v>1388</v>
      </c>
      <c r="BE1391" s="399" t="s">
        <v>3910</v>
      </c>
      <c r="BF1391" s="251" t="s">
        <v>3598</v>
      </c>
      <c r="BG1391" s="399" t="s">
        <v>602</v>
      </c>
      <c r="BH1391" s="252">
        <v>47</v>
      </c>
      <c r="BI1391" s="251" t="s">
        <v>615</v>
      </c>
      <c r="BJ1391" s="251" t="s">
        <v>728</v>
      </c>
      <c r="BK1391" s="251" t="s">
        <v>3911</v>
      </c>
      <c r="BL1391" s="251" t="s">
        <v>604</v>
      </c>
    </row>
    <row r="1392" spans="2:64" ht="15">
      <c r="B1392" s="84"/>
      <c r="D1392" s="84"/>
      <c r="E1392" s="84"/>
      <c r="F1392" s="84"/>
      <c r="G1392" s="84"/>
      <c r="R1392" s="251"/>
      <c r="S1392" s="251"/>
      <c r="BD1392" s="399">
        <v>1389</v>
      </c>
      <c r="BE1392" s="399" t="s">
        <v>3912</v>
      </c>
      <c r="BF1392" s="251" t="s">
        <v>3598</v>
      </c>
      <c r="BG1392" s="399" t="s">
        <v>602</v>
      </c>
      <c r="BH1392" s="252">
        <v>47</v>
      </c>
      <c r="BI1392" s="251" t="s">
        <v>615</v>
      </c>
      <c r="BJ1392" s="251" t="s">
        <v>350</v>
      </c>
      <c r="BK1392" s="251" t="s">
        <v>3913</v>
      </c>
      <c r="BL1392" s="251" t="s">
        <v>604</v>
      </c>
    </row>
    <row r="1393" spans="2:64" ht="15">
      <c r="B1393" s="84"/>
      <c r="D1393" s="84"/>
      <c r="E1393" s="84"/>
      <c r="F1393" s="84"/>
      <c r="G1393" s="84"/>
      <c r="R1393" s="251"/>
      <c r="S1393" s="251"/>
      <c r="BD1393" s="399">
        <v>1390</v>
      </c>
      <c r="BE1393" s="399" t="s">
        <v>3914</v>
      </c>
      <c r="BF1393" s="251" t="s">
        <v>3598</v>
      </c>
      <c r="BG1393" s="399" t="s">
        <v>602</v>
      </c>
      <c r="BH1393" s="252">
        <v>47</v>
      </c>
      <c r="BI1393" s="251" t="s">
        <v>615</v>
      </c>
      <c r="BJ1393" s="251" t="s">
        <v>3604</v>
      </c>
      <c r="BK1393" s="251" t="s">
        <v>3915</v>
      </c>
      <c r="BL1393" s="251" t="s">
        <v>604</v>
      </c>
    </row>
    <row r="1394" spans="2:64" ht="15">
      <c r="B1394" s="84"/>
      <c r="D1394" s="84"/>
      <c r="E1394" s="84"/>
      <c r="F1394" s="84"/>
      <c r="G1394" s="84"/>
      <c r="R1394" s="251"/>
      <c r="S1394" s="251"/>
      <c r="BD1394" s="399">
        <v>1391</v>
      </c>
      <c r="BE1394" s="399" t="s">
        <v>3916</v>
      </c>
      <c r="BF1394" s="251" t="s">
        <v>3598</v>
      </c>
      <c r="BG1394" s="399" t="s">
        <v>602</v>
      </c>
      <c r="BH1394" s="252">
        <v>47</v>
      </c>
      <c r="BI1394" s="251" t="s">
        <v>615</v>
      </c>
      <c r="BJ1394" s="251" t="s">
        <v>3714</v>
      </c>
      <c r="BK1394" s="251" t="s">
        <v>3917</v>
      </c>
      <c r="BL1394" s="251" t="s">
        <v>604</v>
      </c>
    </row>
    <row r="1395" spans="2:64" ht="15">
      <c r="B1395" s="84"/>
      <c r="D1395" s="84"/>
      <c r="E1395" s="84"/>
      <c r="F1395" s="84"/>
      <c r="G1395" s="84"/>
      <c r="R1395" s="251"/>
      <c r="S1395" s="251"/>
      <c r="BD1395" s="399">
        <v>1392</v>
      </c>
      <c r="BE1395" s="399" t="s">
        <v>3918</v>
      </c>
      <c r="BF1395" s="251" t="s">
        <v>3598</v>
      </c>
      <c r="BG1395" s="399" t="s">
        <v>602</v>
      </c>
      <c r="BH1395" s="252">
        <v>47</v>
      </c>
      <c r="BI1395" s="251" t="s">
        <v>477</v>
      </c>
      <c r="BJ1395" s="251" t="s">
        <v>1855</v>
      </c>
      <c r="BK1395" s="251" t="s">
        <v>3919</v>
      </c>
      <c r="BL1395" s="251" t="s">
        <v>604</v>
      </c>
    </row>
    <row r="1396" spans="2:64" ht="15">
      <c r="B1396" s="84"/>
      <c r="D1396" s="84"/>
      <c r="E1396" s="84"/>
      <c r="F1396" s="84"/>
      <c r="G1396" s="84"/>
      <c r="R1396" s="251"/>
      <c r="S1396" s="251"/>
      <c r="BD1396" s="399">
        <v>1393</v>
      </c>
      <c r="BE1396" s="399" t="s">
        <v>3920</v>
      </c>
      <c r="BF1396" s="251" t="s">
        <v>3598</v>
      </c>
      <c r="BG1396" s="399" t="s">
        <v>602</v>
      </c>
      <c r="BH1396" s="252">
        <v>47</v>
      </c>
      <c r="BI1396" s="251" t="s">
        <v>477</v>
      </c>
      <c r="BJ1396" s="251" t="s">
        <v>2333</v>
      </c>
      <c r="BK1396" s="251" t="s">
        <v>3921</v>
      </c>
      <c r="BL1396" s="251" t="s">
        <v>604</v>
      </c>
    </row>
    <row r="1397" spans="2:64" ht="15">
      <c r="B1397" s="84"/>
      <c r="D1397" s="84"/>
      <c r="E1397" s="84"/>
      <c r="F1397" s="84"/>
      <c r="G1397" s="84"/>
      <c r="R1397" s="251"/>
      <c r="S1397" s="251"/>
      <c r="BD1397" s="399">
        <v>1394</v>
      </c>
      <c r="BE1397" s="399" t="s">
        <v>3922</v>
      </c>
      <c r="BF1397" s="251" t="s">
        <v>3598</v>
      </c>
      <c r="BG1397" s="399" t="s">
        <v>602</v>
      </c>
      <c r="BH1397" s="252">
        <v>47</v>
      </c>
      <c r="BI1397" s="251" t="s">
        <v>477</v>
      </c>
      <c r="BJ1397" s="251" t="s">
        <v>728</v>
      </c>
      <c r="BK1397" s="251" t="s">
        <v>3923</v>
      </c>
      <c r="BL1397" s="251" t="s">
        <v>604</v>
      </c>
    </row>
    <row r="1398" spans="2:64" ht="15">
      <c r="B1398" s="84"/>
      <c r="D1398" s="84"/>
      <c r="E1398" s="84"/>
      <c r="F1398" s="84"/>
      <c r="G1398" s="84"/>
      <c r="R1398" s="251"/>
      <c r="S1398" s="251"/>
      <c r="BD1398" s="399">
        <v>1395</v>
      </c>
      <c r="BE1398" s="399" t="s">
        <v>3924</v>
      </c>
      <c r="BF1398" s="251" t="s">
        <v>3598</v>
      </c>
      <c r="BG1398" s="399" t="s">
        <v>602</v>
      </c>
      <c r="BH1398" s="252">
        <v>47</v>
      </c>
      <c r="BI1398" s="251" t="s">
        <v>647</v>
      </c>
      <c r="BJ1398" s="251" t="s">
        <v>350</v>
      </c>
      <c r="BK1398" s="251" t="s">
        <v>3925</v>
      </c>
      <c r="BL1398" s="251" t="s">
        <v>604</v>
      </c>
    </row>
    <row r="1399" spans="2:64" ht="15">
      <c r="B1399" s="84"/>
      <c r="D1399" s="84"/>
      <c r="E1399" s="84"/>
      <c r="F1399" s="84"/>
      <c r="G1399" s="84"/>
      <c r="R1399" s="251"/>
      <c r="S1399" s="251"/>
      <c r="BD1399" s="399">
        <v>1396</v>
      </c>
      <c r="BE1399" s="399" t="s">
        <v>3926</v>
      </c>
      <c r="BF1399" s="251" t="s">
        <v>3598</v>
      </c>
      <c r="BG1399" s="399" t="s">
        <v>602</v>
      </c>
      <c r="BH1399" s="252">
        <v>47</v>
      </c>
      <c r="BI1399" s="251" t="s">
        <v>477</v>
      </c>
      <c r="BJ1399" s="251" t="s">
        <v>3604</v>
      </c>
      <c r="BK1399" s="251" t="s">
        <v>3927</v>
      </c>
      <c r="BL1399" s="251" t="s">
        <v>604</v>
      </c>
    </row>
    <row r="1400" spans="2:64" ht="15">
      <c r="B1400" s="84"/>
      <c r="D1400" s="84"/>
      <c r="E1400" s="84"/>
      <c r="F1400" s="84"/>
      <c r="G1400" s="84"/>
      <c r="R1400" s="251"/>
      <c r="S1400" s="251"/>
      <c r="BD1400" s="399">
        <v>1397</v>
      </c>
      <c r="BE1400" s="399" t="s">
        <v>3928</v>
      </c>
      <c r="BF1400" s="251" t="s">
        <v>3598</v>
      </c>
      <c r="BG1400" s="399" t="s">
        <v>602</v>
      </c>
      <c r="BH1400" s="252">
        <v>47</v>
      </c>
      <c r="BI1400" s="251" t="s">
        <v>450</v>
      </c>
      <c r="BJ1400" s="251" t="s">
        <v>2333</v>
      </c>
      <c r="BK1400" s="251" t="s">
        <v>3929</v>
      </c>
      <c r="BL1400" s="251" t="s">
        <v>604</v>
      </c>
    </row>
    <row r="1401" spans="2:64" ht="15">
      <c r="B1401" s="84"/>
      <c r="D1401" s="84"/>
      <c r="E1401" s="84"/>
      <c r="F1401" s="84"/>
      <c r="G1401" s="84"/>
      <c r="R1401" s="251"/>
      <c r="S1401" s="251"/>
      <c r="BD1401" s="399">
        <v>1398</v>
      </c>
      <c r="BE1401" s="399" t="s">
        <v>3930</v>
      </c>
      <c r="BF1401" s="251" t="s">
        <v>3598</v>
      </c>
      <c r="BG1401" s="399" t="s">
        <v>602</v>
      </c>
      <c r="BH1401" s="252">
        <v>47</v>
      </c>
      <c r="BI1401" s="251" t="s">
        <v>450</v>
      </c>
      <c r="BJ1401" s="251" t="s">
        <v>728</v>
      </c>
      <c r="BK1401" s="251" t="s">
        <v>3931</v>
      </c>
      <c r="BL1401" s="251" t="s">
        <v>604</v>
      </c>
    </row>
    <row r="1402" spans="2:64" ht="15">
      <c r="B1402" s="84"/>
      <c r="D1402" s="84"/>
      <c r="E1402" s="84"/>
      <c r="F1402" s="84"/>
      <c r="G1402" s="84"/>
      <c r="R1402" s="251"/>
      <c r="S1402" s="251"/>
      <c r="BD1402" s="399">
        <v>1399</v>
      </c>
      <c r="BE1402" s="399" t="s">
        <v>3932</v>
      </c>
      <c r="BF1402" s="251" t="s">
        <v>3598</v>
      </c>
      <c r="BG1402" s="399" t="s">
        <v>602</v>
      </c>
      <c r="BH1402" s="252">
        <v>47</v>
      </c>
      <c r="BI1402" s="251" t="s">
        <v>450</v>
      </c>
      <c r="BJ1402" s="251" t="s">
        <v>350</v>
      </c>
      <c r="BK1402" s="251" t="s">
        <v>3933</v>
      </c>
      <c r="BL1402" s="251" t="s">
        <v>604</v>
      </c>
    </row>
    <row r="1403" spans="2:64" ht="15">
      <c r="B1403" s="84"/>
      <c r="D1403" s="84"/>
      <c r="E1403" s="84"/>
      <c r="F1403" s="84"/>
      <c r="G1403" s="84"/>
      <c r="R1403" s="251"/>
      <c r="S1403" s="251"/>
      <c r="BD1403" s="399">
        <v>1400</v>
      </c>
      <c r="BE1403" s="399" t="s">
        <v>3934</v>
      </c>
      <c r="BF1403" s="251" t="s">
        <v>3598</v>
      </c>
      <c r="BG1403" s="399" t="s">
        <v>602</v>
      </c>
      <c r="BH1403" s="252">
        <v>47</v>
      </c>
      <c r="BI1403" s="251" t="s">
        <v>2530</v>
      </c>
      <c r="BJ1403" s="251" t="s">
        <v>380</v>
      </c>
      <c r="BK1403" s="251" t="s">
        <v>3935</v>
      </c>
      <c r="BL1403" s="251" t="s">
        <v>604</v>
      </c>
    </row>
    <row r="1404" spans="2:64" ht="15">
      <c r="B1404" s="84"/>
      <c r="D1404" s="84"/>
      <c r="E1404" s="84"/>
      <c r="F1404" s="84"/>
      <c r="G1404" s="84"/>
      <c r="R1404" s="251"/>
      <c r="S1404" s="251"/>
      <c r="BD1404" s="399">
        <v>1401</v>
      </c>
      <c r="BE1404" s="399" t="s">
        <v>3936</v>
      </c>
      <c r="BF1404" s="251" t="s">
        <v>3598</v>
      </c>
      <c r="BG1404" s="399" t="s">
        <v>602</v>
      </c>
      <c r="BH1404" s="252">
        <v>47</v>
      </c>
      <c r="BI1404" s="251" t="s">
        <v>2530</v>
      </c>
      <c r="BJ1404" s="251" t="s">
        <v>2333</v>
      </c>
      <c r="BK1404" s="251" t="s">
        <v>3937</v>
      </c>
      <c r="BL1404" s="251" t="s">
        <v>604</v>
      </c>
    </row>
    <row r="1405" spans="2:64" ht="15">
      <c r="B1405" s="84"/>
      <c r="D1405" s="84"/>
      <c r="E1405" s="84"/>
      <c r="F1405" s="84"/>
      <c r="G1405" s="84"/>
      <c r="R1405" s="251"/>
      <c r="S1405" s="251"/>
      <c r="BD1405" s="399">
        <v>1402</v>
      </c>
      <c r="BE1405" s="399" t="s">
        <v>3938</v>
      </c>
      <c r="BF1405" s="251" t="s">
        <v>3598</v>
      </c>
      <c r="BG1405" s="399" t="s">
        <v>602</v>
      </c>
      <c r="BH1405" s="252">
        <v>47</v>
      </c>
      <c r="BI1405" s="251" t="s">
        <v>2530</v>
      </c>
      <c r="BJ1405" s="251" t="s">
        <v>1855</v>
      </c>
      <c r="BK1405" s="251" t="s">
        <v>3939</v>
      </c>
      <c r="BL1405" s="251" t="s">
        <v>604</v>
      </c>
    </row>
    <row r="1406" spans="2:64" ht="15">
      <c r="B1406" s="84"/>
      <c r="D1406" s="84"/>
      <c r="E1406" s="84"/>
      <c r="F1406" s="84"/>
      <c r="G1406" s="84"/>
      <c r="R1406" s="251"/>
      <c r="S1406" s="251"/>
      <c r="BD1406" s="399">
        <v>1403</v>
      </c>
      <c r="BE1406" s="399" t="s">
        <v>3940</v>
      </c>
      <c r="BF1406" s="251" t="s">
        <v>3598</v>
      </c>
      <c r="BG1406" s="399" t="s">
        <v>602</v>
      </c>
      <c r="BH1406" s="252">
        <v>47</v>
      </c>
      <c r="BI1406" s="251" t="s">
        <v>2530</v>
      </c>
      <c r="BJ1406" s="251" t="s">
        <v>728</v>
      </c>
      <c r="BK1406" s="251" t="s">
        <v>3941</v>
      </c>
      <c r="BL1406" s="251" t="s">
        <v>604</v>
      </c>
    </row>
    <row r="1407" spans="2:64" ht="15">
      <c r="B1407" s="84"/>
      <c r="D1407" s="84"/>
      <c r="E1407" s="84"/>
      <c r="F1407" s="84"/>
      <c r="G1407" s="84"/>
      <c r="R1407" s="251"/>
      <c r="S1407" s="251"/>
      <c r="BD1407" s="399">
        <v>1404</v>
      </c>
      <c r="BE1407" s="399" t="s">
        <v>3942</v>
      </c>
      <c r="BF1407" s="251" t="s">
        <v>3598</v>
      </c>
      <c r="BG1407" s="399" t="s">
        <v>602</v>
      </c>
      <c r="BH1407" s="252">
        <v>47</v>
      </c>
      <c r="BI1407" s="251" t="s">
        <v>2530</v>
      </c>
      <c r="BJ1407" s="251" t="s">
        <v>350</v>
      </c>
      <c r="BK1407" s="251" t="s">
        <v>3943</v>
      </c>
      <c r="BL1407" s="251" t="s">
        <v>604</v>
      </c>
    </row>
    <row r="1408" spans="2:64" ht="15">
      <c r="B1408" s="84"/>
      <c r="D1408" s="84"/>
      <c r="E1408" s="84"/>
      <c r="F1408" s="84"/>
      <c r="G1408" s="84"/>
      <c r="R1408" s="251"/>
      <c r="S1408" s="251"/>
      <c r="BD1408" s="399">
        <v>1405</v>
      </c>
      <c r="BE1408" s="399" t="s">
        <v>3944</v>
      </c>
      <c r="BF1408" s="251" t="s">
        <v>3598</v>
      </c>
      <c r="BG1408" s="399" t="s">
        <v>602</v>
      </c>
      <c r="BH1408" s="252">
        <v>47</v>
      </c>
      <c r="BI1408" s="251" t="s">
        <v>3604</v>
      </c>
      <c r="BJ1408" s="251" t="s">
        <v>413</v>
      </c>
      <c r="BK1408" s="251" t="s">
        <v>3945</v>
      </c>
      <c r="BL1408" s="251" t="s">
        <v>604</v>
      </c>
    </row>
    <row r="1409" spans="2:64" ht="15">
      <c r="B1409" s="84"/>
      <c r="D1409" s="84"/>
      <c r="E1409" s="84"/>
      <c r="F1409" s="84"/>
      <c r="G1409" s="84"/>
      <c r="R1409" s="251"/>
      <c r="S1409" s="251"/>
      <c r="BD1409" s="399">
        <v>1406</v>
      </c>
      <c r="BE1409" s="399" t="s">
        <v>3946</v>
      </c>
      <c r="BF1409" s="251" t="s">
        <v>3598</v>
      </c>
      <c r="BG1409" s="399" t="s">
        <v>0</v>
      </c>
      <c r="BH1409" s="252">
        <v>48</v>
      </c>
      <c r="BI1409" s="251" t="s">
        <v>333</v>
      </c>
      <c r="BJ1409" s="251" t="s">
        <v>728</v>
      </c>
      <c r="BK1409" s="251" t="s">
        <v>3947</v>
      </c>
      <c r="BL1409" s="251" t="s">
        <v>818</v>
      </c>
    </row>
    <row r="1410" spans="2:64" ht="15">
      <c r="B1410" s="84"/>
      <c r="D1410" s="84"/>
      <c r="E1410" s="84"/>
      <c r="F1410" s="84"/>
      <c r="G1410" s="84"/>
      <c r="R1410" s="251"/>
      <c r="S1410" s="251"/>
      <c r="BD1410" s="399">
        <v>1407</v>
      </c>
      <c r="BE1410" s="399" t="s">
        <v>3948</v>
      </c>
      <c r="BF1410" s="251" t="s">
        <v>3598</v>
      </c>
      <c r="BG1410" s="399" t="s">
        <v>0</v>
      </c>
      <c r="BH1410" s="252">
        <v>48</v>
      </c>
      <c r="BI1410" s="251" t="s">
        <v>365</v>
      </c>
      <c r="BJ1410" s="251" t="s">
        <v>728</v>
      </c>
      <c r="BK1410" s="251" t="s">
        <v>3949</v>
      </c>
      <c r="BL1410" s="251" t="s">
        <v>818</v>
      </c>
    </row>
    <row r="1411" spans="2:64" ht="15">
      <c r="B1411" s="84"/>
      <c r="D1411" s="84"/>
      <c r="E1411" s="84"/>
      <c r="F1411" s="84"/>
      <c r="G1411" s="84"/>
      <c r="R1411" s="251"/>
      <c r="S1411" s="251"/>
      <c r="BD1411" s="399">
        <v>1408</v>
      </c>
      <c r="BE1411" s="399" t="s">
        <v>3950</v>
      </c>
      <c r="BF1411" s="251" t="s">
        <v>3598</v>
      </c>
      <c r="BG1411" s="399" t="s">
        <v>0</v>
      </c>
      <c r="BH1411" s="252">
        <v>48</v>
      </c>
      <c r="BI1411" s="251" t="s">
        <v>365</v>
      </c>
      <c r="BJ1411" s="251" t="s">
        <v>350</v>
      </c>
      <c r="BK1411" s="251" t="s">
        <v>3951</v>
      </c>
      <c r="BL1411" s="251" t="s">
        <v>818</v>
      </c>
    </row>
    <row r="1412" spans="2:64" ht="15">
      <c r="B1412" s="84"/>
      <c r="D1412" s="84"/>
      <c r="E1412" s="84"/>
      <c r="F1412" s="84"/>
      <c r="G1412" s="84"/>
      <c r="R1412" s="251"/>
      <c r="S1412" s="251"/>
      <c r="BD1412" s="399">
        <v>1409</v>
      </c>
      <c r="BE1412" s="399" t="s">
        <v>3952</v>
      </c>
      <c r="BF1412" s="251" t="s">
        <v>3598</v>
      </c>
      <c r="BG1412" s="399" t="s">
        <v>0</v>
      </c>
      <c r="BH1412" s="252">
        <v>48</v>
      </c>
      <c r="BI1412" s="251" t="s">
        <v>365</v>
      </c>
      <c r="BJ1412" s="251" t="s">
        <v>3604</v>
      </c>
      <c r="BK1412" s="251" t="s">
        <v>3953</v>
      </c>
      <c r="BL1412" s="251" t="s">
        <v>818</v>
      </c>
    </row>
    <row r="1413" spans="2:64" ht="15">
      <c r="B1413" s="84"/>
      <c r="D1413" s="84"/>
      <c r="E1413" s="84"/>
      <c r="F1413" s="84"/>
      <c r="G1413" s="84"/>
      <c r="R1413" s="251"/>
      <c r="S1413" s="251"/>
      <c r="BD1413" s="399">
        <v>1410</v>
      </c>
      <c r="BE1413" s="399" t="s">
        <v>3954</v>
      </c>
      <c r="BF1413" s="251" t="s">
        <v>3598</v>
      </c>
      <c r="BG1413" s="399" t="s">
        <v>0</v>
      </c>
      <c r="BH1413" s="252">
        <v>48</v>
      </c>
      <c r="BI1413" s="251" t="s">
        <v>365</v>
      </c>
      <c r="BJ1413" s="251" t="s">
        <v>3759</v>
      </c>
      <c r="BK1413" s="251" t="s">
        <v>3955</v>
      </c>
      <c r="BL1413" s="251" t="s">
        <v>818</v>
      </c>
    </row>
    <row r="1414" spans="2:64" ht="15">
      <c r="B1414" s="84"/>
      <c r="D1414" s="84"/>
      <c r="E1414" s="84"/>
      <c r="F1414" s="84"/>
      <c r="G1414" s="84"/>
      <c r="R1414" s="251"/>
      <c r="S1414" s="251"/>
      <c r="BD1414" s="399">
        <v>1411</v>
      </c>
      <c r="BE1414" s="399" t="s">
        <v>3956</v>
      </c>
      <c r="BF1414" s="251" t="s">
        <v>3598</v>
      </c>
      <c r="BG1414" s="399" t="s">
        <v>0</v>
      </c>
      <c r="BH1414" s="252">
        <v>48</v>
      </c>
      <c r="BI1414" s="251" t="s">
        <v>379</v>
      </c>
      <c r="BJ1414" s="251" t="s">
        <v>3957</v>
      </c>
      <c r="BK1414" s="251" t="s">
        <v>3958</v>
      </c>
      <c r="BL1414" s="251" t="s">
        <v>818</v>
      </c>
    </row>
    <row r="1415" spans="2:64" ht="15">
      <c r="B1415" s="84"/>
      <c r="D1415" s="84"/>
      <c r="E1415" s="84"/>
      <c r="F1415" s="84"/>
      <c r="G1415" s="84"/>
      <c r="R1415" s="251"/>
      <c r="S1415" s="251"/>
      <c r="BD1415" s="399">
        <v>1412</v>
      </c>
      <c r="BE1415" s="399" t="s">
        <v>3257</v>
      </c>
      <c r="BF1415" s="251" t="s">
        <v>3598</v>
      </c>
      <c r="BG1415" s="399" t="s">
        <v>0</v>
      </c>
      <c r="BH1415" s="252">
        <v>48</v>
      </c>
      <c r="BI1415" s="251" t="s">
        <v>379</v>
      </c>
      <c r="BJ1415" s="251" t="s">
        <v>1855</v>
      </c>
      <c r="BK1415" s="251" t="s">
        <v>3258</v>
      </c>
      <c r="BL1415" s="251" t="s">
        <v>818</v>
      </c>
    </row>
    <row r="1416" spans="2:64" ht="15">
      <c r="B1416" s="84"/>
      <c r="D1416" s="84"/>
      <c r="E1416" s="84"/>
      <c r="F1416" s="84"/>
      <c r="G1416" s="84"/>
      <c r="R1416" s="251"/>
      <c r="S1416" s="251"/>
      <c r="BD1416" s="399">
        <v>1413</v>
      </c>
      <c r="BE1416" s="399" t="s">
        <v>3959</v>
      </c>
      <c r="BF1416" s="251" t="s">
        <v>3598</v>
      </c>
      <c r="BG1416" s="399" t="s">
        <v>0</v>
      </c>
      <c r="BH1416" s="252">
        <v>48</v>
      </c>
      <c r="BI1416" s="251" t="s">
        <v>379</v>
      </c>
      <c r="BJ1416" s="251" t="s">
        <v>728</v>
      </c>
      <c r="BK1416" s="251" t="s">
        <v>3960</v>
      </c>
      <c r="BL1416" s="251" t="s">
        <v>818</v>
      </c>
    </row>
    <row r="1417" spans="2:64" ht="15">
      <c r="B1417" s="84"/>
      <c r="D1417" s="84"/>
      <c r="E1417" s="84"/>
      <c r="F1417" s="84"/>
      <c r="G1417" s="84"/>
      <c r="R1417" s="251"/>
      <c r="S1417" s="251"/>
      <c r="BD1417" s="399">
        <v>1414</v>
      </c>
      <c r="BE1417" s="399" t="s">
        <v>3961</v>
      </c>
      <c r="BF1417" s="251" t="s">
        <v>3598</v>
      </c>
      <c r="BG1417" s="399" t="s">
        <v>0</v>
      </c>
      <c r="BH1417" s="252">
        <v>48</v>
      </c>
      <c r="BI1417" s="251" t="s">
        <v>379</v>
      </c>
      <c r="BJ1417" s="251" t="s">
        <v>350</v>
      </c>
      <c r="BK1417" s="251" t="s">
        <v>3962</v>
      </c>
      <c r="BL1417" s="251" t="s">
        <v>818</v>
      </c>
    </row>
    <row r="1418" spans="2:64" ht="15">
      <c r="B1418" s="84"/>
      <c r="D1418" s="84"/>
      <c r="E1418" s="84"/>
      <c r="F1418" s="84"/>
      <c r="G1418" s="84"/>
      <c r="R1418" s="251"/>
      <c r="S1418" s="251"/>
      <c r="BD1418" s="399">
        <v>1415</v>
      </c>
      <c r="BE1418" s="399" t="s">
        <v>3963</v>
      </c>
      <c r="BF1418" s="251" t="s">
        <v>3598</v>
      </c>
      <c r="BG1418" s="399" t="s">
        <v>0</v>
      </c>
      <c r="BH1418" s="252">
        <v>48</v>
      </c>
      <c r="BI1418" s="251" t="s">
        <v>379</v>
      </c>
      <c r="BJ1418" s="251" t="s">
        <v>3604</v>
      </c>
      <c r="BK1418" s="251" t="s">
        <v>3964</v>
      </c>
      <c r="BL1418" s="251" t="s">
        <v>818</v>
      </c>
    </row>
    <row r="1419" spans="2:64" ht="15">
      <c r="B1419" s="84"/>
      <c r="D1419" s="84"/>
      <c r="E1419" s="84"/>
      <c r="F1419" s="84"/>
      <c r="G1419" s="84"/>
      <c r="R1419" s="251"/>
      <c r="S1419" s="251"/>
      <c r="BD1419" s="399">
        <v>1416</v>
      </c>
      <c r="BE1419" s="399" t="s">
        <v>3965</v>
      </c>
      <c r="BF1419" s="251" t="s">
        <v>3598</v>
      </c>
      <c r="BG1419" s="399" t="s">
        <v>0</v>
      </c>
      <c r="BH1419" s="252">
        <v>48</v>
      </c>
      <c r="BI1419" s="251" t="s">
        <v>615</v>
      </c>
      <c r="BJ1419" s="251" t="s">
        <v>3957</v>
      </c>
      <c r="BK1419" s="251" t="s">
        <v>3966</v>
      </c>
      <c r="BL1419" s="251" t="s">
        <v>818</v>
      </c>
    </row>
    <row r="1420" spans="2:64" ht="15">
      <c r="B1420" s="84"/>
      <c r="D1420" s="84"/>
      <c r="E1420" s="84"/>
      <c r="F1420" s="84"/>
      <c r="G1420" s="84"/>
      <c r="R1420" s="251"/>
      <c r="S1420" s="251"/>
      <c r="BD1420" s="399">
        <v>1417</v>
      </c>
      <c r="BE1420" s="399" t="s">
        <v>3967</v>
      </c>
      <c r="BF1420" s="251" t="s">
        <v>3598</v>
      </c>
      <c r="BG1420" s="399" t="s">
        <v>0</v>
      </c>
      <c r="BH1420" s="252">
        <v>48</v>
      </c>
      <c r="BI1420" s="251" t="s">
        <v>615</v>
      </c>
      <c r="BJ1420" s="251" t="s">
        <v>728</v>
      </c>
      <c r="BK1420" s="251" t="s">
        <v>3968</v>
      </c>
      <c r="BL1420" s="251" t="s">
        <v>818</v>
      </c>
    </row>
    <row r="1421" spans="2:64" ht="15">
      <c r="B1421" s="84"/>
      <c r="D1421" s="84"/>
      <c r="E1421" s="84"/>
      <c r="F1421" s="84"/>
      <c r="G1421" s="84"/>
      <c r="R1421" s="251"/>
      <c r="S1421" s="251"/>
      <c r="BD1421" s="399">
        <v>1418</v>
      </c>
      <c r="BE1421" s="399" t="s">
        <v>3969</v>
      </c>
      <c r="BF1421" s="251" t="s">
        <v>3598</v>
      </c>
      <c r="BG1421" s="399" t="s">
        <v>0</v>
      </c>
      <c r="BH1421" s="252">
        <v>48</v>
      </c>
      <c r="BI1421" s="251" t="s">
        <v>390</v>
      </c>
      <c r="BJ1421" s="251" t="s">
        <v>2333</v>
      </c>
      <c r="BK1421" s="251" t="s">
        <v>3970</v>
      </c>
      <c r="BL1421" s="251" t="s">
        <v>818</v>
      </c>
    </row>
    <row r="1422" spans="2:64" ht="15">
      <c r="B1422" s="84"/>
      <c r="D1422" s="84"/>
      <c r="E1422" s="84"/>
      <c r="F1422" s="84"/>
      <c r="G1422" s="84"/>
      <c r="R1422" s="251"/>
      <c r="S1422" s="251"/>
      <c r="BD1422" s="399">
        <v>1419</v>
      </c>
      <c r="BE1422" s="399" t="s">
        <v>3971</v>
      </c>
      <c r="BF1422" s="251" t="s">
        <v>3598</v>
      </c>
      <c r="BG1422" s="399" t="s">
        <v>0</v>
      </c>
      <c r="BH1422" s="252">
        <v>48</v>
      </c>
      <c r="BI1422" s="251" t="s">
        <v>477</v>
      </c>
      <c r="BJ1422" s="251" t="s">
        <v>1855</v>
      </c>
      <c r="BK1422" s="251" t="s">
        <v>3972</v>
      </c>
      <c r="BL1422" s="251" t="s">
        <v>818</v>
      </c>
    </row>
    <row r="1423" spans="2:64" ht="15">
      <c r="B1423" s="84"/>
      <c r="D1423" s="84"/>
      <c r="E1423" s="84"/>
      <c r="F1423" s="84"/>
      <c r="G1423" s="84"/>
      <c r="R1423" s="251"/>
      <c r="S1423" s="251"/>
      <c r="BD1423" s="399">
        <v>1420</v>
      </c>
      <c r="BE1423" s="399" t="s">
        <v>3973</v>
      </c>
      <c r="BF1423" s="251" t="s">
        <v>3598</v>
      </c>
      <c r="BG1423" s="399" t="s">
        <v>0</v>
      </c>
      <c r="BH1423" s="252">
        <v>48</v>
      </c>
      <c r="BI1423" s="251" t="s">
        <v>477</v>
      </c>
      <c r="BJ1423" s="251" t="s">
        <v>728</v>
      </c>
      <c r="BK1423" s="251" t="s">
        <v>3974</v>
      </c>
      <c r="BL1423" s="251" t="s">
        <v>818</v>
      </c>
    </row>
    <row r="1424" spans="2:64" ht="15">
      <c r="B1424" s="84"/>
      <c r="D1424" s="84"/>
      <c r="E1424" s="84"/>
      <c r="F1424" s="84"/>
      <c r="G1424" s="84"/>
      <c r="R1424" s="251"/>
      <c r="S1424" s="251"/>
      <c r="BD1424" s="399">
        <v>1421</v>
      </c>
      <c r="BE1424" s="399" t="s">
        <v>3975</v>
      </c>
      <c r="BF1424" s="251" t="s">
        <v>3598</v>
      </c>
      <c r="BG1424" s="399" t="s">
        <v>0</v>
      </c>
      <c r="BH1424" s="252">
        <v>48</v>
      </c>
      <c r="BI1424" s="251" t="s">
        <v>728</v>
      </c>
      <c r="BJ1424" s="251" t="s">
        <v>2333</v>
      </c>
      <c r="BK1424" s="251" t="s">
        <v>3976</v>
      </c>
      <c r="BL1424" s="251" t="s">
        <v>818</v>
      </c>
    </row>
    <row r="1425" spans="2:64" ht="15">
      <c r="B1425" s="84"/>
      <c r="D1425" s="84"/>
      <c r="E1425" s="84"/>
      <c r="F1425" s="84"/>
      <c r="G1425" s="84"/>
      <c r="R1425" s="251"/>
      <c r="S1425" s="251"/>
      <c r="BD1425" s="399">
        <v>1422</v>
      </c>
      <c r="BE1425" s="399" t="s">
        <v>3977</v>
      </c>
      <c r="BF1425" s="251" t="s">
        <v>3598</v>
      </c>
      <c r="BG1425" s="399" t="s">
        <v>0</v>
      </c>
      <c r="BH1425" s="252">
        <v>48</v>
      </c>
      <c r="BI1425" s="251" t="s">
        <v>583</v>
      </c>
      <c r="BJ1425" s="251" t="s">
        <v>2509</v>
      </c>
      <c r="BK1425" s="251" t="s">
        <v>3978</v>
      </c>
      <c r="BL1425" s="251" t="s">
        <v>818</v>
      </c>
    </row>
    <row r="1426" spans="2:64" ht="15">
      <c r="B1426" s="84"/>
      <c r="D1426" s="84"/>
      <c r="E1426" s="84"/>
      <c r="F1426" s="84"/>
      <c r="G1426" s="84"/>
      <c r="R1426" s="251"/>
      <c r="S1426" s="251"/>
      <c r="BD1426" s="399">
        <v>1423</v>
      </c>
      <c r="BE1426" s="399" t="s">
        <v>3979</v>
      </c>
      <c r="BF1426" s="251" t="s">
        <v>3598</v>
      </c>
      <c r="BG1426" s="399" t="s">
        <v>0</v>
      </c>
      <c r="BH1426" s="252">
        <v>48</v>
      </c>
      <c r="BI1426" s="251" t="s">
        <v>450</v>
      </c>
      <c r="BJ1426" s="251" t="s">
        <v>1855</v>
      </c>
      <c r="BK1426" s="251" t="s">
        <v>3980</v>
      </c>
      <c r="BL1426" s="251" t="s">
        <v>818</v>
      </c>
    </row>
    <row r="1427" spans="2:64" ht="15">
      <c r="B1427" s="84"/>
      <c r="D1427" s="84"/>
      <c r="E1427" s="84"/>
      <c r="F1427" s="84"/>
      <c r="G1427" s="84"/>
      <c r="R1427" s="251"/>
      <c r="S1427" s="251"/>
      <c r="BD1427" s="399">
        <v>1424</v>
      </c>
      <c r="BE1427" s="399" t="s">
        <v>3981</v>
      </c>
      <c r="BF1427" s="251" t="s">
        <v>3598</v>
      </c>
      <c r="BG1427" s="399" t="s">
        <v>0</v>
      </c>
      <c r="BH1427" s="252">
        <v>48</v>
      </c>
      <c r="BI1427" s="251" t="s">
        <v>450</v>
      </c>
      <c r="BJ1427" s="251" t="s">
        <v>728</v>
      </c>
      <c r="BK1427" s="251" t="s">
        <v>3982</v>
      </c>
      <c r="BL1427" s="251" t="s">
        <v>818</v>
      </c>
    </row>
    <row r="1428" spans="2:64" ht="15">
      <c r="B1428" s="84"/>
      <c r="D1428" s="84"/>
      <c r="E1428" s="84"/>
      <c r="F1428" s="84"/>
      <c r="G1428" s="84"/>
      <c r="R1428" s="251"/>
      <c r="S1428" s="251"/>
      <c r="BD1428" s="399">
        <v>1425</v>
      </c>
      <c r="BE1428" s="399" t="s">
        <v>3983</v>
      </c>
      <c r="BF1428" s="251" t="s">
        <v>3598</v>
      </c>
      <c r="BG1428" s="399" t="s">
        <v>0</v>
      </c>
      <c r="BH1428" s="252">
        <v>48</v>
      </c>
      <c r="BI1428" s="251" t="s">
        <v>350</v>
      </c>
      <c r="BJ1428" s="251" t="s">
        <v>2530</v>
      </c>
      <c r="BK1428" s="251" t="s">
        <v>3984</v>
      </c>
      <c r="BL1428" s="251" t="s">
        <v>818</v>
      </c>
    </row>
    <row r="1429" spans="2:64" ht="15">
      <c r="B1429" s="84"/>
      <c r="D1429" s="84"/>
      <c r="E1429" s="84"/>
      <c r="F1429" s="84"/>
      <c r="G1429" s="84"/>
      <c r="R1429" s="251"/>
      <c r="S1429" s="251"/>
      <c r="BD1429" s="399">
        <v>1426</v>
      </c>
      <c r="BE1429" s="399" t="s">
        <v>3985</v>
      </c>
      <c r="BF1429" s="251" t="s">
        <v>3598</v>
      </c>
      <c r="BG1429" s="399" t="s">
        <v>0</v>
      </c>
      <c r="BH1429" s="252">
        <v>48</v>
      </c>
      <c r="BI1429" s="251" t="s">
        <v>2530</v>
      </c>
      <c r="BJ1429" s="251" t="s">
        <v>1855</v>
      </c>
      <c r="BK1429" s="251" t="s">
        <v>3986</v>
      </c>
      <c r="BL1429" s="251" t="s">
        <v>818</v>
      </c>
    </row>
    <row r="1430" spans="2:64" ht="15">
      <c r="B1430" s="84"/>
      <c r="D1430" s="84"/>
      <c r="E1430" s="84"/>
      <c r="F1430" s="84"/>
      <c r="G1430" s="84"/>
      <c r="R1430" s="251"/>
      <c r="S1430" s="251"/>
      <c r="BD1430" s="399">
        <v>1427</v>
      </c>
      <c r="BE1430" s="399" t="s">
        <v>3987</v>
      </c>
      <c r="BF1430" s="251" t="s">
        <v>3598</v>
      </c>
      <c r="BG1430" s="399" t="s">
        <v>0</v>
      </c>
      <c r="BH1430" s="252">
        <v>48</v>
      </c>
      <c r="BI1430" s="251" t="s">
        <v>2530</v>
      </c>
      <c r="BJ1430" s="251" t="s">
        <v>728</v>
      </c>
      <c r="BK1430" s="251" t="s">
        <v>3988</v>
      </c>
      <c r="BL1430" s="251" t="s">
        <v>818</v>
      </c>
    </row>
    <row r="1431" spans="2:64" ht="15">
      <c r="B1431" s="84"/>
      <c r="D1431" s="84"/>
      <c r="E1431" s="84"/>
      <c r="F1431" s="84"/>
      <c r="G1431" s="84"/>
      <c r="R1431" s="251"/>
      <c r="S1431" s="251"/>
      <c r="BD1431" s="399">
        <v>1428</v>
      </c>
      <c r="BE1431" s="399" t="s">
        <v>3989</v>
      </c>
      <c r="BF1431" s="251" t="s">
        <v>3598</v>
      </c>
      <c r="BG1431" s="399" t="s">
        <v>1688</v>
      </c>
      <c r="BH1431" s="252">
        <v>50</v>
      </c>
      <c r="BI1431" s="251" t="s">
        <v>365</v>
      </c>
      <c r="BJ1431" s="251" t="s">
        <v>2333</v>
      </c>
      <c r="BK1431" s="251" t="s">
        <v>3990</v>
      </c>
      <c r="BL1431" s="251" t="s">
        <v>1690</v>
      </c>
    </row>
    <row r="1432" spans="2:64" ht="15">
      <c r="B1432" s="84"/>
      <c r="D1432" s="84"/>
      <c r="E1432" s="84"/>
      <c r="F1432" s="84"/>
      <c r="G1432" s="84"/>
      <c r="R1432" s="251"/>
      <c r="S1432" s="251"/>
      <c r="BD1432" s="399">
        <v>1429</v>
      </c>
      <c r="BE1432" s="399" t="s">
        <v>3991</v>
      </c>
      <c r="BF1432" s="251" t="s">
        <v>3598</v>
      </c>
      <c r="BG1432" s="399" t="s">
        <v>1688</v>
      </c>
      <c r="BH1432" s="252">
        <v>50</v>
      </c>
      <c r="BI1432" s="251" t="s">
        <v>365</v>
      </c>
      <c r="BJ1432" s="251" t="s">
        <v>1855</v>
      </c>
      <c r="BK1432" s="251" t="s">
        <v>3992</v>
      </c>
      <c r="BL1432" s="251" t="s">
        <v>1690</v>
      </c>
    </row>
    <row r="1433" spans="2:64" ht="15">
      <c r="B1433" s="84"/>
      <c r="D1433" s="84"/>
      <c r="E1433" s="84"/>
      <c r="F1433" s="84"/>
      <c r="G1433" s="84"/>
      <c r="R1433" s="251"/>
      <c r="S1433" s="251"/>
      <c r="BD1433" s="399">
        <v>1430</v>
      </c>
      <c r="BE1433" s="399" t="s">
        <v>3993</v>
      </c>
      <c r="BF1433" s="251" t="s">
        <v>3598</v>
      </c>
      <c r="BG1433" s="399" t="s">
        <v>1688</v>
      </c>
      <c r="BH1433" s="252">
        <v>50</v>
      </c>
      <c r="BI1433" s="251" t="s">
        <v>365</v>
      </c>
      <c r="BJ1433" s="251" t="s">
        <v>728</v>
      </c>
      <c r="BK1433" s="251" t="s">
        <v>3994</v>
      </c>
      <c r="BL1433" s="251" t="s">
        <v>1690</v>
      </c>
    </row>
    <row r="1434" spans="2:64" ht="15">
      <c r="B1434" s="84"/>
      <c r="D1434" s="84"/>
      <c r="E1434" s="84"/>
      <c r="F1434" s="84"/>
      <c r="G1434" s="84"/>
      <c r="R1434" s="251"/>
      <c r="S1434" s="251"/>
      <c r="BD1434" s="399">
        <v>1431</v>
      </c>
      <c r="BE1434" s="399" t="s">
        <v>3995</v>
      </c>
      <c r="BF1434" s="251" t="s">
        <v>3598</v>
      </c>
      <c r="BG1434" s="399" t="s">
        <v>1688</v>
      </c>
      <c r="BH1434" s="252">
        <v>50</v>
      </c>
      <c r="BI1434" s="251" t="s">
        <v>365</v>
      </c>
      <c r="BJ1434" s="251" t="s">
        <v>3604</v>
      </c>
      <c r="BK1434" s="251" t="s">
        <v>3996</v>
      </c>
      <c r="BL1434" s="251" t="s">
        <v>1690</v>
      </c>
    </row>
    <row r="1435" spans="2:64" ht="15">
      <c r="B1435" s="84"/>
      <c r="D1435" s="84"/>
      <c r="E1435" s="84"/>
      <c r="F1435" s="84"/>
      <c r="G1435" s="84"/>
      <c r="R1435" s="251"/>
      <c r="S1435" s="251"/>
      <c r="BD1435" s="399">
        <v>1432</v>
      </c>
      <c r="BE1435" s="399" t="s">
        <v>3997</v>
      </c>
      <c r="BF1435" s="251" t="s">
        <v>3598</v>
      </c>
      <c r="BG1435" s="399" t="s">
        <v>1688</v>
      </c>
      <c r="BH1435" s="252">
        <v>50</v>
      </c>
      <c r="BI1435" s="251" t="s">
        <v>379</v>
      </c>
      <c r="BJ1435" s="251" t="s">
        <v>2333</v>
      </c>
      <c r="BK1435" s="251" t="s">
        <v>3998</v>
      </c>
      <c r="BL1435" s="251" t="s">
        <v>1690</v>
      </c>
    </row>
    <row r="1436" spans="2:64" ht="15">
      <c r="B1436" s="84"/>
      <c r="D1436" s="84"/>
      <c r="E1436" s="84"/>
      <c r="F1436" s="84"/>
      <c r="G1436" s="84"/>
      <c r="R1436" s="251"/>
      <c r="S1436" s="251"/>
      <c r="BD1436" s="399">
        <v>1433</v>
      </c>
      <c r="BE1436" s="399" t="s">
        <v>3999</v>
      </c>
      <c r="BF1436" s="251" t="s">
        <v>3598</v>
      </c>
      <c r="BG1436" s="399" t="s">
        <v>1688</v>
      </c>
      <c r="BH1436" s="252">
        <v>50</v>
      </c>
      <c r="BI1436" s="251" t="s">
        <v>379</v>
      </c>
      <c r="BJ1436" s="251" t="s">
        <v>1855</v>
      </c>
      <c r="BK1436" s="251" t="s">
        <v>4000</v>
      </c>
      <c r="BL1436" s="251" t="s">
        <v>1690</v>
      </c>
    </row>
    <row r="1437" spans="2:64" ht="15">
      <c r="B1437" s="84"/>
      <c r="D1437" s="84"/>
      <c r="E1437" s="84"/>
      <c r="F1437" s="84"/>
      <c r="G1437" s="84"/>
      <c r="R1437" s="251"/>
      <c r="S1437" s="251"/>
      <c r="BD1437" s="399">
        <v>1434</v>
      </c>
      <c r="BE1437" s="399" t="s">
        <v>4001</v>
      </c>
      <c r="BF1437" s="251" t="s">
        <v>3598</v>
      </c>
      <c r="BG1437" s="399" t="s">
        <v>1688</v>
      </c>
      <c r="BH1437" s="252">
        <v>50</v>
      </c>
      <c r="BI1437" s="251" t="s">
        <v>379</v>
      </c>
      <c r="BJ1437" s="251" t="s">
        <v>728</v>
      </c>
      <c r="BK1437" s="251" t="s">
        <v>4002</v>
      </c>
      <c r="BL1437" s="251" t="s">
        <v>1690</v>
      </c>
    </row>
    <row r="1438" spans="2:64" ht="15">
      <c r="B1438" s="84"/>
      <c r="D1438" s="84"/>
      <c r="E1438" s="84"/>
      <c r="F1438" s="84"/>
      <c r="G1438" s="84"/>
      <c r="R1438" s="251"/>
      <c r="S1438" s="251"/>
      <c r="BD1438" s="399">
        <v>1435</v>
      </c>
      <c r="BE1438" s="399" t="s">
        <v>4003</v>
      </c>
      <c r="BF1438" s="251" t="s">
        <v>3598</v>
      </c>
      <c r="BG1438" s="399" t="s">
        <v>1688</v>
      </c>
      <c r="BH1438" s="252">
        <v>50</v>
      </c>
      <c r="BI1438" s="251" t="s">
        <v>379</v>
      </c>
      <c r="BJ1438" s="251" t="s">
        <v>350</v>
      </c>
      <c r="BK1438" s="251" t="s">
        <v>4004</v>
      </c>
      <c r="BL1438" s="251" t="s">
        <v>1690</v>
      </c>
    </row>
    <row r="1439" spans="2:64" ht="15">
      <c r="B1439" s="84"/>
      <c r="D1439" s="84"/>
      <c r="E1439" s="84"/>
      <c r="F1439" s="84"/>
      <c r="G1439" s="84"/>
      <c r="R1439" s="251"/>
      <c r="S1439" s="251"/>
      <c r="BD1439" s="399">
        <v>1436</v>
      </c>
      <c r="BE1439" s="399" t="s">
        <v>4005</v>
      </c>
      <c r="BF1439" s="251" t="s">
        <v>3598</v>
      </c>
      <c r="BG1439" s="399" t="s">
        <v>1688</v>
      </c>
      <c r="BH1439" s="252">
        <v>50</v>
      </c>
      <c r="BI1439" s="251" t="s">
        <v>379</v>
      </c>
      <c r="BJ1439" s="251" t="s">
        <v>3604</v>
      </c>
      <c r="BK1439" s="251" t="s">
        <v>4006</v>
      </c>
      <c r="BL1439" s="251" t="s">
        <v>1690</v>
      </c>
    </row>
    <row r="1440" spans="2:64" ht="15">
      <c r="B1440" s="84"/>
      <c r="D1440" s="84"/>
      <c r="E1440" s="84"/>
      <c r="F1440" s="84"/>
      <c r="G1440" s="84"/>
      <c r="R1440" s="251"/>
      <c r="S1440" s="251"/>
      <c r="BD1440" s="399">
        <v>1437</v>
      </c>
      <c r="BE1440" s="399" t="s">
        <v>4007</v>
      </c>
      <c r="BF1440" s="251" t="s">
        <v>3598</v>
      </c>
      <c r="BG1440" s="399" t="s">
        <v>1688</v>
      </c>
      <c r="BH1440" s="252">
        <v>50</v>
      </c>
      <c r="BI1440" s="251" t="s">
        <v>615</v>
      </c>
      <c r="BJ1440" s="251" t="s">
        <v>1855</v>
      </c>
      <c r="BK1440" s="251" t="s">
        <v>4008</v>
      </c>
      <c r="BL1440" s="251" t="s">
        <v>1690</v>
      </c>
    </row>
    <row r="1441" spans="2:64" ht="15">
      <c r="B1441" s="84"/>
      <c r="D1441" s="84"/>
      <c r="E1441" s="84"/>
      <c r="F1441" s="84"/>
      <c r="G1441" s="84"/>
      <c r="R1441" s="251"/>
      <c r="S1441" s="251"/>
      <c r="BD1441" s="399">
        <v>1438</v>
      </c>
      <c r="BE1441" s="399" t="s">
        <v>4009</v>
      </c>
      <c r="BF1441" s="251" t="s">
        <v>3598</v>
      </c>
      <c r="BG1441" s="399" t="s">
        <v>1688</v>
      </c>
      <c r="BH1441" s="252">
        <v>50</v>
      </c>
      <c r="BI1441" s="251" t="s">
        <v>615</v>
      </c>
      <c r="BJ1441" s="251" t="s">
        <v>728</v>
      </c>
      <c r="BK1441" s="251" t="s">
        <v>4010</v>
      </c>
      <c r="BL1441" s="251" t="s">
        <v>1690</v>
      </c>
    </row>
    <row r="1442" spans="2:64" ht="15">
      <c r="B1442" s="84"/>
      <c r="D1442" s="84"/>
      <c r="E1442" s="84"/>
      <c r="F1442" s="84"/>
      <c r="G1442" s="84"/>
      <c r="R1442" s="251"/>
      <c r="S1442" s="251"/>
      <c r="BD1442" s="399">
        <v>1439</v>
      </c>
      <c r="BE1442" s="399" t="s">
        <v>4011</v>
      </c>
      <c r="BF1442" s="251" t="s">
        <v>3598</v>
      </c>
      <c r="BG1442" s="399" t="s">
        <v>1688</v>
      </c>
      <c r="BH1442" s="252">
        <v>50</v>
      </c>
      <c r="BI1442" s="251" t="s">
        <v>615</v>
      </c>
      <c r="BJ1442" s="251" t="s">
        <v>350</v>
      </c>
      <c r="BK1442" s="251" t="s">
        <v>4012</v>
      </c>
      <c r="BL1442" s="251" t="s">
        <v>1690</v>
      </c>
    </row>
    <row r="1443" spans="2:64" ht="15">
      <c r="B1443" s="84"/>
      <c r="D1443" s="84"/>
      <c r="E1443" s="84"/>
      <c r="F1443" s="84"/>
      <c r="G1443" s="84"/>
      <c r="R1443" s="251"/>
      <c r="S1443" s="251"/>
      <c r="BD1443" s="399">
        <v>1440</v>
      </c>
      <c r="BE1443" s="399" t="s">
        <v>4013</v>
      </c>
      <c r="BF1443" s="251" t="s">
        <v>3598</v>
      </c>
      <c r="BG1443" s="399" t="s">
        <v>1688</v>
      </c>
      <c r="BH1443" s="252">
        <v>50</v>
      </c>
      <c r="BI1443" s="251" t="s">
        <v>615</v>
      </c>
      <c r="BJ1443" s="251" t="s">
        <v>3714</v>
      </c>
      <c r="BK1443" s="251" t="s">
        <v>4014</v>
      </c>
      <c r="BL1443" s="251" t="s">
        <v>1690</v>
      </c>
    </row>
    <row r="1444" spans="2:64" ht="15">
      <c r="B1444" s="84"/>
      <c r="D1444" s="84"/>
      <c r="E1444" s="84"/>
      <c r="F1444" s="84"/>
      <c r="G1444" s="84"/>
      <c r="R1444" s="251"/>
      <c r="S1444" s="251"/>
      <c r="BD1444" s="399">
        <v>1441</v>
      </c>
      <c r="BE1444" s="399" t="s">
        <v>4015</v>
      </c>
      <c r="BF1444" s="251" t="s">
        <v>3598</v>
      </c>
      <c r="BG1444" s="399" t="s">
        <v>1688</v>
      </c>
      <c r="BH1444" s="252">
        <v>50</v>
      </c>
      <c r="BI1444" s="251" t="s">
        <v>477</v>
      </c>
      <c r="BJ1444" s="251" t="s">
        <v>3957</v>
      </c>
      <c r="BK1444" s="251" t="s">
        <v>4016</v>
      </c>
      <c r="BL1444" s="251" t="s">
        <v>1690</v>
      </c>
    </row>
    <row r="1445" spans="2:64" ht="15">
      <c r="B1445" s="84"/>
      <c r="D1445" s="84"/>
      <c r="E1445" s="84"/>
      <c r="F1445" s="84"/>
      <c r="G1445" s="84"/>
      <c r="R1445" s="251"/>
      <c r="S1445" s="251"/>
      <c r="BD1445" s="399">
        <v>1442</v>
      </c>
      <c r="BE1445" s="399" t="s">
        <v>4017</v>
      </c>
      <c r="BF1445" s="251" t="s">
        <v>3598</v>
      </c>
      <c r="BG1445" s="399" t="s">
        <v>1688</v>
      </c>
      <c r="BH1445" s="252">
        <v>50</v>
      </c>
      <c r="BI1445" s="251" t="s">
        <v>477</v>
      </c>
      <c r="BJ1445" s="251" t="s">
        <v>1855</v>
      </c>
      <c r="BK1445" s="251" t="s">
        <v>4018</v>
      </c>
      <c r="BL1445" s="251" t="s">
        <v>1690</v>
      </c>
    </row>
    <row r="1446" spans="2:64" ht="15">
      <c r="B1446" s="84"/>
      <c r="D1446" s="84"/>
      <c r="E1446" s="84"/>
      <c r="F1446" s="84"/>
      <c r="G1446" s="84"/>
      <c r="R1446" s="251"/>
      <c r="S1446" s="251"/>
      <c r="BD1446" s="399">
        <v>1443</v>
      </c>
      <c r="BE1446" s="399" t="s">
        <v>4019</v>
      </c>
      <c r="BF1446" s="251" t="s">
        <v>3598</v>
      </c>
      <c r="BG1446" s="399" t="s">
        <v>1688</v>
      </c>
      <c r="BH1446" s="252">
        <v>50</v>
      </c>
      <c r="BI1446" s="251" t="s">
        <v>477</v>
      </c>
      <c r="BJ1446" s="251" t="s">
        <v>728</v>
      </c>
      <c r="BK1446" s="251" t="s">
        <v>4020</v>
      </c>
      <c r="BL1446" s="251" t="s">
        <v>1690</v>
      </c>
    </row>
    <row r="1447" spans="2:64" ht="15">
      <c r="B1447" s="84"/>
      <c r="D1447" s="84"/>
      <c r="E1447" s="84"/>
      <c r="F1447" s="84"/>
      <c r="G1447" s="84"/>
      <c r="R1447" s="251"/>
      <c r="S1447" s="251"/>
      <c r="BD1447" s="399">
        <v>1444</v>
      </c>
      <c r="BE1447" s="399" t="s">
        <v>4021</v>
      </c>
      <c r="BF1447" s="251" t="s">
        <v>3598</v>
      </c>
      <c r="BG1447" s="399" t="s">
        <v>1688</v>
      </c>
      <c r="BH1447" s="252">
        <v>50</v>
      </c>
      <c r="BI1447" s="251" t="s">
        <v>477</v>
      </c>
      <c r="BJ1447" s="251" t="s">
        <v>350</v>
      </c>
      <c r="BK1447" s="251" t="s">
        <v>4022</v>
      </c>
      <c r="BL1447" s="251" t="s">
        <v>1690</v>
      </c>
    </row>
    <row r="1448" spans="2:64" ht="15">
      <c r="B1448" s="84"/>
      <c r="D1448" s="84"/>
      <c r="E1448" s="84"/>
      <c r="F1448" s="84"/>
      <c r="G1448" s="84"/>
      <c r="R1448" s="251"/>
      <c r="S1448" s="251"/>
      <c r="BD1448" s="399">
        <v>1445</v>
      </c>
      <c r="BE1448" s="399" t="s">
        <v>4023</v>
      </c>
      <c r="BF1448" s="251" t="s">
        <v>3598</v>
      </c>
      <c r="BG1448" s="399" t="s">
        <v>1688</v>
      </c>
      <c r="BH1448" s="252">
        <v>50</v>
      </c>
      <c r="BI1448" s="251" t="s">
        <v>477</v>
      </c>
      <c r="BJ1448" s="251" t="s">
        <v>3604</v>
      </c>
      <c r="BK1448" s="251" t="s">
        <v>4024</v>
      </c>
      <c r="BL1448" s="251" t="s">
        <v>1690</v>
      </c>
    </row>
    <row r="1449" spans="2:64" ht="15">
      <c r="B1449" s="84"/>
      <c r="D1449" s="84"/>
      <c r="E1449" s="84"/>
      <c r="F1449" s="84"/>
      <c r="G1449" s="84"/>
      <c r="R1449" s="251"/>
      <c r="S1449" s="251"/>
      <c r="BD1449" s="399">
        <v>1446</v>
      </c>
      <c r="BE1449" s="399" t="s">
        <v>4025</v>
      </c>
      <c r="BF1449" s="251" t="s">
        <v>3598</v>
      </c>
      <c r="BG1449" s="399" t="s">
        <v>1688</v>
      </c>
      <c r="BH1449" s="252">
        <v>50</v>
      </c>
      <c r="BI1449" s="251" t="s">
        <v>728</v>
      </c>
      <c r="BJ1449" s="251" t="s">
        <v>2530</v>
      </c>
      <c r="BK1449" s="251" t="s">
        <v>4026</v>
      </c>
      <c r="BL1449" s="251" t="s">
        <v>1690</v>
      </c>
    </row>
    <row r="1450" spans="2:64" ht="15">
      <c r="B1450" s="84"/>
      <c r="D1450" s="84"/>
      <c r="E1450" s="84"/>
      <c r="F1450" s="84"/>
      <c r="G1450" s="84"/>
      <c r="R1450" s="251"/>
      <c r="S1450" s="251"/>
      <c r="BD1450" s="399">
        <v>1447</v>
      </c>
      <c r="BE1450" s="399" t="s">
        <v>4027</v>
      </c>
      <c r="BF1450" s="251" t="s">
        <v>3598</v>
      </c>
      <c r="BG1450" s="399" t="s">
        <v>1688</v>
      </c>
      <c r="BH1450" s="252">
        <v>50</v>
      </c>
      <c r="BI1450" s="251" t="s">
        <v>450</v>
      </c>
      <c r="BJ1450" s="251" t="s">
        <v>728</v>
      </c>
      <c r="BK1450" s="251" t="s">
        <v>4028</v>
      </c>
      <c r="BL1450" s="251" t="s">
        <v>1690</v>
      </c>
    </row>
    <row r="1451" spans="2:64" ht="15">
      <c r="B1451" s="84"/>
      <c r="D1451" s="84"/>
      <c r="E1451" s="84"/>
      <c r="F1451" s="84"/>
      <c r="G1451" s="84"/>
      <c r="R1451" s="251"/>
      <c r="S1451" s="251"/>
      <c r="BD1451" s="399">
        <v>1448</v>
      </c>
      <c r="BE1451" s="399" t="s">
        <v>4029</v>
      </c>
      <c r="BF1451" s="251" t="s">
        <v>3598</v>
      </c>
      <c r="BG1451" s="399" t="s">
        <v>1688</v>
      </c>
      <c r="BH1451" s="252">
        <v>50</v>
      </c>
      <c r="BI1451" s="251" t="s">
        <v>450</v>
      </c>
      <c r="BJ1451" s="251" t="s">
        <v>3604</v>
      </c>
      <c r="BK1451" s="251" t="s">
        <v>4030</v>
      </c>
      <c r="BL1451" s="251" t="s">
        <v>1690</v>
      </c>
    </row>
    <row r="1452" spans="2:64" ht="15">
      <c r="B1452" s="84"/>
      <c r="D1452" s="84"/>
      <c r="E1452" s="84"/>
      <c r="F1452" s="84"/>
      <c r="G1452" s="84"/>
      <c r="R1452" s="251"/>
      <c r="S1452" s="251"/>
      <c r="BD1452" s="399">
        <v>1449</v>
      </c>
      <c r="BE1452" s="399" t="s">
        <v>4031</v>
      </c>
      <c r="BF1452" s="251" t="s">
        <v>3598</v>
      </c>
      <c r="BG1452" s="399" t="s">
        <v>1688</v>
      </c>
      <c r="BH1452" s="252">
        <v>50</v>
      </c>
      <c r="BI1452" s="251" t="s">
        <v>2530</v>
      </c>
      <c r="BJ1452" s="251" t="s">
        <v>2333</v>
      </c>
      <c r="BK1452" s="251" t="s">
        <v>4032</v>
      </c>
      <c r="BL1452" s="251" t="s">
        <v>1690</v>
      </c>
    </row>
    <row r="1453" spans="2:64" ht="15">
      <c r="B1453" s="84"/>
      <c r="D1453" s="84"/>
      <c r="E1453" s="84"/>
      <c r="F1453" s="84"/>
      <c r="G1453" s="84"/>
      <c r="R1453" s="251"/>
      <c r="S1453" s="251"/>
      <c r="BD1453" s="399">
        <v>1450</v>
      </c>
      <c r="BE1453" s="399" t="s">
        <v>4033</v>
      </c>
      <c r="BF1453" s="251" t="s">
        <v>3598</v>
      </c>
      <c r="BG1453" s="399" t="s">
        <v>1688</v>
      </c>
      <c r="BH1453" s="252">
        <v>50</v>
      </c>
      <c r="BI1453" s="251" t="s">
        <v>2530</v>
      </c>
      <c r="BJ1453" s="251" t="s">
        <v>350</v>
      </c>
      <c r="BK1453" s="251" t="s">
        <v>4034</v>
      </c>
      <c r="BL1453" s="251" t="s">
        <v>1690</v>
      </c>
    </row>
    <row r="1454" spans="2:64" ht="15">
      <c r="B1454" s="84"/>
      <c r="D1454" s="84"/>
      <c r="E1454" s="84"/>
      <c r="F1454" s="84"/>
      <c r="G1454" s="84"/>
      <c r="R1454" s="251"/>
      <c r="S1454" s="251"/>
      <c r="BD1454" s="399">
        <v>1451</v>
      </c>
      <c r="BE1454" s="399" t="s">
        <v>4035</v>
      </c>
      <c r="BF1454" s="251" t="s">
        <v>3598</v>
      </c>
      <c r="BG1454" s="399" t="s">
        <v>1688</v>
      </c>
      <c r="BH1454" s="252">
        <v>50</v>
      </c>
      <c r="BI1454" s="251" t="s">
        <v>2530</v>
      </c>
      <c r="BJ1454" s="251" t="s">
        <v>3604</v>
      </c>
      <c r="BK1454" s="251" t="s">
        <v>4036</v>
      </c>
      <c r="BL1454" s="251" t="s">
        <v>1690</v>
      </c>
    </row>
    <row r="1455" spans="2:64" ht="15">
      <c r="B1455" s="84"/>
      <c r="D1455" s="84"/>
      <c r="E1455" s="84"/>
      <c r="F1455" s="84"/>
      <c r="G1455" s="84"/>
      <c r="R1455" s="251"/>
      <c r="S1455" s="251"/>
      <c r="BD1455" s="399">
        <v>1452</v>
      </c>
      <c r="BE1455" s="399" t="s">
        <v>4037</v>
      </c>
      <c r="BF1455" s="251" t="s">
        <v>3598</v>
      </c>
      <c r="BG1455" s="399">
        <v>51</v>
      </c>
      <c r="BH1455" s="252">
        <v>51</v>
      </c>
      <c r="BI1455" s="251" t="s">
        <v>379</v>
      </c>
      <c r="BJ1455" s="251" t="s">
        <v>350</v>
      </c>
      <c r="BK1455" s="251" t="s">
        <v>4038</v>
      </c>
      <c r="BL1455" s="251" t="s">
        <v>730</v>
      </c>
    </row>
    <row r="1456" spans="2:64" ht="15">
      <c r="B1456" s="84"/>
      <c r="D1456" s="84"/>
      <c r="E1456" s="84"/>
      <c r="F1456" s="84"/>
      <c r="G1456" s="84"/>
      <c r="R1456" s="251"/>
      <c r="S1456" s="251"/>
      <c r="BD1456" s="399">
        <v>1453</v>
      </c>
      <c r="BE1456" s="399" t="s">
        <v>4039</v>
      </c>
      <c r="BF1456" s="251" t="s">
        <v>3598</v>
      </c>
      <c r="BG1456" s="399">
        <v>51</v>
      </c>
      <c r="BH1456" s="252">
        <v>51</v>
      </c>
      <c r="BI1456" s="251" t="s">
        <v>615</v>
      </c>
      <c r="BJ1456" s="251" t="s">
        <v>728</v>
      </c>
      <c r="BK1456" s="251" t="s">
        <v>4040</v>
      </c>
      <c r="BL1456" s="251" t="s">
        <v>730</v>
      </c>
    </row>
    <row r="1457" spans="2:64" ht="15">
      <c r="B1457" s="84"/>
      <c r="D1457" s="84"/>
      <c r="E1457" s="84"/>
      <c r="F1457" s="84"/>
      <c r="G1457" s="84"/>
      <c r="R1457" s="251"/>
      <c r="S1457" s="251"/>
      <c r="BD1457" s="399">
        <v>1454</v>
      </c>
      <c r="BE1457" s="399" t="s">
        <v>4041</v>
      </c>
      <c r="BF1457" s="251" t="s">
        <v>3598</v>
      </c>
      <c r="BG1457" s="399">
        <v>52</v>
      </c>
      <c r="BH1457" s="252">
        <v>52</v>
      </c>
      <c r="BI1457" s="251" t="s">
        <v>379</v>
      </c>
      <c r="BJ1457" s="251" t="s">
        <v>1855</v>
      </c>
      <c r="BK1457" s="251" t="s">
        <v>4042</v>
      </c>
      <c r="BL1457" s="251" t="s">
        <v>1121</v>
      </c>
    </row>
    <row r="1458" spans="2:64" ht="15">
      <c r="B1458" s="84"/>
      <c r="D1458" s="84"/>
      <c r="E1458" s="84"/>
      <c r="F1458" s="84"/>
      <c r="G1458" s="84"/>
      <c r="R1458" s="251"/>
      <c r="S1458" s="251"/>
      <c r="BD1458" s="399">
        <v>1455</v>
      </c>
      <c r="BE1458" s="399" t="s">
        <v>4043</v>
      </c>
      <c r="BF1458" s="251" t="s">
        <v>3598</v>
      </c>
      <c r="BG1458" s="399">
        <v>52</v>
      </c>
      <c r="BH1458" s="252">
        <v>52</v>
      </c>
      <c r="BI1458" s="251" t="s">
        <v>379</v>
      </c>
      <c r="BJ1458" s="251" t="s">
        <v>350</v>
      </c>
      <c r="BK1458" s="251" t="s">
        <v>4044</v>
      </c>
      <c r="BL1458" s="251" t="s">
        <v>1121</v>
      </c>
    </row>
    <row r="1459" spans="2:64" ht="15">
      <c r="B1459" s="84"/>
      <c r="D1459" s="84"/>
      <c r="E1459" s="84"/>
      <c r="F1459" s="84"/>
      <c r="G1459" s="84"/>
      <c r="R1459" s="251"/>
      <c r="S1459" s="251"/>
      <c r="BD1459" s="399">
        <v>1456</v>
      </c>
      <c r="BE1459" s="399" t="s">
        <v>4045</v>
      </c>
      <c r="BF1459" s="251" t="s">
        <v>3598</v>
      </c>
      <c r="BG1459" s="399">
        <v>52</v>
      </c>
      <c r="BH1459" s="252">
        <v>52</v>
      </c>
      <c r="BI1459" s="251" t="s">
        <v>379</v>
      </c>
      <c r="BJ1459" s="251" t="s">
        <v>3604</v>
      </c>
      <c r="BK1459" s="251" t="s">
        <v>4046</v>
      </c>
      <c r="BL1459" s="251" t="s">
        <v>1121</v>
      </c>
    </row>
    <row r="1460" spans="2:64" ht="15">
      <c r="B1460" s="84"/>
      <c r="D1460" s="84"/>
      <c r="E1460" s="84"/>
      <c r="F1460" s="84"/>
      <c r="G1460" s="84"/>
      <c r="R1460" s="251"/>
      <c r="S1460" s="251"/>
      <c r="BD1460" s="399">
        <v>1457</v>
      </c>
      <c r="BE1460" s="399" t="s">
        <v>4047</v>
      </c>
      <c r="BF1460" s="251" t="s">
        <v>3598</v>
      </c>
      <c r="BG1460" s="399">
        <v>52</v>
      </c>
      <c r="BH1460" s="252">
        <v>52</v>
      </c>
      <c r="BI1460" s="251" t="s">
        <v>615</v>
      </c>
      <c r="BJ1460" s="251" t="s">
        <v>3604</v>
      </c>
      <c r="BK1460" s="251" t="s">
        <v>4048</v>
      </c>
      <c r="BL1460" s="251" t="s">
        <v>1121</v>
      </c>
    </row>
    <row r="1461" spans="2:64" ht="15">
      <c r="B1461" s="84"/>
      <c r="D1461" s="84"/>
      <c r="E1461" s="84"/>
      <c r="F1461" s="84"/>
      <c r="G1461" s="84"/>
      <c r="R1461" s="251"/>
      <c r="S1461" s="251"/>
      <c r="BD1461" s="399">
        <v>1458</v>
      </c>
      <c r="BE1461" s="399" t="s">
        <v>4049</v>
      </c>
      <c r="BF1461" s="251" t="s">
        <v>3598</v>
      </c>
      <c r="BG1461" s="399">
        <v>52</v>
      </c>
      <c r="BH1461" s="252">
        <v>52</v>
      </c>
      <c r="BI1461" s="251" t="s">
        <v>728</v>
      </c>
      <c r="BJ1461" s="251" t="s">
        <v>2530</v>
      </c>
      <c r="BK1461" s="251" t="s">
        <v>4050</v>
      </c>
      <c r="BL1461" s="251" t="s">
        <v>1121</v>
      </c>
    </row>
    <row r="1462" spans="2:64" ht="15">
      <c r="B1462" s="84"/>
      <c r="D1462" s="84"/>
      <c r="E1462" s="84"/>
      <c r="F1462" s="84"/>
      <c r="G1462" s="84"/>
      <c r="R1462" s="251"/>
      <c r="S1462" s="251"/>
      <c r="BD1462" s="399">
        <v>1459</v>
      </c>
      <c r="BE1462" s="399" t="s">
        <v>4051</v>
      </c>
      <c r="BF1462" s="251" t="s">
        <v>3598</v>
      </c>
      <c r="BG1462" s="399">
        <v>53</v>
      </c>
      <c r="BH1462" s="252">
        <v>53</v>
      </c>
      <c r="BI1462" s="251" t="s">
        <v>365</v>
      </c>
      <c r="BJ1462" s="251" t="s">
        <v>728</v>
      </c>
      <c r="BK1462" s="251" t="s">
        <v>4052</v>
      </c>
      <c r="BL1462" s="251" t="s">
        <v>3323</v>
      </c>
    </row>
    <row r="1463" spans="2:64" ht="15">
      <c r="B1463" s="84"/>
      <c r="D1463" s="84"/>
      <c r="E1463" s="84"/>
      <c r="F1463" s="84"/>
      <c r="G1463" s="84"/>
      <c r="R1463" s="251"/>
      <c r="S1463" s="251"/>
      <c r="BD1463" s="399">
        <v>1460</v>
      </c>
      <c r="BE1463" s="399" t="s">
        <v>4053</v>
      </c>
      <c r="BF1463" s="251" t="s">
        <v>3598</v>
      </c>
      <c r="BG1463" s="399">
        <v>53</v>
      </c>
      <c r="BH1463" s="252">
        <v>53</v>
      </c>
      <c r="BI1463" s="251" t="s">
        <v>379</v>
      </c>
      <c r="BJ1463" s="251" t="s">
        <v>1855</v>
      </c>
      <c r="BK1463" s="251" t="s">
        <v>4054</v>
      </c>
      <c r="BL1463" s="251" t="s">
        <v>3323</v>
      </c>
    </row>
    <row r="1464" spans="2:64" ht="15">
      <c r="B1464" s="84"/>
      <c r="D1464" s="84"/>
      <c r="E1464" s="84"/>
      <c r="F1464" s="84"/>
      <c r="G1464" s="84"/>
      <c r="R1464" s="251"/>
      <c r="S1464" s="251"/>
      <c r="BD1464" s="399">
        <v>1461</v>
      </c>
      <c r="BE1464" s="399" t="s">
        <v>4055</v>
      </c>
      <c r="BF1464" s="251" t="s">
        <v>3598</v>
      </c>
      <c r="BG1464" s="399">
        <v>53</v>
      </c>
      <c r="BH1464" s="252">
        <v>53</v>
      </c>
      <c r="BI1464" s="251" t="s">
        <v>379</v>
      </c>
      <c r="BJ1464" s="251" t="s">
        <v>728</v>
      </c>
      <c r="BK1464" s="251" t="s">
        <v>4056</v>
      </c>
      <c r="BL1464" s="251" t="s">
        <v>3323</v>
      </c>
    </row>
    <row r="1465" spans="2:64" ht="15">
      <c r="B1465" s="84"/>
      <c r="D1465" s="84"/>
      <c r="E1465" s="84"/>
      <c r="F1465" s="84"/>
      <c r="G1465" s="84"/>
      <c r="R1465" s="251"/>
      <c r="S1465" s="251"/>
      <c r="BD1465" s="399">
        <v>1462</v>
      </c>
      <c r="BE1465" s="399" t="s">
        <v>4057</v>
      </c>
      <c r="BF1465" s="251" t="s">
        <v>3598</v>
      </c>
      <c r="BG1465" s="399">
        <v>53</v>
      </c>
      <c r="BH1465" s="252">
        <v>53</v>
      </c>
      <c r="BI1465" s="251" t="s">
        <v>3599</v>
      </c>
      <c r="BJ1465" s="251" t="s">
        <v>350</v>
      </c>
      <c r="BK1465" s="251" t="s">
        <v>4058</v>
      </c>
      <c r="BL1465" s="251" t="s">
        <v>3323</v>
      </c>
    </row>
    <row r="1466" spans="2:64" ht="15">
      <c r="B1466" s="84"/>
      <c r="D1466" s="84"/>
      <c r="E1466" s="84"/>
      <c r="F1466" s="84"/>
      <c r="G1466" s="84"/>
      <c r="R1466" s="251"/>
      <c r="S1466" s="251"/>
      <c r="BD1466" s="399">
        <v>1463</v>
      </c>
      <c r="BE1466" s="399" t="s">
        <v>4059</v>
      </c>
      <c r="BF1466" s="251" t="s">
        <v>3598</v>
      </c>
      <c r="BG1466" s="399">
        <v>53</v>
      </c>
      <c r="BH1466" s="252">
        <v>53</v>
      </c>
      <c r="BI1466" s="251" t="s">
        <v>379</v>
      </c>
      <c r="BJ1466" s="251" t="s">
        <v>3604</v>
      </c>
      <c r="BK1466" s="251" t="s">
        <v>4060</v>
      </c>
      <c r="BL1466" s="251" t="s">
        <v>3323</v>
      </c>
    </row>
    <row r="1467" spans="2:64" ht="15">
      <c r="B1467" s="84"/>
      <c r="D1467" s="84"/>
      <c r="E1467" s="84"/>
      <c r="F1467" s="84"/>
      <c r="G1467" s="84"/>
      <c r="R1467" s="251"/>
      <c r="S1467" s="251"/>
      <c r="BD1467" s="399">
        <v>1464</v>
      </c>
      <c r="BE1467" s="399" t="s">
        <v>4061</v>
      </c>
      <c r="BF1467" s="251" t="s">
        <v>3598</v>
      </c>
      <c r="BG1467" s="399">
        <v>53</v>
      </c>
      <c r="BH1467" s="252">
        <v>53</v>
      </c>
      <c r="BI1467" s="251" t="s">
        <v>615</v>
      </c>
      <c r="BJ1467" s="251" t="s">
        <v>1855</v>
      </c>
      <c r="BK1467" s="251" t="s">
        <v>4062</v>
      </c>
      <c r="BL1467" s="251" t="s">
        <v>3323</v>
      </c>
    </row>
    <row r="1468" spans="2:64" ht="15">
      <c r="B1468" s="84"/>
      <c r="D1468" s="84"/>
      <c r="E1468" s="84"/>
      <c r="F1468" s="84"/>
      <c r="G1468" s="84"/>
      <c r="R1468" s="251"/>
      <c r="S1468" s="251"/>
      <c r="BD1468" s="399">
        <v>1465</v>
      </c>
      <c r="BE1468" s="399" t="s">
        <v>4063</v>
      </c>
      <c r="BF1468" s="251" t="s">
        <v>3598</v>
      </c>
      <c r="BG1468" s="399">
        <v>53</v>
      </c>
      <c r="BH1468" s="252">
        <v>53</v>
      </c>
      <c r="BI1468" s="251" t="s">
        <v>615</v>
      </c>
      <c r="BJ1468" s="251" t="s">
        <v>728</v>
      </c>
      <c r="BK1468" s="251" t="s">
        <v>4064</v>
      </c>
      <c r="BL1468" s="251" t="s">
        <v>3323</v>
      </c>
    </row>
    <row r="1469" spans="2:64" ht="15">
      <c r="B1469" s="84"/>
      <c r="D1469" s="84"/>
      <c r="E1469" s="84"/>
      <c r="F1469" s="84"/>
      <c r="G1469" s="84"/>
      <c r="R1469" s="251"/>
      <c r="S1469" s="251"/>
      <c r="BD1469" s="399">
        <v>1466</v>
      </c>
      <c r="BE1469" s="399" t="s">
        <v>4065</v>
      </c>
      <c r="BF1469" s="251" t="s">
        <v>3598</v>
      </c>
      <c r="BG1469" s="399">
        <v>53</v>
      </c>
      <c r="BH1469" s="252">
        <v>53</v>
      </c>
      <c r="BI1469" s="251" t="s">
        <v>615</v>
      </c>
      <c r="BJ1469" s="251" t="s">
        <v>350</v>
      </c>
      <c r="BK1469" s="251" t="s">
        <v>4066</v>
      </c>
      <c r="BL1469" s="251" t="s">
        <v>3323</v>
      </c>
    </row>
    <row r="1470" spans="2:64" ht="15">
      <c r="B1470" s="84"/>
      <c r="D1470" s="84"/>
      <c r="E1470" s="84"/>
      <c r="F1470" s="84"/>
      <c r="G1470" s="84"/>
      <c r="R1470" s="251"/>
      <c r="S1470" s="251"/>
      <c r="BD1470" s="399">
        <v>1467</v>
      </c>
      <c r="BE1470" s="399" t="s">
        <v>4067</v>
      </c>
      <c r="BF1470" s="251" t="s">
        <v>3598</v>
      </c>
      <c r="BG1470" s="399">
        <v>53</v>
      </c>
      <c r="BH1470" s="252">
        <v>53</v>
      </c>
      <c r="BI1470" s="251" t="s">
        <v>477</v>
      </c>
      <c r="BJ1470" s="251" t="s">
        <v>728</v>
      </c>
      <c r="BK1470" s="251" t="s">
        <v>4068</v>
      </c>
      <c r="BL1470" s="251" t="s">
        <v>3323</v>
      </c>
    </row>
    <row r="1471" spans="2:64" ht="15">
      <c r="B1471" s="84"/>
      <c r="D1471" s="84"/>
      <c r="E1471" s="84"/>
      <c r="F1471" s="84"/>
      <c r="G1471" s="84"/>
      <c r="R1471" s="251"/>
      <c r="S1471" s="251"/>
      <c r="BD1471" s="399">
        <v>1468</v>
      </c>
      <c r="BE1471" s="399" t="s">
        <v>4069</v>
      </c>
      <c r="BF1471" s="251" t="s">
        <v>3598</v>
      </c>
      <c r="BG1471" s="399">
        <v>53</v>
      </c>
      <c r="BH1471" s="252">
        <v>53</v>
      </c>
      <c r="BI1471" s="251" t="s">
        <v>477</v>
      </c>
      <c r="BJ1471" s="251" t="s">
        <v>350</v>
      </c>
      <c r="BK1471" s="251" t="s">
        <v>4070</v>
      </c>
      <c r="BL1471" s="251" t="s">
        <v>3323</v>
      </c>
    </row>
    <row r="1472" spans="2:64" ht="15">
      <c r="B1472" s="84"/>
      <c r="D1472" s="84"/>
      <c r="E1472" s="84"/>
      <c r="F1472" s="84"/>
      <c r="G1472" s="84"/>
      <c r="R1472" s="251"/>
      <c r="S1472" s="251"/>
      <c r="BD1472" s="399">
        <v>1469</v>
      </c>
      <c r="BE1472" s="399" t="s">
        <v>4071</v>
      </c>
      <c r="BF1472" s="251" t="s">
        <v>3598</v>
      </c>
      <c r="BG1472" s="399">
        <v>53</v>
      </c>
      <c r="BH1472" s="252">
        <v>53</v>
      </c>
      <c r="BI1472" s="251" t="s">
        <v>477</v>
      </c>
      <c r="BJ1472" s="251" t="s">
        <v>4072</v>
      </c>
      <c r="BK1472" s="251" t="s">
        <v>4073</v>
      </c>
      <c r="BL1472" s="251" t="s">
        <v>3323</v>
      </c>
    </row>
    <row r="1473" spans="2:64" ht="15">
      <c r="B1473" s="84"/>
      <c r="D1473" s="84"/>
      <c r="E1473" s="84"/>
      <c r="F1473" s="84"/>
      <c r="G1473" s="84"/>
      <c r="R1473" s="251"/>
      <c r="S1473" s="251"/>
      <c r="BD1473" s="399">
        <v>1470</v>
      </c>
      <c r="BE1473" s="399" t="s">
        <v>4074</v>
      </c>
      <c r="BF1473" s="251" t="s">
        <v>3598</v>
      </c>
      <c r="BG1473" s="399">
        <v>53</v>
      </c>
      <c r="BH1473" s="252">
        <v>53</v>
      </c>
      <c r="BI1473" s="251" t="s">
        <v>728</v>
      </c>
      <c r="BJ1473" s="251" t="s">
        <v>3957</v>
      </c>
      <c r="BK1473" s="251" t="s">
        <v>4075</v>
      </c>
      <c r="BL1473" s="251" t="s">
        <v>3323</v>
      </c>
    </row>
    <row r="1474" spans="2:64" ht="15">
      <c r="B1474" s="84"/>
      <c r="D1474" s="84"/>
      <c r="E1474" s="84"/>
      <c r="F1474" s="84"/>
      <c r="G1474" s="84"/>
      <c r="R1474" s="251"/>
      <c r="S1474" s="251"/>
      <c r="BD1474" s="399">
        <v>1471</v>
      </c>
      <c r="BE1474" s="399" t="s">
        <v>4076</v>
      </c>
      <c r="BF1474" s="251" t="s">
        <v>3598</v>
      </c>
      <c r="BG1474" s="399">
        <v>53</v>
      </c>
      <c r="BH1474" s="252">
        <v>53</v>
      </c>
      <c r="BI1474" s="251" t="s">
        <v>450</v>
      </c>
      <c r="BJ1474" s="251" t="s">
        <v>728</v>
      </c>
      <c r="BK1474" s="251" t="s">
        <v>4077</v>
      </c>
      <c r="BL1474" s="251" t="s">
        <v>3323</v>
      </c>
    </row>
    <row r="1475" spans="2:64" ht="15">
      <c r="B1475" s="84"/>
      <c r="D1475" s="84"/>
      <c r="E1475" s="84"/>
      <c r="F1475" s="84"/>
      <c r="G1475" s="84"/>
      <c r="R1475" s="251"/>
      <c r="S1475" s="251"/>
      <c r="BD1475" s="399">
        <v>1472</v>
      </c>
      <c r="BE1475" s="399" t="s">
        <v>4078</v>
      </c>
      <c r="BF1475" s="251" t="s">
        <v>3598</v>
      </c>
      <c r="BG1475" s="399">
        <v>53</v>
      </c>
      <c r="BH1475" s="252">
        <v>53</v>
      </c>
      <c r="BI1475" s="251" t="s">
        <v>450</v>
      </c>
      <c r="BJ1475" s="251" t="s">
        <v>350</v>
      </c>
      <c r="BK1475" s="251" t="s">
        <v>4079</v>
      </c>
      <c r="BL1475" s="251" t="s">
        <v>3323</v>
      </c>
    </row>
    <row r="1476" spans="2:64" ht="15">
      <c r="B1476" s="84"/>
      <c r="D1476" s="84"/>
      <c r="E1476" s="84"/>
      <c r="F1476" s="84"/>
      <c r="G1476" s="84"/>
      <c r="R1476" s="251"/>
      <c r="S1476" s="251"/>
      <c r="BD1476" s="399">
        <v>1473</v>
      </c>
      <c r="BE1476" s="399" t="s">
        <v>4080</v>
      </c>
      <c r="BF1476" s="251" t="s">
        <v>3598</v>
      </c>
      <c r="BG1476" s="399">
        <v>53</v>
      </c>
      <c r="BH1476" s="252">
        <v>53</v>
      </c>
      <c r="BI1476" s="251" t="s">
        <v>2530</v>
      </c>
      <c r="BJ1476" s="251" t="s">
        <v>350</v>
      </c>
      <c r="BK1476" s="251" t="s">
        <v>4081</v>
      </c>
      <c r="BL1476" s="251" t="s">
        <v>3323</v>
      </c>
    </row>
    <row r="1477" spans="2:64" ht="15">
      <c r="B1477" s="84"/>
      <c r="D1477" s="84"/>
      <c r="E1477" s="84"/>
      <c r="F1477" s="84"/>
      <c r="G1477" s="84"/>
      <c r="R1477" s="251"/>
      <c r="S1477" s="251"/>
      <c r="BD1477" s="399">
        <v>1474</v>
      </c>
      <c r="BE1477" s="399" t="s">
        <v>4082</v>
      </c>
      <c r="BF1477" s="251" t="s">
        <v>3598</v>
      </c>
      <c r="BG1477" s="399">
        <v>53</v>
      </c>
      <c r="BH1477" s="252">
        <v>53</v>
      </c>
      <c r="BI1477" s="251" t="s">
        <v>2530</v>
      </c>
      <c r="BJ1477" s="251" t="s">
        <v>3604</v>
      </c>
      <c r="BK1477" s="251" t="s">
        <v>4083</v>
      </c>
      <c r="BL1477" s="251" t="s">
        <v>3323</v>
      </c>
    </row>
    <row r="1478" spans="2:64" ht="15">
      <c r="B1478" s="84"/>
      <c r="D1478" s="84"/>
      <c r="E1478" s="84"/>
      <c r="F1478" s="84"/>
      <c r="G1478" s="84"/>
      <c r="R1478" s="251"/>
      <c r="S1478" s="251"/>
      <c r="BD1478" s="399">
        <v>1475</v>
      </c>
      <c r="BE1478" s="399" t="s">
        <v>4084</v>
      </c>
      <c r="BF1478" s="251" t="s">
        <v>3598</v>
      </c>
      <c r="BG1478" s="399">
        <v>57</v>
      </c>
      <c r="BH1478" s="252">
        <v>57</v>
      </c>
      <c r="BI1478" s="251" t="s">
        <v>333</v>
      </c>
      <c r="BJ1478" s="251" t="s">
        <v>1855</v>
      </c>
      <c r="BK1478" s="251" t="s">
        <v>4085</v>
      </c>
      <c r="BL1478" s="251" t="s">
        <v>725</v>
      </c>
    </row>
    <row r="1479" spans="2:64" ht="15">
      <c r="B1479" s="84"/>
      <c r="D1479" s="84"/>
      <c r="E1479" s="84"/>
      <c r="F1479" s="84"/>
      <c r="G1479" s="84"/>
      <c r="R1479" s="251"/>
      <c r="S1479" s="251"/>
      <c r="BD1479" s="399">
        <v>1476</v>
      </c>
      <c r="BE1479" s="399" t="s">
        <v>4086</v>
      </c>
      <c r="BF1479" s="251" t="s">
        <v>3598</v>
      </c>
      <c r="BG1479" s="399">
        <v>57</v>
      </c>
      <c r="BH1479" s="252">
        <v>57</v>
      </c>
      <c r="BI1479" s="251" t="s">
        <v>333</v>
      </c>
      <c r="BJ1479" s="251" t="s">
        <v>728</v>
      </c>
      <c r="BK1479" s="251" t="s">
        <v>4087</v>
      </c>
      <c r="BL1479" s="251" t="s">
        <v>725</v>
      </c>
    </row>
    <row r="1480" spans="2:64" ht="15">
      <c r="B1480" s="84"/>
      <c r="D1480" s="84"/>
      <c r="E1480" s="84"/>
      <c r="F1480" s="84"/>
      <c r="G1480" s="84"/>
      <c r="R1480" s="251"/>
      <c r="S1480" s="251"/>
      <c r="BD1480" s="399">
        <v>1477</v>
      </c>
      <c r="BE1480" s="399" t="s">
        <v>4088</v>
      </c>
      <c r="BF1480" s="251" t="s">
        <v>3598</v>
      </c>
      <c r="BG1480" s="399">
        <v>57</v>
      </c>
      <c r="BH1480" s="252">
        <v>57</v>
      </c>
      <c r="BI1480" s="251" t="s">
        <v>365</v>
      </c>
      <c r="BJ1480" s="251" t="s">
        <v>1855</v>
      </c>
      <c r="BK1480" s="251" t="s">
        <v>4089</v>
      </c>
      <c r="BL1480" s="251" t="s">
        <v>725</v>
      </c>
    </row>
    <row r="1481" spans="2:64" ht="15">
      <c r="B1481" s="84"/>
      <c r="D1481" s="84"/>
      <c r="E1481" s="84"/>
      <c r="F1481" s="84"/>
      <c r="G1481" s="84"/>
      <c r="R1481" s="251"/>
      <c r="S1481" s="251"/>
      <c r="BD1481" s="399">
        <v>1478</v>
      </c>
      <c r="BE1481" s="399" t="s">
        <v>4090</v>
      </c>
      <c r="BF1481" s="251" t="s">
        <v>3598</v>
      </c>
      <c r="BG1481" s="399">
        <v>57</v>
      </c>
      <c r="BH1481" s="252">
        <v>57</v>
      </c>
      <c r="BI1481" s="251" t="s">
        <v>365</v>
      </c>
      <c r="BJ1481" s="251" t="s">
        <v>728</v>
      </c>
      <c r="BK1481" s="251" t="s">
        <v>4091</v>
      </c>
      <c r="BL1481" s="251" t="s">
        <v>725</v>
      </c>
    </row>
    <row r="1482" spans="2:64" ht="15">
      <c r="B1482" s="84"/>
      <c r="D1482" s="84"/>
      <c r="E1482" s="84"/>
      <c r="F1482" s="84"/>
      <c r="G1482" s="84"/>
      <c r="R1482" s="251"/>
      <c r="S1482" s="251"/>
      <c r="BD1482" s="399">
        <v>1479</v>
      </c>
      <c r="BE1482" s="399" t="s">
        <v>4092</v>
      </c>
      <c r="BF1482" s="251" t="s">
        <v>3598</v>
      </c>
      <c r="BG1482" s="399">
        <v>57</v>
      </c>
      <c r="BH1482" s="252">
        <v>57</v>
      </c>
      <c r="BI1482" s="251" t="s">
        <v>379</v>
      </c>
      <c r="BJ1482" s="251" t="s">
        <v>1855</v>
      </c>
      <c r="BK1482" s="251" t="s">
        <v>4093</v>
      </c>
      <c r="BL1482" s="251" t="s">
        <v>725</v>
      </c>
    </row>
    <row r="1483" spans="2:64" ht="15">
      <c r="B1483" s="84"/>
      <c r="D1483" s="84"/>
      <c r="E1483" s="84"/>
      <c r="F1483" s="84"/>
      <c r="G1483" s="84"/>
      <c r="R1483" s="251"/>
      <c r="S1483" s="251"/>
      <c r="BD1483" s="399">
        <v>1480</v>
      </c>
      <c r="BE1483" s="399" t="s">
        <v>4094</v>
      </c>
      <c r="BF1483" s="251" t="s">
        <v>3598</v>
      </c>
      <c r="BG1483" s="399">
        <v>57</v>
      </c>
      <c r="BH1483" s="252">
        <v>57</v>
      </c>
      <c r="BI1483" s="251" t="s">
        <v>450</v>
      </c>
      <c r="BJ1483" s="251" t="s">
        <v>728</v>
      </c>
      <c r="BK1483" s="251" t="s">
        <v>4095</v>
      </c>
      <c r="BL1483" s="251" t="s">
        <v>725</v>
      </c>
    </row>
    <row r="1484" spans="2:64" ht="15">
      <c r="B1484" s="84"/>
      <c r="D1484" s="84"/>
      <c r="E1484" s="84"/>
      <c r="F1484" s="84"/>
      <c r="G1484" s="84"/>
      <c r="R1484" s="251"/>
      <c r="S1484" s="251"/>
      <c r="BD1484" s="399">
        <v>1481</v>
      </c>
      <c r="BE1484" s="399" t="s">
        <v>4096</v>
      </c>
      <c r="BF1484" s="251" t="s">
        <v>3598</v>
      </c>
      <c r="BG1484" s="399">
        <v>58</v>
      </c>
      <c r="BH1484" s="252">
        <v>58</v>
      </c>
      <c r="BI1484" s="251" t="s">
        <v>365</v>
      </c>
      <c r="BJ1484" s="251" t="s">
        <v>1855</v>
      </c>
      <c r="BK1484" s="251" t="s">
        <v>4097</v>
      </c>
      <c r="BL1484" s="251" t="s">
        <v>3375</v>
      </c>
    </row>
    <row r="1485" spans="2:64" ht="15">
      <c r="B1485" s="84"/>
      <c r="D1485" s="84"/>
      <c r="E1485" s="84"/>
      <c r="F1485" s="84"/>
      <c r="G1485" s="84"/>
      <c r="R1485" s="251"/>
      <c r="S1485" s="251"/>
      <c r="BD1485" s="399">
        <v>1482</v>
      </c>
      <c r="BE1485" s="399" t="s">
        <v>4098</v>
      </c>
      <c r="BF1485" s="251" t="s">
        <v>3598</v>
      </c>
      <c r="BG1485" s="399">
        <v>58</v>
      </c>
      <c r="BH1485" s="252">
        <v>58</v>
      </c>
      <c r="BI1485" s="251" t="s">
        <v>365</v>
      </c>
      <c r="BJ1485" s="251" t="s">
        <v>3604</v>
      </c>
      <c r="BK1485" s="251" t="s">
        <v>4099</v>
      </c>
      <c r="BL1485" s="251" t="s">
        <v>3375</v>
      </c>
    </row>
    <row r="1486" spans="2:64" ht="15">
      <c r="B1486" s="84"/>
      <c r="D1486" s="84"/>
      <c r="E1486" s="84"/>
      <c r="F1486" s="84"/>
      <c r="G1486" s="84"/>
      <c r="R1486" s="251"/>
      <c r="S1486" s="251"/>
      <c r="BD1486" s="399">
        <v>1483</v>
      </c>
      <c r="BE1486" s="399" t="s">
        <v>4100</v>
      </c>
      <c r="BF1486" s="251" t="s">
        <v>3598</v>
      </c>
      <c r="BG1486" s="399">
        <v>58</v>
      </c>
      <c r="BH1486" s="252">
        <v>58</v>
      </c>
      <c r="BI1486" s="251" t="s">
        <v>379</v>
      </c>
      <c r="BJ1486" s="251" t="s">
        <v>728</v>
      </c>
      <c r="BK1486" s="251" t="s">
        <v>4101</v>
      </c>
      <c r="BL1486" s="251" t="s">
        <v>3375</v>
      </c>
    </row>
    <row r="1487" spans="2:64" ht="15">
      <c r="B1487" s="84"/>
      <c r="D1487" s="84"/>
      <c r="E1487" s="84"/>
      <c r="F1487" s="84"/>
      <c r="G1487" s="84"/>
      <c r="R1487" s="251"/>
      <c r="S1487" s="251"/>
      <c r="BD1487" s="399">
        <v>1484</v>
      </c>
      <c r="BE1487" s="399" t="s">
        <v>4102</v>
      </c>
      <c r="BF1487" s="251" t="s">
        <v>3598</v>
      </c>
      <c r="BG1487" s="399">
        <v>58</v>
      </c>
      <c r="BH1487" s="252">
        <v>58</v>
      </c>
      <c r="BI1487" s="251" t="s">
        <v>615</v>
      </c>
      <c r="BJ1487" s="251" t="s">
        <v>1855</v>
      </c>
      <c r="BK1487" s="251" t="s">
        <v>4103</v>
      </c>
      <c r="BL1487" s="251" t="s">
        <v>3375</v>
      </c>
    </row>
    <row r="1488" spans="2:64" ht="15">
      <c r="B1488" s="84"/>
      <c r="D1488" s="84"/>
      <c r="E1488" s="84"/>
      <c r="F1488" s="84"/>
      <c r="G1488" s="84"/>
      <c r="R1488" s="251"/>
      <c r="S1488" s="251"/>
      <c r="BD1488" s="399">
        <v>1485</v>
      </c>
      <c r="BE1488" s="399" t="s">
        <v>4104</v>
      </c>
      <c r="BF1488" s="251" t="s">
        <v>3598</v>
      </c>
      <c r="BG1488" s="399">
        <v>58</v>
      </c>
      <c r="BH1488" s="252">
        <v>58</v>
      </c>
      <c r="BI1488" s="251" t="s">
        <v>615</v>
      </c>
      <c r="BJ1488" s="251" t="s">
        <v>350</v>
      </c>
      <c r="BK1488" s="251" t="s">
        <v>4105</v>
      </c>
      <c r="BL1488" s="251" t="s">
        <v>3375</v>
      </c>
    </row>
    <row r="1489" spans="2:64" ht="15">
      <c r="B1489" s="84"/>
      <c r="D1489" s="84"/>
      <c r="E1489" s="84"/>
      <c r="F1489" s="84"/>
      <c r="G1489" s="84"/>
      <c r="R1489" s="251"/>
      <c r="S1489" s="251"/>
      <c r="BD1489" s="399">
        <v>1486</v>
      </c>
      <c r="BE1489" s="399" t="s">
        <v>4106</v>
      </c>
      <c r="BF1489" s="251" t="s">
        <v>3598</v>
      </c>
      <c r="BG1489" s="399">
        <v>58</v>
      </c>
      <c r="BH1489" s="252">
        <v>58</v>
      </c>
      <c r="BI1489" s="251" t="s">
        <v>477</v>
      </c>
      <c r="BJ1489" s="251" t="s">
        <v>1855</v>
      </c>
      <c r="BK1489" s="251" t="s">
        <v>4107</v>
      </c>
      <c r="BL1489" s="251" t="s">
        <v>3375</v>
      </c>
    </row>
    <row r="1490" spans="2:64" ht="15">
      <c r="B1490" s="84"/>
      <c r="D1490" s="84"/>
      <c r="E1490" s="84"/>
      <c r="F1490" s="84"/>
      <c r="G1490" s="84"/>
      <c r="R1490" s="251"/>
      <c r="S1490" s="251"/>
      <c r="BD1490" s="399">
        <v>1487</v>
      </c>
      <c r="BE1490" s="399" t="s">
        <v>4108</v>
      </c>
      <c r="BF1490" s="251" t="s">
        <v>3598</v>
      </c>
      <c r="BG1490" s="399">
        <v>58</v>
      </c>
      <c r="BH1490" s="252">
        <v>58</v>
      </c>
      <c r="BI1490" s="251" t="s">
        <v>477</v>
      </c>
      <c r="BJ1490" s="251" t="s">
        <v>728</v>
      </c>
      <c r="BK1490" s="251" t="s">
        <v>4109</v>
      </c>
      <c r="BL1490" s="251" t="s">
        <v>3375</v>
      </c>
    </row>
    <row r="1491" spans="2:64" ht="15">
      <c r="B1491" s="84"/>
      <c r="D1491" s="84"/>
      <c r="E1491" s="84"/>
      <c r="F1491" s="84"/>
      <c r="G1491" s="84"/>
      <c r="R1491" s="251"/>
      <c r="S1491" s="251"/>
      <c r="BD1491" s="399">
        <v>1488</v>
      </c>
      <c r="BE1491" s="399" t="s">
        <v>4110</v>
      </c>
      <c r="BF1491" s="251" t="s">
        <v>3598</v>
      </c>
      <c r="BG1491" s="399">
        <v>58</v>
      </c>
      <c r="BH1491" s="252">
        <v>58</v>
      </c>
      <c r="BI1491" s="251" t="s">
        <v>477</v>
      </c>
      <c r="BJ1491" s="251" t="s">
        <v>3604</v>
      </c>
      <c r="BK1491" s="251" t="s">
        <v>4111</v>
      </c>
      <c r="BL1491" s="251" t="s">
        <v>3375</v>
      </c>
    </row>
    <row r="1492" spans="2:64" ht="15">
      <c r="B1492" s="84"/>
      <c r="D1492" s="84"/>
      <c r="E1492" s="84"/>
      <c r="F1492" s="84"/>
      <c r="G1492" s="84"/>
      <c r="R1492" s="251"/>
      <c r="S1492" s="251"/>
      <c r="BD1492" s="399">
        <v>1489</v>
      </c>
      <c r="BE1492" s="399" t="s">
        <v>4112</v>
      </c>
      <c r="BF1492" s="251" t="s">
        <v>3598</v>
      </c>
      <c r="BG1492" s="399">
        <v>58</v>
      </c>
      <c r="BH1492" s="252">
        <v>58</v>
      </c>
      <c r="BI1492" s="251" t="s">
        <v>450</v>
      </c>
      <c r="BJ1492" s="251" t="s">
        <v>1855</v>
      </c>
      <c r="BK1492" s="251" t="s">
        <v>4113</v>
      </c>
      <c r="BL1492" s="251" t="s">
        <v>3375</v>
      </c>
    </row>
    <row r="1493" spans="2:64" ht="15">
      <c r="B1493" s="84"/>
      <c r="D1493" s="84"/>
      <c r="E1493" s="84"/>
      <c r="F1493" s="84"/>
      <c r="G1493" s="84"/>
      <c r="R1493" s="251"/>
      <c r="S1493" s="251"/>
      <c r="BD1493" s="399">
        <v>1490</v>
      </c>
      <c r="BE1493" s="399" t="s">
        <v>4114</v>
      </c>
      <c r="BF1493" s="251" t="s">
        <v>3598</v>
      </c>
      <c r="BG1493" s="399">
        <v>58</v>
      </c>
      <c r="BH1493" s="252">
        <v>58</v>
      </c>
      <c r="BI1493" s="251" t="s">
        <v>450</v>
      </c>
      <c r="BJ1493" s="251" t="s">
        <v>3604</v>
      </c>
      <c r="BK1493" s="251" t="s">
        <v>4115</v>
      </c>
      <c r="BL1493" s="251" t="s">
        <v>3375</v>
      </c>
    </row>
    <row r="1494" spans="2:64" ht="15">
      <c r="B1494" s="84"/>
      <c r="D1494" s="84"/>
      <c r="E1494" s="84"/>
      <c r="F1494" s="84"/>
      <c r="G1494" s="84"/>
      <c r="R1494" s="251"/>
      <c r="S1494" s="251"/>
      <c r="BD1494" s="399">
        <v>1491</v>
      </c>
      <c r="BE1494" s="399" t="s">
        <v>4116</v>
      </c>
      <c r="BF1494" s="251" t="s">
        <v>3598</v>
      </c>
      <c r="BG1494" s="399">
        <v>58</v>
      </c>
      <c r="BH1494" s="252">
        <v>58</v>
      </c>
      <c r="BI1494" s="251" t="s">
        <v>2530</v>
      </c>
      <c r="BJ1494" s="251" t="s">
        <v>728</v>
      </c>
      <c r="BK1494" s="251" t="s">
        <v>4117</v>
      </c>
      <c r="BL1494" s="251" t="s">
        <v>3375</v>
      </c>
    </row>
    <row r="1495" spans="2:64" ht="15">
      <c r="B1495" s="84"/>
      <c r="D1495" s="84"/>
      <c r="E1495" s="84"/>
      <c r="F1495" s="84"/>
      <c r="G1495" s="84"/>
      <c r="R1495" s="251"/>
      <c r="S1495" s="251"/>
      <c r="BD1495" s="399">
        <v>1492</v>
      </c>
      <c r="BE1495" s="399" t="s">
        <v>4118</v>
      </c>
      <c r="BF1495" s="251" t="s">
        <v>3598</v>
      </c>
      <c r="BG1495" s="399">
        <v>58</v>
      </c>
      <c r="BH1495" s="252">
        <v>58</v>
      </c>
      <c r="BI1495" s="251" t="s">
        <v>2530</v>
      </c>
      <c r="BJ1495" s="251" t="s">
        <v>350</v>
      </c>
      <c r="BK1495" s="251" t="s">
        <v>4119</v>
      </c>
      <c r="BL1495" s="251" t="s">
        <v>3375</v>
      </c>
    </row>
    <row r="1496" spans="2:64" ht="15">
      <c r="B1496" s="84"/>
      <c r="D1496" s="84"/>
      <c r="E1496" s="84"/>
      <c r="F1496" s="84"/>
      <c r="G1496" s="84"/>
      <c r="R1496" s="251"/>
      <c r="S1496" s="251"/>
      <c r="BD1496" s="399">
        <v>1493</v>
      </c>
      <c r="BE1496" s="399" t="s">
        <v>4120</v>
      </c>
      <c r="BF1496" s="251" t="s">
        <v>3598</v>
      </c>
      <c r="BG1496" s="399">
        <v>59</v>
      </c>
      <c r="BH1496" s="252">
        <v>59</v>
      </c>
      <c r="BI1496" s="251" t="s">
        <v>333</v>
      </c>
      <c r="BJ1496" s="251" t="s">
        <v>1855</v>
      </c>
      <c r="BK1496" s="251" t="s">
        <v>4121</v>
      </c>
      <c r="BL1496" s="251" t="s">
        <v>3397</v>
      </c>
    </row>
    <row r="1497" spans="2:64" ht="15">
      <c r="B1497" s="84"/>
      <c r="D1497" s="84"/>
      <c r="E1497" s="84"/>
      <c r="F1497" s="84"/>
      <c r="G1497" s="84"/>
      <c r="R1497" s="251"/>
      <c r="S1497" s="251"/>
      <c r="BD1497" s="399">
        <v>1494</v>
      </c>
      <c r="BE1497" s="399" t="s">
        <v>4122</v>
      </c>
      <c r="BF1497" s="251" t="s">
        <v>3598</v>
      </c>
      <c r="BG1497" s="399">
        <v>59</v>
      </c>
      <c r="BH1497" s="252">
        <v>59</v>
      </c>
      <c r="BI1497" s="251" t="s">
        <v>365</v>
      </c>
      <c r="BJ1497" s="251" t="s">
        <v>1855</v>
      </c>
      <c r="BK1497" s="251" t="s">
        <v>4123</v>
      </c>
      <c r="BL1497" s="251" t="s">
        <v>3397</v>
      </c>
    </row>
    <row r="1498" spans="2:64" ht="15">
      <c r="B1498" s="84"/>
      <c r="D1498" s="84"/>
      <c r="E1498" s="84"/>
      <c r="F1498" s="84"/>
      <c r="G1498" s="84"/>
      <c r="R1498" s="251"/>
      <c r="S1498" s="251"/>
      <c r="BD1498" s="399">
        <v>1495</v>
      </c>
      <c r="BE1498" s="399" t="s">
        <v>4124</v>
      </c>
      <c r="BF1498" s="251" t="s">
        <v>3598</v>
      </c>
      <c r="BG1498" s="399">
        <v>59</v>
      </c>
      <c r="BH1498" s="252">
        <v>59</v>
      </c>
      <c r="BI1498" s="251" t="s">
        <v>365</v>
      </c>
      <c r="BJ1498" s="251" t="s">
        <v>728</v>
      </c>
      <c r="BK1498" s="251" t="s">
        <v>4125</v>
      </c>
      <c r="BL1498" s="251" t="s">
        <v>3397</v>
      </c>
    </row>
    <row r="1499" spans="2:64" ht="15">
      <c r="B1499" s="84"/>
      <c r="D1499" s="84"/>
      <c r="E1499" s="84"/>
      <c r="F1499" s="84"/>
      <c r="G1499" s="84"/>
      <c r="R1499" s="251"/>
      <c r="S1499" s="251"/>
      <c r="BD1499" s="399">
        <v>1496</v>
      </c>
      <c r="BE1499" s="399" t="s">
        <v>4126</v>
      </c>
      <c r="BF1499" s="251" t="s">
        <v>3598</v>
      </c>
      <c r="BG1499" s="399">
        <v>59</v>
      </c>
      <c r="BH1499" s="252">
        <v>59</v>
      </c>
      <c r="BI1499" s="251" t="s">
        <v>365</v>
      </c>
      <c r="BJ1499" s="251" t="s">
        <v>350</v>
      </c>
      <c r="BK1499" s="251" t="s">
        <v>4127</v>
      </c>
      <c r="BL1499" s="251" t="s">
        <v>3397</v>
      </c>
    </row>
    <row r="1500" spans="2:64" ht="15">
      <c r="B1500" s="84"/>
      <c r="D1500" s="84"/>
      <c r="E1500" s="84"/>
      <c r="F1500" s="84"/>
      <c r="G1500" s="84"/>
      <c r="R1500" s="251"/>
      <c r="S1500" s="251"/>
      <c r="BD1500" s="399">
        <v>1497</v>
      </c>
      <c r="BE1500" s="399" t="s">
        <v>4128</v>
      </c>
      <c r="BF1500" s="251" t="s">
        <v>3598</v>
      </c>
      <c r="BG1500" s="399">
        <v>59</v>
      </c>
      <c r="BH1500" s="252">
        <v>59</v>
      </c>
      <c r="BI1500" s="251" t="s">
        <v>3599</v>
      </c>
      <c r="BJ1500" s="251" t="s">
        <v>1855</v>
      </c>
      <c r="BK1500" s="251" t="s">
        <v>4129</v>
      </c>
      <c r="BL1500" s="251" t="s">
        <v>3397</v>
      </c>
    </row>
    <row r="1501" spans="2:64" ht="15">
      <c r="B1501" s="84"/>
      <c r="D1501" s="84"/>
      <c r="E1501" s="84"/>
      <c r="F1501" s="84"/>
      <c r="G1501" s="84"/>
      <c r="R1501" s="251"/>
      <c r="S1501" s="251"/>
      <c r="BD1501" s="399">
        <v>1498</v>
      </c>
      <c r="BE1501" s="399" t="s">
        <v>4130</v>
      </c>
      <c r="BF1501" s="251" t="s">
        <v>3598</v>
      </c>
      <c r="BG1501" s="399">
        <v>59</v>
      </c>
      <c r="BH1501" s="252">
        <v>59</v>
      </c>
      <c r="BI1501" s="251" t="s">
        <v>3599</v>
      </c>
      <c r="BJ1501" s="251" t="s">
        <v>728</v>
      </c>
      <c r="BK1501" s="251" t="s">
        <v>4131</v>
      </c>
      <c r="BL1501" s="251" t="s">
        <v>3397</v>
      </c>
    </row>
    <row r="1502" spans="2:64" ht="15">
      <c r="B1502" s="84"/>
      <c r="D1502" s="84"/>
      <c r="E1502" s="84"/>
      <c r="F1502" s="84"/>
      <c r="G1502" s="84"/>
      <c r="R1502" s="251"/>
      <c r="S1502" s="251"/>
      <c r="BD1502" s="399">
        <v>1499</v>
      </c>
      <c r="BE1502" s="399" t="s">
        <v>4132</v>
      </c>
      <c r="BF1502" s="251" t="s">
        <v>3598</v>
      </c>
      <c r="BG1502" s="399">
        <v>59</v>
      </c>
      <c r="BH1502" s="252">
        <v>59</v>
      </c>
      <c r="BI1502" s="251" t="s">
        <v>3599</v>
      </c>
      <c r="BJ1502" s="251" t="s">
        <v>350</v>
      </c>
      <c r="BK1502" s="251" t="s">
        <v>4133</v>
      </c>
      <c r="BL1502" s="251" t="s">
        <v>3397</v>
      </c>
    </row>
    <row r="1503" spans="2:64" ht="15">
      <c r="B1503" s="84"/>
      <c r="D1503" s="84"/>
      <c r="E1503" s="84"/>
      <c r="F1503" s="84"/>
      <c r="G1503" s="84"/>
      <c r="R1503" s="251"/>
      <c r="S1503" s="251"/>
      <c r="BD1503" s="399">
        <v>1500</v>
      </c>
      <c r="BE1503" s="399" t="s">
        <v>4134</v>
      </c>
      <c r="BF1503" s="251" t="s">
        <v>3598</v>
      </c>
      <c r="BG1503" s="399">
        <v>59</v>
      </c>
      <c r="BH1503" s="252">
        <v>59</v>
      </c>
      <c r="BI1503" s="251" t="s">
        <v>379</v>
      </c>
      <c r="BJ1503" s="251" t="s">
        <v>3604</v>
      </c>
      <c r="BK1503" s="251" t="s">
        <v>4135</v>
      </c>
      <c r="BL1503" s="251" t="s">
        <v>3397</v>
      </c>
    </row>
    <row r="1504" spans="2:64" ht="15">
      <c r="B1504" s="84"/>
      <c r="D1504" s="84"/>
      <c r="E1504" s="84"/>
      <c r="F1504" s="84"/>
      <c r="G1504" s="84"/>
      <c r="R1504" s="251"/>
      <c r="S1504" s="251"/>
      <c r="BD1504" s="399">
        <v>1501</v>
      </c>
      <c r="BE1504" s="399" t="s">
        <v>4136</v>
      </c>
      <c r="BF1504" s="251" t="s">
        <v>3598</v>
      </c>
      <c r="BG1504" s="399">
        <v>59</v>
      </c>
      <c r="BH1504" s="252">
        <v>59</v>
      </c>
      <c r="BI1504" s="251" t="s">
        <v>615</v>
      </c>
      <c r="BJ1504" s="251" t="s">
        <v>728</v>
      </c>
      <c r="BK1504" s="251" t="s">
        <v>4137</v>
      </c>
      <c r="BL1504" s="251" t="s">
        <v>3397</v>
      </c>
    </row>
    <row r="1505" spans="2:64" ht="15">
      <c r="B1505" s="84"/>
      <c r="D1505" s="84"/>
      <c r="E1505" s="84"/>
      <c r="F1505" s="84"/>
      <c r="G1505" s="84"/>
      <c r="R1505" s="251"/>
      <c r="S1505" s="251"/>
      <c r="BD1505" s="399">
        <v>1502</v>
      </c>
      <c r="BE1505" s="399" t="s">
        <v>4138</v>
      </c>
      <c r="BF1505" s="251" t="s">
        <v>3598</v>
      </c>
      <c r="BG1505" s="399">
        <v>59</v>
      </c>
      <c r="BH1505" s="252">
        <v>59</v>
      </c>
      <c r="BI1505" s="251" t="s">
        <v>615</v>
      </c>
      <c r="BJ1505" s="251" t="s">
        <v>3604</v>
      </c>
      <c r="BK1505" s="251" t="s">
        <v>4139</v>
      </c>
      <c r="BL1505" s="251" t="s">
        <v>3397</v>
      </c>
    </row>
    <row r="1506" spans="2:64" ht="15">
      <c r="B1506" s="84"/>
      <c r="D1506" s="84"/>
      <c r="E1506" s="84"/>
      <c r="F1506" s="84"/>
      <c r="G1506" s="84"/>
      <c r="R1506" s="251"/>
      <c r="S1506" s="251"/>
      <c r="BD1506" s="399">
        <v>1503</v>
      </c>
      <c r="BE1506" s="399" t="s">
        <v>4140</v>
      </c>
      <c r="BF1506" s="251" t="s">
        <v>3598</v>
      </c>
      <c r="BG1506" s="399">
        <v>59</v>
      </c>
      <c r="BH1506" s="252">
        <v>59</v>
      </c>
      <c r="BI1506" s="251" t="s">
        <v>477</v>
      </c>
      <c r="BJ1506" s="251" t="s">
        <v>350</v>
      </c>
      <c r="BK1506" s="251" t="s">
        <v>4141</v>
      </c>
      <c r="BL1506" s="251" t="s">
        <v>3397</v>
      </c>
    </row>
    <row r="1507" spans="2:64" ht="15">
      <c r="B1507" s="84"/>
      <c r="D1507" s="84"/>
      <c r="E1507" s="84"/>
      <c r="F1507" s="84"/>
      <c r="G1507" s="84"/>
      <c r="R1507" s="251"/>
      <c r="S1507" s="251"/>
      <c r="BD1507" s="399">
        <v>1504</v>
      </c>
      <c r="BE1507" s="399" t="s">
        <v>4142</v>
      </c>
      <c r="BF1507" s="251" t="s">
        <v>3598</v>
      </c>
      <c r="BG1507" s="399">
        <v>59</v>
      </c>
      <c r="BH1507" s="252">
        <v>59</v>
      </c>
      <c r="BI1507" s="251" t="s">
        <v>450</v>
      </c>
      <c r="BJ1507" s="251" t="s">
        <v>3604</v>
      </c>
      <c r="BK1507" s="251" t="s">
        <v>4143</v>
      </c>
      <c r="BL1507" s="251" t="s">
        <v>3397</v>
      </c>
    </row>
    <row r="1508" spans="2:64" ht="15">
      <c r="B1508" s="84"/>
      <c r="D1508" s="84"/>
      <c r="E1508" s="84"/>
      <c r="F1508" s="84"/>
      <c r="G1508" s="84"/>
      <c r="R1508" s="251"/>
      <c r="S1508" s="251"/>
      <c r="BD1508" s="399">
        <v>1505</v>
      </c>
      <c r="BE1508" s="399" t="s">
        <v>4144</v>
      </c>
      <c r="BF1508" s="251" t="s">
        <v>3598</v>
      </c>
      <c r="BG1508" s="399">
        <v>59</v>
      </c>
      <c r="BH1508" s="252">
        <v>59</v>
      </c>
      <c r="BI1508" s="251" t="s">
        <v>450</v>
      </c>
      <c r="BJ1508" s="251" t="s">
        <v>3714</v>
      </c>
      <c r="BK1508" s="251" t="s">
        <v>4145</v>
      </c>
      <c r="BL1508" s="251" t="s">
        <v>3397</v>
      </c>
    </row>
    <row r="1509" spans="2:64" ht="15">
      <c r="B1509" s="84"/>
      <c r="D1509" s="84"/>
      <c r="E1509" s="84"/>
      <c r="F1509" s="84"/>
      <c r="G1509" s="84"/>
      <c r="R1509" s="251"/>
      <c r="S1509" s="251"/>
      <c r="BD1509" s="399">
        <v>1506</v>
      </c>
      <c r="BE1509" s="399" t="s">
        <v>4146</v>
      </c>
      <c r="BF1509" s="251" t="s">
        <v>3598</v>
      </c>
      <c r="BG1509" s="399">
        <v>59</v>
      </c>
      <c r="BH1509" s="252">
        <v>59</v>
      </c>
      <c r="BI1509" s="251" t="s">
        <v>2530</v>
      </c>
      <c r="BJ1509" s="251" t="s">
        <v>3604</v>
      </c>
      <c r="BK1509" s="251" t="s">
        <v>4147</v>
      </c>
      <c r="BL1509" s="251" t="s">
        <v>3397</v>
      </c>
    </row>
    <row r="1510" spans="2:64" ht="15">
      <c r="B1510" s="84"/>
      <c r="D1510" s="84"/>
      <c r="E1510" s="84"/>
      <c r="F1510" s="84"/>
      <c r="G1510" s="84"/>
      <c r="R1510" s="251"/>
      <c r="S1510" s="251"/>
      <c r="BD1510" s="399">
        <v>1507</v>
      </c>
      <c r="BE1510" s="399" t="s">
        <v>4148</v>
      </c>
      <c r="BF1510" s="251" t="s">
        <v>3598</v>
      </c>
      <c r="BG1510" s="399">
        <v>60</v>
      </c>
      <c r="BH1510" s="252">
        <v>60</v>
      </c>
      <c r="BI1510" s="251" t="s">
        <v>365</v>
      </c>
      <c r="BJ1510" s="251" t="s">
        <v>2877</v>
      </c>
      <c r="BK1510" s="251" t="s">
        <v>4149</v>
      </c>
      <c r="BL1510" s="251" t="s">
        <v>3403</v>
      </c>
    </row>
    <row r="1511" spans="2:64" ht="15">
      <c r="B1511" s="84"/>
      <c r="D1511" s="84"/>
      <c r="E1511" s="84"/>
      <c r="F1511" s="84"/>
      <c r="G1511" s="84"/>
      <c r="R1511" s="251"/>
      <c r="S1511" s="251"/>
      <c r="BD1511" s="399">
        <v>1508</v>
      </c>
      <c r="BE1511" s="399" t="s">
        <v>4150</v>
      </c>
      <c r="BF1511" s="251" t="s">
        <v>3598</v>
      </c>
      <c r="BG1511" s="399">
        <v>60</v>
      </c>
      <c r="BH1511" s="252">
        <v>60</v>
      </c>
      <c r="BI1511" s="251" t="s">
        <v>365</v>
      </c>
      <c r="BJ1511" s="251" t="s">
        <v>4151</v>
      </c>
      <c r="BK1511" s="251" t="s">
        <v>4152</v>
      </c>
      <c r="BL1511" s="251" t="s">
        <v>3403</v>
      </c>
    </row>
    <row r="1512" spans="2:64" ht="15">
      <c r="B1512" s="84"/>
      <c r="D1512" s="84"/>
      <c r="E1512" s="84"/>
      <c r="F1512" s="84"/>
      <c r="G1512" s="84"/>
      <c r="R1512" s="251"/>
      <c r="S1512" s="251"/>
      <c r="BD1512" s="399">
        <v>1509</v>
      </c>
      <c r="BE1512" s="399" t="s">
        <v>4153</v>
      </c>
      <c r="BF1512" s="251" t="s">
        <v>3598</v>
      </c>
      <c r="BG1512" s="399">
        <v>60</v>
      </c>
      <c r="BH1512" s="252">
        <v>60</v>
      </c>
      <c r="BI1512" s="251" t="s">
        <v>365</v>
      </c>
      <c r="BJ1512" s="251" t="s">
        <v>4154</v>
      </c>
      <c r="BK1512" s="251" t="s">
        <v>4155</v>
      </c>
      <c r="BL1512" s="251" t="s">
        <v>3403</v>
      </c>
    </row>
    <row r="1513" spans="2:64" ht="15">
      <c r="B1513" s="84"/>
      <c r="D1513" s="84"/>
      <c r="E1513" s="84"/>
      <c r="F1513" s="84"/>
      <c r="G1513" s="84"/>
      <c r="R1513" s="251"/>
      <c r="S1513" s="251"/>
      <c r="BD1513" s="399">
        <v>1510</v>
      </c>
      <c r="BE1513" s="399" t="s">
        <v>4156</v>
      </c>
      <c r="BF1513" s="251" t="s">
        <v>3598</v>
      </c>
      <c r="BG1513" s="399">
        <v>60</v>
      </c>
      <c r="BH1513" s="252">
        <v>60</v>
      </c>
      <c r="BI1513" s="251" t="s">
        <v>379</v>
      </c>
      <c r="BJ1513" s="251" t="s">
        <v>728</v>
      </c>
      <c r="BK1513" s="251" t="s">
        <v>4157</v>
      </c>
      <c r="BL1513" s="251" t="s">
        <v>3403</v>
      </c>
    </row>
    <row r="1514" spans="2:64" ht="15">
      <c r="B1514" s="84"/>
      <c r="D1514" s="84"/>
      <c r="E1514" s="84"/>
      <c r="F1514" s="84"/>
      <c r="G1514" s="84"/>
      <c r="R1514" s="251"/>
      <c r="S1514" s="251"/>
      <c r="BD1514" s="399">
        <v>1511</v>
      </c>
      <c r="BE1514" s="399" t="s">
        <v>4158</v>
      </c>
      <c r="BF1514" s="251" t="s">
        <v>3598</v>
      </c>
      <c r="BG1514" s="399">
        <v>60</v>
      </c>
      <c r="BH1514" s="252">
        <v>60</v>
      </c>
      <c r="BI1514" s="251" t="s">
        <v>379</v>
      </c>
      <c r="BJ1514" s="251" t="s">
        <v>350</v>
      </c>
      <c r="BK1514" s="251" t="s">
        <v>4159</v>
      </c>
      <c r="BL1514" s="251" t="s">
        <v>3403</v>
      </c>
    </row>
    <row r="1515" spans="2:64" ht="15">
      <c r="B1515" s="84"/>
      <c r="D1515" s="84"/>
      <c r="E1515" s="84"/>
      <c r="F1515" s="84"/>
      <c r="G1515" s="84"/>
      <c r="R1515" s="251"/>
      <c r="S1515" s="251"/>
      <c r="BD1515" s="399">
        <v>1512</v>
      </c>
      <c r="BE1515" s="399" t="s">
        <v>4160</v>
      </c>
      <c r="BF1515" s="251" t="s">
        <v>3598</v>
      </c>
      <c r="BG1515" s="399">
        <v>60</v>
      </c>
      <c r="BH1515" s="252">
        <v>60</v>
      </c>
      <c r="BI1515" s="251" t="s">
        <v>3599</v>
      </c>
      <c r="BJ1515" s="251" t="s">
        <v>3604</v>
      </c>
      <c r="BK1515" s="251" t="s">
        <v>4161</v>
      </c>
      <c r="BL1515" s="251" t="s">
        <v>3403</v>
      </c>
    </row>
    <row r="1516" spans="2:64" ht="15">
      <c r="B1516" s="84"/>
      <c r="D1516" s="84"/>
      <c r="E1516" s="84"/>
      <c r="F1516" s="84"/>
      <c r="G1516" s="84"/>
      <c r="R1516" s="251"/>
      <c r="S1516" s="251"/>
      <c r="BD1516" s="399">
        <v>1513</v>
      </c>
      <c r="BE1516" s="399" t="s">
        <v>4162</v>
      </c>
      <c r="BF1516" s="251" t="s">
        <v>3598</v>
      </c>
      <c r="BG1516" s="399">
        <v>60</v>
      </c>
      <c r="BH1516" s="252">
        <v>60</v>
      </c>
      <c r="BI1516" s="251" t="s">
        <v>615</v>
      </c>
      <c r="BJ1516" s="251" t="s">
        <v>728</v>
      </c>
      <c r="BK1516" s="251" t="s">
        <v>4163</v>
      </c>
      <c r="BL1516" s="251" t="s">
        <v>3403</v>
      </c>
    </row>
    <row r="1517" spans="2:64" ht="15">
      <c r="B1517" s="84"/>
      <c r="D1517" s="84"/>
      <c r="E1517" s="84"/>
      <c r="F1517" s="84"/>
      <c r="G1517" s="84"/>
      <c r="R1517" s="251"/>
      <c r="S1517" s="251"/>
      <c r="BD1517" s="399">
        <v>1514</v>
      </c>
      <c r="BE1517" s="399" t="s">
        <v>4164</v>
      </c>
      <c r="BF1517" s="251" t="s">
        <v>3598</v>
      </c>
      <c r="BG1517" s="399">
        <v>60</v>
      </c>
      <c r="BH1517" s="252">
        <v>60</v>
      </c>
      <c r="BI1517" s="251" t="s">
        <v>477</v>
      </c>
      <c r="BJ1517" s="251" t="s">
        <v>1855</v>
      </c>
      <c r="BK1517" s="251" t="s">
        <v>4165</v>
      </c>
      <c r="BL1517" s="251" t="s">
        <v>3403</v>
      </c>
    </row>
    <row r="1518" spans="2:64" ht="15">
      <c r="B1518" s="84"/>
      <c r="D1518" s="84"/>
      <c r="E1518" s="84"/>
      <c r="F1518" s="84"/>
      <c r="G1518" s="84"/>
      <c r="R1518" s="251"/>
      <c r="S1518" s="251"/>
      <c r="BD1518" s="399">
        <v>1515</v>
      </c>
      <c r="BE1518" s="399" t="s">
        <v>4166</v>
      </c>
      <c r="BF1518" s="251" t="s">
        <v>3598</v>
      </c>
      <c r="BG1518" s="399">
        <v>60</v>
      </c>
      <c r="BH1518" s="252">
        <v>60</v>
      </c>
      <c r="BI1518" s="251" t="s">
        <v>477</v>
      </c>
      <c r="BJ1518" s="251" t="s">
        <v>728</v>
      </c>
      <c r="BK1518" s="251" t="s">
        <v>4167</v>
      </c>
      <c r="BL1518" s="251" t="s">
        <v>3403</v>
      </c>
    </row>
    <row r="1519" spans="2:64" ht="15">
      <c r="B1519" s="84"/>
      <c r="D1519" s="84"/>
      <c r="E1519" s="84"/>
      <c r="F1519" s="84"/>
      <c r="G1519" s="84"/>
      <c r="R1519" s="251"/>
      <c r="S1519" s="251"/>
      <c r="BD1519" s="399">
        <v>1516</v>
      </c>
      <c r="BE1519" s="399" t="s">
        <v>4168</v>
      </c>
      <c r="BF1519" s="251" t="s">
        <v>3598</v>
      </c>
      <c r="BG1519" s="399">
        <v>60</v>
      </c>
      <c r="BH1519" s="252">
        <v>60</v>
      </c>
      <c r="BI1519" s="251" t="s">
        <v>477</v>
      </c>
      <c r="BJ1519" s="251" t="s">
        <v>350</v>
      </c>
      <c r="BK1519" s="251" t="s">
        <v>4169</v>
      </c>
      <c r="BL1519" s="251" t="s">
        <v>3403</v>
      </c>
    </row>
    <row r="1520" spans="2:64" ht="15">
      <c r="B1520" s="84"/>
      <c r="D1520" s="84"/>
      <c r="E1520" s="84"/>
      <c r="F1520" s="84"/>
      <c r="G1520" s="84"/>
      <c r="R1520" s="251"/>
      <c r="S1520" s="251"/>
      <c r="BD1520" s="399">
        <v>1517</v>
      </c>
      <c r="BE1520" s="399" t="s">
        <v>4170</v>
      </c>
      <c r="BF1520" s="251" t="s">
        <v>3598</v>
      </c>
      <c r="BG1520" s="399">
        <v>60</v>
      </c>
      <c r="BH1520" s="252">
        <v>60</v>
      </c>
      <c r="BI1520" s="251" t="s">
        <v>477</v>
      </c>
      <c r="BJ1520" s="251" t="s">
        <v>3604</v>
      </c>
      <c r="BK1520" s="251" t="s">
        <v>4171</v>
      </c>
      <c r="BL1520" s="251" t="s">
        <v>3403</v>
      </c>
    </row>
    <row r="1521" spans="2:64" ht="15">
      <c r="B1521" s="84"/>
      <c r="D1521" s="84"/>
      <c r="E1521" s="84"/>
      <c r="F1521" s="84"/>
      <c r="G1521" s="84"/>
      <c r="R1521" s="251"/>
      <c r="S1521" s="251"/>
      <c r="BD1521" s="399">
        <v>1518</v>
      </c>
      <c r="BE1521" s="399" t="s">
        <v>4172</v>
      </c>
      <c r="BF1521" s="251" t="s">
        <v>3598</v>
      </c>
      <c r="BG1521" s="399">
        <v>60</v>
      </c>
      <c r="BH1521" s="252">
        <v>60</v>
      </c>
      <c r="BI1521" s="251" t="s">
        <v>450</v>
      </c>
      <c r="BJ1521" s="251" t="s">
        <v>728</v>
      </c>
      <c r="BK1521" s="251" t="s">
        <v>4173</v>
      </c>
      <c r="BL1521" s="251" t="s">
        <v>3403</v>
      </c>
    </row>
    <row r="1522" spans="2:64" ht="15">
      <c r="B1522" s="84"/>
      <c r="D1522" s="84"/>
      <c r="E1522" s="84"/>
      <c r="F1522" s="84"/>
      <c r="G1522" s="84"/>
      <c r="R1522" s="251"/>
      <c r="S1522" s="251"/>
      <c r="BD1522" s="399">
        <v>1519</v>
      </c>
      <c r="BE1522" s="399" t="s">
        <v>4174</v>
      </c>
      <c r="BF1522" s="251" t="s">
        <v>3598</v>
      </c>
      <c r="BG1522" s="399">
        <v>60</v>
      </c>
      <c r="BH1522" s="252">
        <v>60</v>
      </c>
      <c r="BI1522" s="251" t="s">
        <v>450</v>
      </c>
      <c r="BJ1522" s="251" t="s">
        <v>350</v>
      </c>
      <c r="BK1522" s="251" t="s">
        <v>4175</v>
      </c>
      <c r="BL1522" s="251" t="s">
        <v>3403</v>
      </c>
    </row>
    <row r="1523" spans="2:64" ht="15">
      <c r="B1523" s="84"/>
      <c r="D1523" s="84"/>
      <c r="E1523" s="84"/>
      <c r="F1523" s="84"/>
      <c r="G1523" s="84"/>
      <c r="R1523" s="251"/>
      <c r="S1523" s="251"/>
      <c r="BD1523" s="399">
        <v>1520</v>
      </c>
      <c r="BE1523" s="399" t="s">
        <v>4176</v>
      </c>
      <c r="BF1523" s="251" t="s">
        <v>3598</v>
      </c>
      <c r="BG1523" s="399">
        <v>60</v>
      </c>
      <c r="BH1523" s="252">
        <v>60</v>
      </c>
      <c r="BI1523" s="251" t="s">
        <v>450</v>
      </c>
      <c r="BJ1523" s="251" t="s">
        <v>3604</v>
      </c>
      <c r="BK1523" s="251" t="s">
        <v>4177</v>
      </c>
      <c r="BL1523" s="251" t="s">
        <v>3403</v>
      </c>
    </row>
    <row r="1524" spans="2:64" ht="15">
      <c r="B1524" s="84"/>
      <c r="D1524" s="84"/>
      <c r="E1524" s="84"/>
      <c r="F1524" s="84"/>
      <c r="G1524" s="84"/>
      <c r="R1524" s="251"/>
      <c r="S1524" s="251"/>
      <c r="BD1524" s="399">
        <v>1521</v>
      </c>
      <c r="BE1524" s="399" t="s">
        <v>4178</v>
      </c>
      <c r="BF1524" s="251" t="s">
        <v>3598</v>
      </c>
      <c r="BG1524" s="399">
        <v>60</v>
      </c>
      <c r="BH1524" s="252">
        <v>60</v>
      </c>
      <c r="BI1524" s="251" t="s">
        <v>2530</v>
      </c>
      <c r="BJ1524" s="251" t="s">
        <v>4179</v>
      </c>
      <c r="BK1524" s="251" t="s">
        <v>4180</v>
      </c>
      <c r="BL1524" s="251" t="s">
        <v>3403</v>
      </c>
    </row>
    <row r="1525" spans="2:64" ht="15">
      <c r="B1525" s="84"/>
      <c r="D1525" s="84"/>
      <c r="E1525" s="84"/>
      <c r="F1525" s="84"/>
      <c r="G1525" s="84"/>
      <c r="R1525" s="251"/>
      <c r="S1525" s="251"/>
      <c r="BD1525" s="399">
        <v>1522</v>
      </c>
      <c r="BE1525" s="399" t="s">
        <v>4181</v>
      </c>
      <c r="BF1525" s="251" t="s">
        <v>3598</v>
      </c>
      <c r="BG1525" s="399">
        <v>60</v>
      </c>
      <c r="BH1525" s="252">
        <v>60</v>
      </c>
      <c r="BI1525" s="251" t="s">
        <v>2530</v>
      </c>
      <c r="BJ1525" s="251" t="s">
        <v>728</v>
      </c>
      <c r="BK1525" s="251" t="s">
        <v>4182</v>
      </c>
      <c r="BL1525" s="251" t="s">
        <v>3403</v>
      </c>
    </row>
    <row r="1526" spans="2:64" ht="15">
      <c r="B1526" s="84"/>
      <c r="D1526" s="84"/>
      <c r="E1526" s="84"/>
      <c r="F1526" s="84"/>
      <c r="G1526" s="84"/>
      <c r="R1526" s="251"/>
      <c r="S1526" s="251"/>
      <c r="BD1526" s="399">
        <v>1523</v>
      </c>
      <c r="BE1526" s="399" t="s">
        <v>4183</v>
      </c>
      <c r="BF1526" s="251" t="s">
        <v>3598</v>
      </c>
      <c r="BG1526" s="399">
        <v>60</v>
      </c>
      <c r="BH1526" s="252">
        <v>60</v>
      </c>
      <c r="BI1526" s="251" t="s">
        <v>2530</v>
      </c>
      <c r="BJ1526" s="251" t="s">
        <v>350</v>
      </c>
      <c r="BK1526" s="251" t="s">
        <v>4184</v>
      </c>
      <c r="BL1526" s="251" t="s">
        <v>3403</v>
      </c>
    </row>
    <row r="1527" spans="2:64" ht="15">
      <c r="B1527" s="84"/>
      <c r="D1527" s="84"/>
      <c r="E1527" s="84"/>
      <c r="F1527" s="84"/>
      <c r="G1527" s="84"/>
      <c r="R1527" s="251"/>
      <c r="S1527" s="251"/>
      <c r="BD1527" s="399">
        <v>1524</v>
      </c>
      <c r="BE1527" s="399" t="s">
        <v>4185</v>
      </c>
      <c r="BF1527" s="251" t="s">
        <v>3598</v>
      </c>
      <c r="BG1527" s="399">
        <v>60</v>
      </c>
      <c r="BH1527" s="252">
        <v>60</v>
      </c>
      <c r="BI1527" s="251" t="s">
        <v>2530</v>
      </c>
      <c r="BJ1527" s="251" t="s">
        <v>3604</v>
      </c>
      <c r="BK1527" s="251" t="s">
        <v>4186</v>
      </c>
      <c r="BL1527" s="251" t="s">
        <v>3403</v>
      </c>
    </row>
    <row r="1528" spans="2:64" ht="15">
      <c r="B1528" s="84"/>
      <c r="D1528" s="84"/>
      <c r="E1528" s="84"/>
      <c r="F1528" s="84"/>
      <c r="G1528" s="84"/>
      <c r="R1528" s="251"/>
      <c r="S1528" s="251"/>
      <c r="BD1528" s="399">
        <v>1525</v>
      </c>
      <c r="BE1528" s="399" t="s">
        <v>4187</v>
      </c>
      <c r="BF1528" s="251" t="s">
        <v>3598</v>
      </c>
      <c r="BG1528" s="399">
        <v>61</v>
      </c>
      <c r="BH1528" s="252">
        <v>61</v>
      </c>
      <c r="BI1528" s="251" t="s">
        <v>333</v>
      </c>
      <c r="BJ1528" s="251" t="s">
        <v>3957</v>
      </c>
      <c r="BK1528" s="251" t="s">
        <v>4188</v>
      </c>
      <c r="BL1528" s="251" t="s">
        <v>4189</v>
      </c>
    </row>
    <row r="1529" spans="2:64" ht="15">
      <c r="B1529" s="84"/>
      <c r="D1529" s="84"/>
      <c r="E1529" s="84"/>
      <c r="F1529" s="84"/>
      <c r="G1529" s="84"/>
      <c r="R1529" s="251"/>
      <c r="S1529" s="251"/>
      <c r="BD1529" s="399">
        <v>1526</v>
      </c>
      <c r="BE1529" s="399" t="s">
        <v>4190</v>
      </c>
      <c r="BF1529" s="251" t="s">
        <v>3598</v>
      </c>
      <c r="BG1529" s="399">
        <v>61</v>
      </c>
      <c r="BH1529" s="252">
        <v>61</v>
      </c>
      <c r="BI1529" s="251" t="s">
        <v>333</v>
      </c>
      <c r="BJ1529" s="251" t="s">
        <v>350</v>
      </c>
      <c r="BK1529" s="251" t="s">
        <v>4191</v>
      </c>
      <c r="BL1529" s="251" t="s">
        <v>4189</v>
      </c>
    </row>
    <row r="1530" spans="2:64" ht="15">
      <c r="B1530" s="84"/>
      <c r="D1530" s="84"/>
      <c r="E1530" s="84"/>
      <c r="F1530" s="84"/>
      <c r="G1530" s="84"/>
      <c r="R1530" s="251"/>
      <c r="S1530" s="251"/>
      <c r="BD1530" s="399">
        <v>1527</v>
      </c>
      <c r="BE1530" s="399" t="s">
        <v>4192</v>
      </c>
      <c r="BF1530" s="251" t="s">
        <v>3598</v>
      </c>
      <c r="BG1530" s="399">
        <v>61</v>
      </c>
      <c r="BH1530" s="252">
        <v>61</v>
      </c>
      <c r="BI1530" s="251" t="s">
        <v>365</v>
      </c>
      <c r="BJ1530" s="251" t="s">
        <v>1855</v>
      </c>
      <c r="BK1530" s="251" t="s">
        <v>4193</v>
      </c>
      <c r="BL1530" s="251" t="s">
        <v>4189</v>
      </c>
    </row>
    <row r="1531" spans="2:64" ht="15">
      <c r="B1531" s="84"/>
      <c r="D1531" s="84"/>
      <c r="E1531" s="84"/>
      <c r="F1531" s="84"/>
      <c r="G1531" s="84"/>
      <c r="R1531" s="251"/>
      <c r="S1531" s="251"/>
      <c r="BD1531" s="399">
        <v>1528</v>
      </c>
      <c r="BE1531" s="399" t="s">
        <v>4194</v>
      </c>
      <c r="BF1531" s="251" t="s">
        <v>3598</v>
      </c>
      <c r="BG1531" s="399">
        <v>61</v>
      </c>
      <c r="BH1531" s="252">
        <v>61</v>
      </c>
      <c r="BI1531" s="251" t="s">
        <v>365</v>
      </c>
      <c r="BJ1531" s="251" t="s">
        <v>728</v>
      </c>
      <c r="BK1531" s="251" t="s">
        <v>4195</v>
      </c>
      <c r="BL1531" s="251" t="s">
        <v>4189</v>
      </c>
    </row>
    <row r="1532" spans="2:64" ht="15">
      <c r="B1532" s="84"/>
      <c r="D1532" s="84"/>
      <c r="E1532" s="84"/>
      <c r="F1532" s="84"/>
      <c r="G1532" s="84"/>
      <c r="R1532" s="251"/>
      <c r="S1532" s="251"/>
      <c r="BD1532" s="399">
        <v>1529</v>
      </c>
      <c r="BE1532" s="399" t="s">
        <v>4196</v>
      </c>
      <c r="BF1532" s="251" t="s">
        <v>3598</v>
      </c>
      <c r="BG1532" s="399">
        <v>61</v>
      </c>
      <c r="BH1532" s="252">
        <v>61</v>
      </c>
      <c r="BI1532" s="251" t="s">
        <v>365</v>
      </c>
      <c r="BJ1532" s="251" t="s">
        <v>350</v>
      </c>
      <c r="BK1532" s="251" t="s">
        <v>4197</v>
      </c>
      <c r="BL1532" s="251" t="s">
        <v>4189</v>
      </c>
    </row>
    <row r="1533" spans="2:64" ht="15">
      <c r="B1533" s="84"/>
      <c r="D1533" s="84"/>
      <c r="E1533" s="84"/>
      <c r="F1533" s="84"/>
      <c r="G1533" s="84"/>
      <c r="R1533" s="251"/>
      <c r="S1533" s="251"/>
      <c r="BD1533" s="399">
        <v>1530</v>
      </c>
      <c r="BE1533" s="399" t="s">
        <v>4198</v>
      </c>
      <c r="BF1533" s="251" t="s">
        <v>3598</v>
      </c>
      <c r="BG1533" s="399">
        <v>61</v>
      </c>
      <c r="BH1533" s="252">
        <v>61</v>
      </c>
      <c r="BI1533" s="251" t="s">
        <v>365</v>
      </c>
      <c r="BJ1533" s="251" t="s">
        <v>3604</v>
      </c>
      <c r="BK1533" s="251" t="s">
        <v>4199</v>
      </c>
      <c r="BL1533" s="251" t="s">
        <v>4189</v>
      </c>
    </row>
    <row r="1534" spans="2:64" ht="15">
      <c r="B1534" s="84"/>
      <c r="D1534" s="84"/>
      <c r="E1534" s="84"/>
      <c r="F1534" s="84"/>
      <c r="G1534" s="84"/>
      <c r="R1534" s="251"/>
      <c r="S1534" s="251"/>
      <c r="BD1534" s="399">
        <v>1531</v>
      </c>
      <c r="BE1534" s="399" t="s">
        <v>4200</v>
      </c>
      <c r="BF1534" s="251" t="s">
        <v>3598</v>
      </c>
      <c r="BG1534" s="399">
        <v>61</v>
      </c>
      <c r="BH1534" s="252">
        <v>61</v>
      </c>
      <c r="BI1534" s="251" t="s">
        <v>379</v>
      </c>
      <c r="BJ1534" s="251" t="s">
        <v>3957</v>
      </c>
      <c r="BK1534" s="251" t="s">
        <v>4201</v>
      </c>
      <c r="BL1534" s="251" t="s">
        <v>4189</v>
      </c>
    </row>
    <row r="1535" spans="2:64" ht="15">
      <c r="B1535" s="84"/>
      <c r="D1535" s="84"/>
      <c r="E1535" s="84"/>
      <c r="F1535" s="84"/>
      <c r="G1535" s="84"/>
      <c r="R1535" s="251"/>
      <c r="S1535" s="251"/>
      <c r="BD1535" s="399">
        <v>1532</v>
      </c>
      <c r="BE1535" s="399" t="s">
        <v>4202</v>
      </c>
      <c r="BF1535" s="251" t="s">
        <v>3598</v>
      </c>
      <c r="BG1535" s="399">
        <v>61</v>
      </c>
      <c r="BH1535" s="252">
        <v>61</v>
      </c>
      <c r="BI1535" s="251" t="s">
        <v>379</v>
      </c>
      <c r="BJ1535" s="251" t="s">
        <v>350</v>
      </c>
      <c r="BK1535" s="251" t="s">
        <v>4203</v>
      </c>
      <c r="BL1535" s="251" t="s">
        <v>4189</v>
      </c>
    </row>
    <row r="1536" spans="2:64" ht="15">
      <c r="B1536" s="84"/>
      <c r="D1536" s="84"/>
      <c r="E1536" s="84"/>
      <c r="F1536" s="84"/>
      <c r="G1536" s="84"/>
      <c r="R1536" s="251"/>
      <c r="S1536" s="251"/>
      <c r="BD1536" s="399">
        <v>1533</v>
      </c>
      <c r="BE1536" s="399" t="s">
        <v>4204</v>
      </c>
      <c r="BF1536" s="251" t="s">
        <v>3598</v>
      </c>
      <c r="BG1536" s="399">
        <v>61</v>
      </c>
      <c r="BH1536" s="252">
        <v>61</v>
      </c>
      <c r="BI1536" s="251" t="s">
        <v>3599</v>
      </c>
      <c r="BJ1536" s="251" t="s">
        <v>3604</v>
      </c>
      <c r="BK1536" s="251" t="s">
        <v>4205</v>
      </c>
      <c r="BL1536" s="251" t="s">
        <v>4189</v>
      </c>
    </row>
    <row r="1537" spans="2:64" ht="15">
      <c r="B1537" s="84"/>
      <c r="D1537" s="84"/>
      <c r="E1537" s="84"/>
      <c r="F1537" s="84"/>
      <c r="G1537" s="84"/>
      <c r="R1537" s="251"/>
      <c r="S1537" s="251"/>
      <c r="BD1537" s="399">
        <v>1534</v>
      </c>
      <c r="BE1537" s="399" t="s">
        <v>4206</v>
      </c>
      <c r="BF1537" s="251" t="s">
        <v>3598</v>
      </c>
      <c r="BG1537" s="399">
        <v>61</v>
      </c>
      <c r="BH1537" s="252">
        <v>61</v>
      </c>
      <c r="BI1537" s="251" t="s">
        <v>615</v>
      </c>
      <c r="BJ1537" s="251" t="s">
        <v>2333</v>
      </c>
      <c r="BK1537" s="251" t="s">
        <v>4207</v>
      </c>
      <c r="BL1537" s="251" t="s">
        <v>4189</v>
      </c>
    </row>
    <row r="1538" spans="2:64" ht="15">
      <c r="B1538" s="84"/>
      <c r="D1538" s="84"/>
      <c r="E1538" s="84"/>
      <c r="F1538" s="84"/>
      <c r="G1538" s="84"/>
      <c r="R1538" s="251"/>
      <c r="S1538" s="251"/>
      <c r="BD1538" s="399">
        <v>1535</v>
      </c>
      <c r="BE1538" s="399" t="s">
        <v>4208</v>
      </c>
      <c r="BF1538" s="251" t="s">
        <v>3598</v>
      </c>
      <c r="BG1538" s="399">
        <v>61</v>
      </c>
      <c r="BH1538" s="252">
        <v>61</v>
      </c>
      <c r="BI1538" s="251" t="s">
        <v>615</v>
      </c>
      <c r="BJ1538" s="251" t="s">
        <v>728</v>
      </c>
      <c r="BK1538" s="251" t="s">
        <v>4209</v>
      </c>
      <c r="BL1538" s="251" t="s">
        <v>4189</v>
      </c>
    </row>
    <row r="1539" spans="2:64" ht="15">
      <c r="B1539" s="84"/>
      <c r="D1539" s="84"/>
      <c r="E1539" s="84"/>
      <c r="F1539" s="84"/>
      <c r="G1539" s="84"/>
      <c r="R1539" s="251"/>
      <c r="S1539" s="251"/>
      <c r="BD1539" s="399">
        <v>1536</v>
      </c>
      <c r="BE1539" s="399" t="s">
        <v>4210</v>
      </c>
      <c r="BF1539" s="251" t="s">
        <v>3598</v>
      </c>
      <c r="BG1539" s="399">
        <v>61</v>
      </c>
      <c r="BH1539" s="252">
        <v>61</v>
      </c>
      <c r="BI1539" s="251" t="s">
        <v>615</v>
      </c>
      <c r="BJ1539" s="251" t="s">
        <v>350</v>
      </c>
      <c r="BK1539" s="251" t="s">
        <v>4211</v>
      </c>
      <c r="BL1539" s="251" t="s">
        <v>4189</v>
      </c>
    </row>
    <row r="1540" spans="2:64" ht="15">
      <c r="B1540" s="84"/>
      <c r="D1540" s="84"/>
      <c r="E1540" s="84"/>
      <c r="F1540" s="84"/>
      <c r="G1540" s="84"/>
      <c r="R1540" s="251"/>
      <c r="S1540" s="251"/>
      <c r="BD1540" s="399">
        <v>1537</v>
      </c>
      <c r="BE1540" s="399" t="s">
        <v>4212</v>
      </c>
      <c r="BF1540" s="251" t="s">
        <v>3598</v>
      </c>
      <c r="BG1540" s="399">
        <v>61</v>
      </c>
      <c r="BH1540" s="252">
        <v>61</v>
      </c>
      <c r="BI1540" s="251" t="s">
        <v>477</v>
      </c>
      <c r="BJ1540" s="251" t="s">
        <v>2333</v>
      </c>
      <c r="BK1540" s="251" t="s">
        <v>4213</v>
      </c>
      <c r="BL1540" s="251" t="s">
        <v>4189</v>
      </c>
    </row>
    <row r="1541" spans="2:64" ht="15">
      <c r="B1541" s="84"/>
      <c r="D1541" s="84"/>
      <c r="E1541" s="84"/>
      <c r="F1541" s="84"/>
      <c r="G1541" s="84"/>
      <c r="R1541" s="251"/>
      <c r="S1541" s="251"/>
      <c r="BD1541" s="399">
        <v>1538</v>
      </c>
      <c r="BE1541" s="399" t="s">
        <v>4214</v>
      </c>
      <c r="BF1541" s="251" t="s">
        <v>3598</v>
      </c>
      <c r="BG1541" s="399">
        <v>61</v>
      </c>
      <c r="BH1541" s="252">
        <v>61</v>
      </c>
      <c r="BI1541" s="251" t="s">
        <v>477</v>
      </c>
      <c r="BJ1541" s="251" t="s">
        <v>728</v>
      </c>
      <c r="BK1541" s="251" t="s">
        <v>4215</v>
      </c>
      <c r="BL1541" s="251" t="s">
        <v>4189</v>
      </c>
    </row>
    <row r="1542" spans="2:64" ht="15">
      <c r="B1542" s="84"/>
      <c r="D1542" s="84"/>
      <c r="E1542" s="84"/>
      <c r="F1542" s="84"/>
      <c r="G1542" s="84"/>
      <c r="R1542" s="251"/>
      <c r="S1542" s="251"/>
      <c r="BD1542" s="399">
        <v>1539</v>
      </c>
      <c r="BE1542" s="399" t="s">
        <v>4216</v>
      </c>
      <c r="BF1542" s="251" t="s">
        <v>3598</v>
      </c>
      <c r="BG1542" s="399">
        <v>61</v>
      </c>
      <c r="BH1542" s="252">
        <v>61</v>
      </c>
      <c r="BI1542" s="251" t="s">
        <v>477</v>
      </c>
      <c r="BJ1542" s="251" t="s">
        <v>350</v>
      </c>
      <c r="BK1542" s="251" t="s">
        <v>4217</v>
      </c>
      <c r="BL1542" s="251" t="s">
        <v>4189</v>
      </c>
    </row>
    <row r="1543" spans="2:64" ht="15">
      <c r="B1543" s="84"/>
      <c r="D1543" s="84"/>
      <c r="E1543" s="84"/>
      <c r="F1543" s="84"/>
      <c r="G1543" s="84"/>
      <c r="R1543" s="251"/>
      <c r="S1543" s="251"/>
      <c r="BD1543" s="399">
        <v>1540</v>
      </c>
      <c r="BE1543" s="399" t="s">
        <v>4218</v>
      </c>
      <c r="BF1543" s="251" t="s">
        <v>3598</v>
      </c>
      <c r="BG1543" s="399">
        <v>61</v>
      </c>
      <c r="BH1543" s="252">
        <v>61</v>
      </c>
      <c r="BI1543" s="251" t="s">
        <v>477</v>
      </c>
      <c r="BJ1543" s="251" t="s">
        <v>3604</v>
      </c>
      <c r="BK1543" s="251" t="s">
        <v>4219</v>
      </c>
      <c r="BL1543" s="251" t="s">
        <v>4189</v>
      </c>
    </row>
    <row r="1544" spans="2:64" ht="15">
      <c r="B1544" s="84"/>
      <c r="D1544" s="84"/>
      <c r="E1544" s="84"/>
      <c r="F1544" s="84"/>
      <c r="G1544" s="84"/>
      <c r="R1544" s="251"/>
      <c r="S1544" s="251"/>
      <c r="BD1544" s="399">
        <v>1541</v>
      </c>
      <c r="BE1544" s="399" t="s">
        <v>4220</v>
      </c>
      <c r="BF1544" s="251" t="s">
        <v>3598</v>
      </c>
      <c r="BG1544" s="399">
        <v>61</v>
      </c>
      <c r="BH1544" s="252">
        <v>61</v>
      </c>
      <c r="BI1544" s="251" t="s">
        <v>450</v>
      </c>
      <c r="BJ1544" s="251" t="s">
        <v>350</v>
      </c>
      <c r="BK1544" s="251" t="s">
        <v>4221</v>
      </c>
      <c r="BL1544" s="251" t="s">
        <v>4189</v>
      </c>
    </row>
    <row r="1545" spans="2:64" ht="15">
      <c r="B1545" s="84"/>
      <c r="D1545" s="84"/>
      <c r="E1545" s="84"/>
      <c r="F1545" s="84"/>
      <c r="G1545" s="84"/>
      <c r="R1545" s="251"/>
      <c r="S1545" s="251"/>
      <c r="BD1545" s="399">
        <v>1542</v>
      </c>
      <c r="BE1545" s="399" t="s">
        <v>4222</v>
      </c>
      <c r="BF1545" s="251" t="s">
        <v>3598</v>
      </c>
      <c r="BG1545" s="399">
        <v>61</v>
      </c>
      <c r="BH1545" s="252">
        <v>61</v>
      </c>
      <c r="BI1545" s="251" t="s">
        <v>2530</v>
      </c>
      <c r="BJ1545" s="251" t="s">
        <v>2333</v>
      </c>
      <c r="BK1545" s="251" t="s">
        <v>4223</v>
      </c>
      <c r="BL1545" s="251" t="s">
        <v>4189</v>
      </c>
    </row>
    <row r="1546" spans="2:64" ht="15">
      <c r="B1546" s="84"/>
      <c r="D1546" s="84"/>
      <c r="E1546" s="84"/>
      <c r="F1546" s="84"/>
      <c r="G1546" s="84"/>
      <c r="R1546" s="251"/>
      <c r="S1546" s="251"/>
      <c r="BD1546" s="399">
        <v>1543</v>
      </c>
      <c r="BE1546" s="399" t="s">
        <v>4224</v>
      </c>
      <c r="BF1546" s="251" t="s">
        <v>3598</v>
      </c>
      <c r="BG1546" s="399">
        <v>61</v>
      </c>
      <c r="BH1546" s="252">
        <v>61</v>
      </c>
      <c r="BI1546" s="251" t="s">
        <v>2530</v>
      </c>
      <c r="BJ1546" s="251" t="s">
        <v>728</v>
      </c>
      <c r="BK1546" s="251" t="s">
        <v>4225</v>
      </c>
      <c r="BL1546" s="251" t="s">
        <v>4189</v>
      </c>
    </row>
    <row r="1547" spans="2:64" ht="15">
      <c r="B1547" s="84"/>
      <c r="D1547" s="84"/>
      <c r="E1547" s="84"/>
      <c r="F1547" s="84"/>
      <c r="G1547" s="84"/>
      <c r="R1547" s="251"/>
      <c r="S1547" s="251"/>
      <c r="BD1547" s="399">
        <v>1544</v>
      </c>
      <c r="BE1547" s="399" t="s">
        <v>4226</v>
      </c>
      <c r="BF1547" s="251" t="s">
        <v>3598</v>
      </c>
      <c r="BG1547" s="399">
        <v>61</v>
      </c>
      <c r="BH1547" s="252">
        <v>61</v>
      </c>
      <c r="BI1547" s="251" t="s">
        <v>2530</v>
      </c>
      <c r="BJ1547" s="251" t="s">
        <v>350</v>
      </c>
      <c r="BK1547" s="251" t="s">
        <v>4227</v>
      </c>
      <c r="BL1547" s="251" t="s">
        <v>4189</v>
      </c>
    </row>
    <row r="1548" spans="2:64" ht="15">
      <c r="B1548" s="84"/>
      <c r="D1548" s="84"/>
      <c r="E1548" s="84"/>
      <c r="F1548" s="84"/>
      <c r="G1548" s="84"/>
      <c r="R1548" s="251"/>
      <c r="S1548" s="251"/>
      <c r="BD1548" s="399">
        <v>1545</v>
      </c>
      <c r="BE1548" s="399" t="s">
        <v>4228</v>
      </c>
      <c r="BF1548" s="251" t="s">
        <v>3598</v>
      </c>
      <c r="BG1548" s="399">
        <v>61</v>
      </c>
      <c r="BH1548" s="252">
        <v>61</v>
      </c>
      <c r="BI1548" s="251" t="s">
        <v>2530</v>
      </c>
      <c r="BJ1548" s="251" t="s">
        <v>3604</v>
      </c>
      <c r="BK1548" s="251" t="s">
        <v>4229</v>
      </c>
      <c r="BL1548" s="251" t="s">
        <v>4189</v>
      </c>
    </row>
    <row r="1549" spans="2:64" ht="15">
      <c r="B1549" s="84"/>
      <c r="D1549" s="84"/>
      <c r="E1549" s="84"/>
      <c r="F1549" s="84"/>
      <c r="G1549" s="84"/>
      <c r="R1549" s="251"/>
      <c r="S1549" s="251"/>
      <c r="BD1549" s="399">
        <v>1546</v>
      </c>
      <c r="BE1549" s="399" t="s">
        <v>4230</v>
      </c>
      <c r="BF1549" s="251" t="s">
        <v>3598</v>
      </c>
      <c r="BG1549" s="399">
        <v>63</v>
      </c>
      <c r="BH1549" s="252">
        <v>63</v>
      </c>
      <c r="BI1549" s="251" t="s">
        <v>3599</v>
      </c>
      <c r="BJ1549" s="251" t="s">
        <v>728</v>
      </c>
      <c r="BK1549" s="251" t="s">
        <v>4231</v>
      </c>
      <c r="BL1549" s="251" t="s">
        <v>3590</v>
      </c>
    </row>
    <row r="1550" spans="2:64" ht="15">
      <c r="B1550" s="84"/>
      <c r="D1550" s="84"/>
      <c r="E1550" s="84"/>
      <c r="F1550" s="84"/>
      <c r="G1550" s="84"/>
      <c r="R1550" s="251"/>
      <c r="S1550" s="251"/>
      <c r="BD1550" s="399">
        <v>1547</v>
      </c>
      <c r="BE1550" s="399" t="s">
        <v>4232</v>
      </c>
      <c r="BF1550" s="251" t="s">
        <v>3598</v>
      </c>
      <c r="BG1550" s="399">
        <v>65</v>
      </c>
      <c r="BH1550" s="252">
        <v>65</v>
      </c>
      <c r="BI1550" s="251" t="s">
        <v>333</v>
      </c>
      <c r="BJ1550" s="251" t="s">
        <v>2333</v>
      </c>
      <c r="BK1550" s="251" t="s">
        <v>4233</v>
      </c>
      <c r="BL1550" s="251" t="s">
        <v>3410</v>
      </c>
    </row>
    <row r="1551" spans="2:64" ht="15">
      <c r="B1551" s="84"/>
      <c r="D1551" s="84"/>
      <c r="E1551" s="84"/>
      <c r="F1551" s="84"/>
      <c r="G1551" s="84"/>
      <c r="R1551" s="251"/>
      <c r="S1551" s="251"/>
      <c r="BD1551" s="399">
        <v>1548</v>
      </c>
      <c r="BE1551" s="399" t="s">
        <v>4234</v>
      </c>
      <c r="BF1551" s="251" t="s">
        <v>3598</v>
      </c>
      <c r="BG1551" s="399">
        <v>65</v>
      </c>
      <c r="BH1551" s="252">
        <v>65</v>
      </c>
      <c r="BI1551" s="251" t="s">
        <v>333</v>
      </c>
      <c r="BJ1551" s="251" t="s">
        <v>728</v>
      </c>
      <c r="BK1551" s="251" t="s">
        <v>4235</v>
      </c>
      <c r="BL1551" s="251" t="s">
        <v>3410</v>
      </c>
    </row>
    <row r="1552" spans="2:64" ht="15">
      <c r="B1552" s="84"/>
      <c r="D1552" s="84"/>
      <c r="E1552" s="84"/>
      <c r="F1552" s="84"/>
      <c r="G1552" s="84"/>
      <c r="R1552" s="251"/>
      <c r="S1552" s="251"/>
      <c r="BD1552" s="399">
        <v>1549</v>
      </c>
      <c r="BE1552" s="399" t="s">
        <v>4236</v>
      </c>
      <c r="BF1552" s="251" t="s">
        <v>3598</v>
      </c>
      <c r="BG1552" s="399">
        <v>65</v>
      </c>
      <c r="BH1552" s="252">
        <v>65</v>
      </c>
      <c r="BI1552" s="251" t="s">
        <v>333</v>
      </c>
      <c r="BJ1552" s="251" t="s">
        <v>3604</v>
      </c>
      <c r="BK1552" s="251" t="s">
        <v>4237</v>
      </c>
      <c r="BL1552" s="251" t="s">
        <v>3410</v>
      </c>
    </row>
    <row r="1553" spans="2:64" ht="15">
      <c r="B1553" s="84"/>
      <c r="D1553" s="84"/>
      <c r="E1553" s="84"/>
      <c r="F1553" s="84"/>
      <c r="G1553" s="84"/>
      <c r="R1553" s="251"/>
      <c r="S1553" s="251"/>
      <c r="BD1553" s="399">
        <v>1550</v>
      </c>
      <c r="BE1553" s="399" t="s">
        <v>4238</v>
      </c>
      <c r="BF1553" s="251" t="s">
        <v>3598</v>
      </c>
      <c r="BG1553" s="399">
        <v>65</v>
      </c>
      <c r="BH1553" s="252">
        <v>65</v>
      </c>
      <c r="BI1553" s="251" t="s">
        <v>365</v>
      </c>
      <c r="BJ1553" s="251" t="s">
        <v>1855</v>
      </c>
      <c r="BK1553" s="251" t="s">
        <v>4239</v>
      </c>
      <c r="BL1553" s="251" t="s">
        <v>3410</v>
      </c>
    </row>
    <row r="1554" spans="2:64" ht="15">
      <c r="B1554" s="84"/>
      <c r="D1554" s="84"/>
      <c r="E1554" s="84"/>
      <c r="F1554" s="84"/>
      <c r="G1554" s="84"/>
      <c r="R1554" s="251"/>
      <c r="S1554" s="251"/>
      <c r="BD1554" s="399">
        <v>1551</v>
      </c>
      <c r="BE1554" s="399" t="s">
        <v>4240</v>
      </c>
      <c r="BF1554" s="251" t="s">
        <v>3598</v>
      </c>
      <c r="BG1554" s="399">
        <v>65</v>
      </c>
      <c r="BH1554" s="252">
        <v>65</v>
      </c>
      <c r="BI1554" s="251" t="s">
        <v>365</v>
      </c>
      <c r="BJ1554" s="251" t="s">
        <v>728</v>
      </c>
      <c r="BK1554" s="251" t="s">
        <v>4241</v>
      </c>
      <c r="BL1554" s="251" t="s">
        <v>3410</v>
      </c>
    </row>
    <row r="1555" spans="2:64" ht="15">
      <c r="B1555" s="84"/>
      <c r="D1555" s="84"/>
      <c r="E1555" s="84"/>
      <c r="F1555" s="84"/>
      <c r="G1555" s="84"/>
      <c r="R1555" s="251"/>
      <c r="S1555" s="251"/>
      <c r="BD1555" s="399">
        <v>1552</v>
      </c>
      <c r="BE1555" s="399" t="s">
        <v>4242</v>
      </c>
      <c r="BF1555" s="251" t="s">
        <v>3598</v>
      </c>
      <c r="BG1555" s="399">
        <v>65</v>
      </c>
      <c r="BH1555" s="252">
        <v>65</v>
      </c>
      <c r="BI1555" s="251" t="s">
        <v>3599</v>
      </c>
      <c r="BJ1555" s="251" t="s">
        <v>728</v>
      </c>
      <c r="BK1555" s="251" t="s">
        <v>4243</v>
      </c>
      <c r="BL1555" s="251" t="s">
        <v>3410</v>
      </c>
    </row>
    <row r="1556" spans="2:64" ht="15">
      <c r="B1556" s="84"/>
      <c r="D1556" s="84"/>
      <c r="E1556" s="84"/>
      <c r="F1556" s="84"/>
      <c r="G1556" s="84"/>
      <c r="R1556" s="251"/>
      <c r="S1556" s="251"/>
      <c r="BD1556" s="399">
        <v>1553</v>
      </c>
      <c r="BE1556" s="399" t="s">
        <v>4244</v>
      </c>
      <c r="BF1556" s="251" t="s">
        <v>3598</v>
      </c>
      <c r="BG1556" s="399">
        <v>65</v>
      </c>
      <c r="BH1556" s="252">
        <v>65</v>
      </c>
      <c r="BI1556" s="251" t="s">
        <v>3599</v>
      </c>
      <c r="BJ1556" s="251" t="s">
        <v>350</v>
      </c>
      <c r="BK1556" s="251" t="s">
        <v>4245</v>
      </c>
      <c r="BL1556" s="251" t="s">
        <v>3410</v>
      </c>
    </row>
    <row r="1557" spans="2:64" ht="15">
      <c r="B1557" s="84"/>
      <c r="D1557" s="84"/>
      <c r="E1557" s="84"/>
      <c r="F1557" s="84"/>
      <c r="G1557" s="84"/>
      <c r="R1557" s="251"/>
      <c r="S1557" s="251"/>
      <c r="BD1557" s="399">
        <v>1554</v>
      </c>
      <c r="BE1557" s="399" t="s">
        <v>4246</v>
      </c>
      <c r="BF1557" s="251" t="s">
        <v>3598</v>
      </c>
      <c r="BG1557" s="399">
        <v>65</v>
      </c>
      <c r="BH1557" s="252">
        <v>65</v>
      </c>
      <c r="BI1557" s="251" t="s">
        <v>3599</v>
      </c>
      <c r="BJ1557" s="251" t="s">
        <v>3604</v>
      </c>
      <c r="BK1557" s="251" t="s">
        <v>4247</v>
      </c>
      <c r="BL1557" s="251" t="s">
        <v>3410</v>
      </c>
    </row>
    <row r="1558" spans="2:64" ht="15">
      <c r="B1558" s="84"/>
      <c r="D1558" s="84"/>
      <c r="E1558" s="84"/>
      <c r="F1558" s="84"/>
      <c r="G1558" s="84"/>
      <c r="R1558" s="251"/>
      <c r="S1558" s="251"/>
      <c r="BD1558" s="399">
        <v>1555</v>
      </c>
      <c r="BE1558" s="399" t="s">
        <v>4248</v>
      </c>
      <c r="BF1558" s="251" t="s">
        <v>3598</v>
      </c>
      <c r="BG1558" s="399">
        <v>65</v>
      </c>
      <c r="BH1558" s="252">
        <v>65</v>
      </c>
      <c r="BI1558" s="251" t="s">
        <v>615</v>
      </c>
      <c r="BJ1558" s="251" t="s">
        <v>1855</v>
      </c>
      <c r="BK1558" s="251" t="s">
        <v>4249</v>
      </c>
      <c r="BL1558" s="251" t="s">
        <v>3410</v>
      </c>
    </row>
    <row r="1559" spans="2:64" ht="15">
      <c r="B1559" s="84"/>
      <c r="D1559" s="84"/>
      <c r="E1559" s="84"/>
      <c r="F1559" s="84"/>
      <c r="G1559" s="84"/>
      <c r="R1559" s="251"/>
      <c r="S1559" s="251"/>
      <c r="BD1559" s="399">
        <v>1556</v>
      </c>
      <c r="BE1559" s="399" t="s">
        <v>4250</v>
      </c>
      <c r="BF1559" s="251" t="s">
        <v>3598</v>
      </c>
      <c r="BG1559" s="399">
        <v>65</v>
      </c>
      <c r="BH1559" s="252">
        <v>65</v>
      </c>
      <c r="BI1559" s="251" t="s">
        <v>615</v>
      </c>
      <c r="BJ1559" s="251" t="s">
        <v>728</v>
      </c>
      <c r="BK1559" s="251" t="s">
        <v>4251</v>
      </c>
      <c r="BL1559" s="251" t="s">
        <v>3410</v>
      </c>
    </row>
    <row r="1560" spans="2:64" ht="15">
      <c r="B1560" s="84"/>
      <c r="D1560" s="84"/>
      <c r="E1560" s="84"/>
      <c r="F1560" s="84"/>
      <c r="G1560" s="84"/>
      <c r="R1560" s="251"/>
      <c r="S1560" s="251"/>
      <c r="BD1560" s="399">
        <v>1557</v>
      </c>
      <c r="BE1560" s="399" t="s">
        <v>4252</v>
      </c>
      <c r="BF1560" s="251" t="s">
        <v>3598</v>
      </c>
      <c r="BG1560" s="399">
        <v>65</v>
      </c>
      <c r="BH1560" s="252">
        <v>65</v>
      </c>
      <c r="BI1560" s="251" t="s">
        <v>615</v>
      </c>
      <c r="BJ1560" s="251" t="s">
        <v>350</v>
      </c>
      <c r="BK1560" s="251" t="s">
        <v>4253</v>
      </c>
      <c r="BL1560" s="251" t="s">
        <v>3410</v>
      </c>
    </row>
    <row r="1561" spans="2:64" ht="15">
      <c r="B1561" s="84"/>
      <c r="D1561" s="84"/>
      <c r="E1561" s="84"/>
      <c r="F1561" s="84"/>
      <c r="G1561" s="84"/>
      <c r="R1561" s="251"/>
      <c r="S1561" s="251"/>
      <c r="BD1561" s="399">
        <v>1558</v>
      </c>
      <c r="BE1561" s="399" t="s">
        <v>4254</v>
      </c>
      <c r="BF1561" s="251" t="s">
        <v>3598</v>
      </c>
      <c r="BG1561" s="399">
        <v>65</v>
      </c>
      <c r="BH1561" s="252">
        <v>65</v>
      </c>
      <c r="BI1561" s="251" t="s">
        <v>615</v>
      </c>
      <c r="BJ1561" s="251" t="s">
        <v>3604</v>
      </c>
      <c r="BK1561" s="251" t="s">
        <v>4255</v>
      </c>
      <c r="BL1561" s="251" t="s">
        <v>3410</v>
      </c>
    </row>
    <row r="1562" spans="2:64" ht="15">
      <c r="B1562" s="84"/>
      <c r="D1562" s="84"/>
      <c r="E1562" s="84"/>
      <c r="F1562" s="84"/>
      <c r="G1562" s="84"/>
      <c r="R1562" s="251"/>
      <c r="S1562" s="251"/>
      <c r="BD1562" s="399">
        <v>1559</v>
      </c>
      <c r="BE1562" s="399" t="s">
        <v>4256</v>
      </c>
      <c r="BF1562" s="251" t="s">
        <v>3598</v>
      </c>
      <c r="BG1562" s="399">
        <v>65</v>
      </c>
      <c r="BH1562" s="252">
        <v>65</v>
      </c>
      <c r="BI1562" s="251" t="s">
        <v>477</v>
      </c>
      <c r="BJ1562" s="251" t="s">
        <v>350</v>
      </c>
      <c r="BK1562" s="251" t="s">
        <v>4257</v>
      </c>
      <c r="BL1562" s="251" t="s">
        <v>3410</v>
      </c>
    </row>
    <row r="1563" spans="2:64" ht="15">
      <c r="B1563" s="84"/>
      <c r="D1563" s="84"/>
      <c r="E1563" s="84"/>
      <c r="F1563" s="84"/>
      <c r="G1563" s="84"/>
      <c r="R1563" s="251"/>
      <c r="S1563" s="251"/>
      <c r="BD1563" s="399">
        <v>1560</v>
      </c>
      <c r="BE1563" s="399" t="s">
        <v>4258</v>
      </c>
      <c r="BF1563" s="251" t="s">
        <v>3598</v>
      </c>
      <c r="BG1563" s="399">
        <v>65</v>
      </c>
      <c r="BH1563" s="252">
        <v>65</v>
      </c>
      <c r="BI1563" s="251" t="s">
        <v>450</v>
      </c>
      <c r="BJ1563" s="251" t="s">
        <v>1855</v>
      </c>
      <c r="BK1563" s="251" t="s">
        <v>4259</v>
      </c>
      <c r="BL1563" s="251" t="s">
        <v>3410</v>
      </c>
    </row>
    <row r="1564" spans="2:64" ht="15">
      <c r="B1564" s="84"/>
      <c r="D1564" s="84"/>
      <c r="E1564" s="84"/>
      <c r="F1564" s="84"/>
      <c r="G1564" s="84"/>
      <c r="R1564" s="251"/>
      <c r="S1564" s="251"/>
      <c r="BD1564" s="399">
        <v>1561</v>
      </c>
      <c r="BE1564" s="399" t="s">
        <v>4260</v>
      </c>
      <c r="BF1564" s="251" t="s">
        <v>3598</v>
      </c>
      <c r="BG1564" s="399">
        <v>65</v>
      </c>
      <c r="BH1564" s="252">
        <v>65</v>
      </c>
      <c r="BI1564" s="251" t="s">
        <v>450</v>
      </c>
      <c r="BJ1564" s="251" t="s">
        <v>728</v>
      </c>
      <c r="BK1564" s="251" t="s">
        <v>4261</v>
      </c>
      <c r="BL1564" s="251" t="s">
        <v>3410</v>
      </c>
    </row>
    <row r="1565" spans="2:64" ht="15">
      <c r="B1565" s="84"/>
      <c r="D1565" s="84"/>
      <c r="E1565" s="84"/>
      <c r="F1565" s="84"/>
      <c r="G1565" s="84"/>
      <c r="R1565" s="251"/>
      <c r="S1565" s="251"/>
      <c r="BD1565" s="399">
        <v>1562</v>
      </c>
      <c r="BE1565" s="399" t="s">
        <v>4262</v>
      </c>
      <c r="BF1565" s="251" t="s">
        <v>3598</v>
      </c>
      <c r="BG1565" s="399">
        <v>65</v>
      </c>
      <c r="BH1565" s="252">
        <v>65</v>
      </c>
      <c r="BI1565" s="251" t="s">
        <v>2530</v>
      </c>
      <c r="BJ1565" s="251" t="s">
        <v>1855</v>
      </c>
      <c r="BK1565" s="251" t="s">
        <v>4263</v>
      </c>
      <c r="BL1565" s="251" t="s">
        <v>3410</v>
      </c>
    </row>
    <row r="1566" spans="2:64" ht="15">
      <c r="B1566" s="84"/>
      <c r="D1566" s="84"/>
      <c r="E1566" s="84"/>
      <c r="F1566" s="84"/>
      <c r="G1566" s="84"/>
      <c r="R1566" s="251"/>
      <c r="S1566" s="251"/>
      <c r="BD1566" s="399">
        <v>1563</v>
      </c>
      <c r="BE1566" s="399" t="s">
        <v>4264</v>
      </c>
      <c r="BF1566" s="251" t="s">
        <v>3598</v>
      </c>
      <c r="BG1566" s="399">
        <v>65</v>
      </c>
      <c r="BH1566" s="252">
        <v>65</v>
      </c>
      <c r="BI1566" s="251" t="s">
        <v>2530</v>
      </c>
      <c r="BJ1566" s="251" t="s">
        <v>728</v>
      </c>
      <c r="BK1566" s="251" t="s">
        <v>4265</v>
      </c>
      <c r="BL1566" s="251" t="s">
        <v>3410</v>
      </c>
    </row>
    <row r="1567" spans="2:64" ht="15">
      <c r="B1567" s="84"/>
      <c r="D1567" s="84"/>
      <c r="E1567" s="84"/>
      <c r="F1567" s="84"/>
      <c r="G1567" s="84"/>
      <c r="R1567" s="251"/>
      <c r="S1567" s="251"/>
      <c r="BD1567" s="399">
        <v>1564</v>
      </c>
      <c r="BE1567" s="399" t="s">
        <v>4266</v>
      </c>
      <c r="BF1567" s="251" t="s">
        <v>3598</v>
      </c>
      <c r="BG1567" s="399">
        <v>65</v>
      </c>
      <c r="BH1567" s="252">
        <v>65</v>
      </c>
      <c r="BI1567" s="251" t="s">
        <v>2530</v>
      </c>
      <c r="BJ1567" s="251" t="s">
        <v>350</v>
      </c>
      <c r="BK1567" s="251" t="s">
        <v>4267</v>
      </c>
      <c r="BL1567" s="251" t="s">
        <v>3410</v>
      </c>
    </row>
    <row r="1568" spans="2:64" ht="15">
      <c r="B1568" s="84"/>
      <c r="D1568" s="84"/>
      <c r="E1568" s="84"/>
      <c r="F1568" s="84"/>
      <c r="G1568" s="84"/>
      <c r="R1568" s="251"/>
      <c r="S1568" s="251"/>
      <c r="BD1568" s="399">
        <v>1565</v>
      </c>
      <c r="BE1568" s="399" t="s">
        <v>4268</v>
      </c>
      <c r="BF1568" s="251" t="s">
        <v>3598</v>
      </c>
      <c r="BG1568" s="399">
        <v>65</v>
      </c>
      <c r="BH1568" s="252">
        <v>65</v>
      </c>
      <c r="BI1568" s="251" t="s">
        <v>2530</v>
      </c>
      <c r="BJ1568" s="251" t="s">
        <v>3604</v>
      </c>
      <c r="BK1568" s="251" t="s">
        <v>4269</v>
      </c>
      <c r="BL1568" s="251" t="s">
        <v>3410</v>
      </c>
    </row>
    <row r="1569" spans="2:64" ht="15">
      <c r="B1569" s="84"/>
      <c r="D1569" s="84"/>
      <c r="E1569" s="84"/>
      <c r="F1569" s="84"/>
      <c r="G1569" s="84"/>
      <c r="R1569" s="251"/>
      <c r="S1569" s="251"/>
      <c r="BD1569" s="399">
        <v>1566</v>
      </c>
      <c r="BE1569" s="399" t="s">
        <v>4270</v>
      </c>
      <c r="BF1569" s="251" t="s">
        <v>4271</v>
      </c>
      <c r="BG1569" s="399" t="s">
        <v>435</v>
      </c>
      <c r="BH1569" s="252" t="s">
        <v>651</v>
      </c>
      <c r="BI1569" s="251" t="s">
        <v>333</v>
      </c>
      <c r="BJ1569" s="251" t="s">
        <v>351</v>
      </c>
      <c r="BK1569" s="251" t="s">
        <v>4272</v>
      </c>
      <c r="BL1569" s="251" t="s">
        <v>439</v>
      </c>
    </row>
    <row r="1570" spans="2:64" ht="15">
      <c r="B1570" s="84"/>
      <c r="D1570" s="84"/>
      <c r="E1570" s="84"/>
      <c r="F1570" s="84"/>
      <c r="G1570" s="84"/>
      <c r="R1570" s="251"/>
      <c r="S1570" s="251"/>
      <c r="BD1570" s="399">
        <v>1567</v>
      </c>
      <c r="BE1570" s="399" t="s">
        <v>3726</v>
      </c>
      <c r="BF1570" s="251" t="s">
        <v>4273</v>
      </c>
      <c r="BG1570" s="399" t="s">
        <v>371</v>
      </c>
      <c r="BH1570" s="252">
        <v>28</v>
      </c>
      <c r="BI1570" s="251" t="s">
        <v>379</v>
      </c>
      <c r="BJ1570" s="251" t="s">
        <v>539</v>
      </c>
      <c r="BK1570" s="251" t="s">
        <v>3727</v>
      </c>
      <c r="BL1570" s="251" t="s">
        <v>375</v>
      </c>
    </row>
    <row r="1571" spans="2:64" ht="15">
      <c r="B1571" s="84"/>
      <c r="D1571" s="84"/>
      <c r="E1571" s="84"/>
      <c r="F1571" s="84"/>
      <c r="G1571" s="84"/>
      <c r="R1571" s="251"/>
      <c r="S1571" s="251"/>
      <c r="BD1571" s="399">
        <v>1568</v>
      </c>
      <c r="BE1571" s="399" t="s">
        <v>4274</v>
      </c>
      <c r="BF1571" s="251" t="s">
        <v>4275</v>
      </c>
      <c r="BG1571" s="399" t="s">
        <v>371</v>
      </c>
      <c r="BH1571" s="252">
        <v>28</v>
      </c>
      <c r="BI1571" s="251" t="s">
        <v>379</v>
      </c>
      <c r="BJ1571" s="251" t="s">
        <v>380</v>
      </c>
      <c r="BK1571" s="251" t="s">
        <v>4276</v>
      </c>
      <c r="BL1571" s="251" t="s">
        <v>375</v>
      </c>
    </row>
    <row r="1572" spans="2:64" ht="15">
      <c r="B1572" s="84"/>
      <c r="D1572" s="84"/>
      <c r="E1572" s="84"/>
      <c r="F1572" s="84"/>
      <c r="G1572" s="84"/>
      <c r="R1572" s="251"/>
      <c r="S1572" s="251"/>
      <c r="BD1572" s="399">
        <v>1569</v>
      </c>
      <c r="BE1572" s="399" t="s">
        <v>4277</v>
      </c>
      <c r="BF1572" s="251" t="s">
        <v>4278</v>
      </c>
      <c r="BG1572" s="399" t="s">
        <v>423</v>
      </c>
      <c r="BH1572" s="252" t="s">
        <v>1030</v>
      </c>
      <c r="BI1572" s="251" t="s">
        <v>357</v>
      </c>
      <c r="BJ1572" s="251" t="s">
        <v>397</v>
      </c>
      <c r="BK1572" s="251" t="s">
        <v>4279</v>
      </c>
      <c r="BL1572" s="251" t="s">
        <v>426</v>
      </c>
    </row>
    <row r="1573" spans="2:64" ht="15">
      <c r="B1573" s="84"/>
      <c r="D1573" s="84"/>
      <c r="E1573" s="84"/>
      <c r="F1573" s="84"/>
      <c r="G1573" s="84"/>
      <c r="R1573" s="251"/>
      <c r="S1573" s="251"/>
      <c r="BD1573" s="399">
        <v>1570</v>
      </c>
      <c r="BE1573" s="399" t="s">
        <v>4280</v>
      </c>
      <c r="BF1573" s="251" t="s">
        <v>4281</v>
      </c>
      <c r="BG1573" s="399" t="s">
        <v>739</v>
      </c>
      <c r="BH1573" s="252">
        <v>45</v>
      </c>
      <c r="BI1573" s="251" t="s">
        <v>615</v>
      </c>
      <c r="BJ1573" s="251" t="s">
        <v>373</v>
      </c>
      <c r="BK1573" s="251" t="s">
        <v>4282</v>
      </c>
      <c r="BL1573" s="251" t="s">
        <v>742</v>
      </c>
    </row>
    <row r="1574" spans="2:64" ht="15">
      <c r="B1574" s="84"/>
      <c r="D1574" s="84"/>
      <c r="E1574" s="84"/>
      <c r="F1574" s="84"/>
      <c r="G1574" s="84"/>
      <c r="R1574" s="251"/>
      <c r="S1574" s="251"/>
      <c r="BD1574" s="399">
        <v>1571</v>
      </c>
      <c r="BE1574" s="399" t="s">
        <v>573</v>
      </c>
      <c r="BF1574" s="251" t="s">
        <v>4283</v>
      </c>
      <c r="BG1574" s="399" t="s">
        <v>363</v>
      </c>
      <c r="BH1574" s="252" t="s">
        <v>364</v>
      </c>
      <c r="BI1574" s="251" t="s">
        <v>563</v>
      </c>
      <c r="BJ1574" s="251" t="s">
        <v>539</v>
      </c>
      <c r="BK1574" s="251" t="s">
        <v>4284</v>
      </c>
      <c r="BL1574" s="251" t="s">
        <v>368</v>
      </c>
    </row>
    <row r="1575" spans="2:64" ht="15">
      <c r="B1575" s="84"/>
      <c r="D1575" s="84"/>
      <c r="E1575" s="84"/>
      <c r="F1575" s="84"/>
      <c r="G1575" s="84"/>
      <c r="R1575" s="251"/>
      <c r="S1575" s="251"/>
      <c r="BD1575" s="399">
        <v>1572</v>
      </c>
      <c r="BE1575" s="399" t="s">
        <v>4285</v>
      </c>
      <c r="BF1575" s="251" t="s">
        <v>4286</v>
      </c>
      <c r="BG1575" s="399" t="s">
        <v>429</v>
      </c>
      <c r="BH1575" s="252" t="s">
        <v>430</v>
      </c>
      <c r="BI1575" s="251" t="s">
        <v>615</v>
      </c>
      <c r="BJ1575" s="251" t="s">
        <v>380</v>
      </c>
      <c r="BK1575" s="251" t="s">
        <v>4287</v>
      </c>
      <c r="BL1575" s="251" t="s">
        <v>432</v>
      </c>
    </row>
    <row r="1576" spans="2:64" ht="15">
      <c r="B1576" s="84"/>
      <c r="D1576" s="84"/>
      <c r="E1576" s="84"/>
      <c r="F1576" s="84"/>
      <c r="G1576" s="84"/>
      <c r="R1576" s="251"/>
      <c r="S1576" s="251"/>
      <c r="BD1576" s="399">
        <v>1573</v>
      </c>
      <c r="BE1576" s="399" t="s">
        <v>2446</v>
      </c>
      <c r="BF1576" s="251" t="s">
        <v>146</v>
      </c>
      <c r="BG1576" s="399" t="s">
        <v>405</v>
      </c>
      <c r="BH1576" s="252" t="s">
        <v>1395</v>
      </c>
      <c r="BI1576" s="251" t="s">
        <v>728</v>
      </c>
      <c r="BJ1576" s="251" t="s">
        <v>539</v>
      </c>
      <c r="BK1576" s="251" t="s">
        <v>4288</v>
      </c>
      <c r="BL1576" s="251" t="s">
        <v>409</v>
      </c>
    </row>
    <row r="1577" spans="2:64" ht="15">
      <c r="B1577" s="84"/>
      <c r="D1577" s="84"/>
      <c r="E1577" s="84"/>
      <c r="F1577" s="84"/>
      <c r="G1577" s="84"/>
      <c r="R1577" s="251"/>
      <c r="S1577" s="251"/>
      <c r="BD1577" s="399">
        <v>1574</v>
      </c>
      <c r="BE1577" s="399" t="s">
        <v>4289</v>
      </c>
      <c r="BF1577" s="251" t="s">
        <v>4290</v>
      </c>
      <c r="BG1577" s="399" t="s">
        <v>469</v>
      </c>
      <c r="BH1577" s="252" t="s">
        <v>662</v>
      </c>
      <c r="BI1577" s="251" t="s">
        <v>477</v>
      </c>
      <c r="BJ1577" s="251" t="s">
        <v>380</v>
      </c>
      <c r="BK1577" s="251" t="s">
        <v>4291</v>
      </c>
      <c r="BL1577" s="251" t="s">
        <v>472</v>
      </c>
    </row>
    <row r="1578" spans="2:64" ht="15">
      <c r="B1578" s="84"/>
      <c r="D1578" s="84"/>
      <c r="E1578" s="84"/>
      <c r="F1578" s="84"/>
      <c r="G1578" s="84"/>
      <c r="R1578" s="251"/>
      <c r="S1578" s="251"/>
      <c r="BD1578" s="399">
        <v>1575</v>
      </c>
      <c r="BE1578" s="399" t="s">
        <v>4292</v>
      </c>
      <c r="BF1578" s="251" t="s">
        <v>4293</v>
      </c>
      <c r="BG1578" s="399" t="s">
        <v>469</v>
      </c>
      <c r="BH1578" s="252" t="s">
        <v>470</v>
      </c>
      <c r="BI1578" s="251" t="s">
        <v>450</v>
      </c>
      <c r="BJ1578" s="251" t="s">
        <v>380</v>
      </c>
      <c r="BK1578" s="251" t="s">
        <v>4294</v>
      </c>
      <c r="BL1578" s="251" t="s">
        <v>472</v>
      </c>
    </row>
    <row r="1579" spans="2:64" ht="15">
      <c r="B1579" s="84"/>
      <c r="D1579" s="84"/>
      <c r="E1579" s="84"/>
      <c r="F1579" s="84"/>
      <c r="G1579" s="84"/>
      <c r="R1579" s="251"/>
      <c r="S1579" s="251"/>
      <c r="BD1579" s="399">
        <v>1576</v>
      </c>
      <c r="BE1579" s="399" t="s">
        <v>4295</v>
      </c>
      <c r="BF1579" s="251" t="s">
        <v>4296</v>
      </c>
      <c r="BG1579" s="399" t="s">
        <v>429</v>
      </c>
      <c r="BH1579" s="252" t="s">
        <v>430</v>
      </c>
      <c r="BI1579" s="251" t="s">
        <v>450</v>
      </c>
      <c r="BJ1579" s="251" t="s">
        <v>407</v>
      </c>
      <c r="BK1579" s="251" t="s">
        <v>4297</v>
      </c>
      <c r="BL1579" s="251" t="s">
        <v>432</v>
      </c>
    </row>
    <row r="1580" spans="2:64" ht="15">
      <c r="B1580" s="84"/>
      <c r="D1580" s="84"/>
      <c r="E1580" s="84"/>
      <c r="F1580" s="84"/>
      <c r="G1580" s="84"/>
      <c r="R1580" s="251"/>
      <c r="S1580" s="251"/>
      <c r="BD1580" s="399">
        <v>1577</v>
      </c>
      <c r="BE1580" s="399" t="s">
        <v>4298</v>
      </c>
      <c r="BF1580" s="251" t="s">
        <v>4299</v>
      </c>
      <c r="BG1580" s="399" t="s">
        <v>549</v>
      </c>
      <c r="BH1580" s="252">
        <v>41</v>
      </c>
      <c r="BI1580" s="251" t="s">
        <v>450</v>
      </c>
      <c r="BJ1580" s="251" t="s">
        <v>407</v>
      </c>
      <c r="BK1580" s="251" t="s">
        <v>4300</v>
      </c>
      <c r="BL1580" s="251" t="s">
        <v>551</v>
      </c>
    </row>
    <row r="1581" spans="2:64" ht="15">
      <c r="B1581" s="84"/>
      <c r="D1581" s="84"/>
      <c r="E1581" s="84"/>
      <c r="F1581" s="84"/>
      <c r="G1581" s="84"/>
      <c r="R1581" s="251"/>
      <c r="S1581" s="251"/>
      <c r="BD1581" s="399">
        <v>1578</v>
      </c>
      <c r="BE1581" s="399" t="s">
        <v>4301</v>
      </c>
      <c r="BF1581" s="251" t="s">
        <v>4302</v>
      </c>
      <c r="BG1581" s="399" t="s">
        <v>614</v>
      </c>
      <c r="BH1581" s="252">
        <v>38</v>
      </c>
      <c r="BI1581" s="251" t="s">
        <v>379</v>
      </c>
      <c r="BJ1581" s="251" t="s">
        <v>351</v>
      </c>
      <c r="BK1581" s="251" t="s">
        <v>4303</v>
      </c>
      <c r="BL1581" s="251" t="s">
        <v>617</v>
      </c>
    </row>
    <row r="1582" spans="2:64" ht="15">
      <c r="B1582" s="84"/>
      <c r="D1582" s="84"/>
      <c r="E1582" s="84"/>
      <c r="F1582" s="84"/>
      <c r="G1582" s="84"/>
      <c r="R1582" s="251"/>
      <c r="S1582" s="251"/>
      <c r="BD1582" s="399">
        <v>1579</v>
      </c>
      <c r="BE1582" s="399" t="s">
        <v>4304</v>
      </c>
      <c r="BF1582" s="251" t="s">
        <v>4305</v>
      </c>
      <c r="BG1582" s="399" t="s">
        <v>566</v>
      </c>
      <c r="BH1582" s="252" t="s">
        <v>567</v>
      </c>
      <c r="BI1582" s="251" t="s">
        <v>333</v>
      </c>
      <c r="BJ1582" s="251" t="s">
        <v>351</v>
      </c>
      <c r="BK1582" s="251" t="s">
        <v>4306</v>
      </c>
      <c r="BL1582" s="251" t="s">
        <v>569</v>
      </c>
    </row>
    <row r="1583" spans="2:64" ht="15">
      <c r="B1583" s="84"/>
      <c r="D1583" s="84"/>
      <c r="E1583" s="84"/>
      <c r="F1583" s="84"/>
      <c r="G1583" s="84"/>
      <c r="R1583" s="251"/>
      <c r="S1583" s="251"/>
      <c r="BD1583" s="399">
        <v>1580</v>
      </c>
      <c r="BE1583" s="399" t="s">
        <v>4307</v>
      </c>
      <c r="BF1583" s="251" t="s">
        <v>4308</v>
      </c>
      <c r="BG1583" s="399" t="s">
        <v>549</v>
      </c>
      <c r="BH1583" s="252">
        <v>41</v>
      </c>
      <c r="BI1583" s="251" t="s">
        <v>583</v>
      </c>
      <c r="BJ1583" s="251" t="s">
        <v>380</v>
      </c>
      <c r="BK1583" s="251" t="s">
        <v>4309</v>
      </c>
      <c r="BL1583" s="251" t="s">
        <v>551</v>
      </c>
    </row>
    <row r="1584" spans="2:64" ht="15">
      <c r="B1584" s="84"/>
      <c r="D1584" s="84"/>
      <c r="E1584" s="84"/>
      <c r="F1584" s="84"/>
      <c r="G1584" s="84"/>
      <c r="R1584" s="251"/>
      <c r="S1584" s="251"/>
      <c r="BD1584" s="399">
        <v>1581</v>
      </c>
      <c r="BE1584" s="399" t="s">
        <v>4310</v>
      </c>
      <c r="BF1584" s="251" t="s">
        <v>4311</v>
      </c>
      <c r="BG1584" s="399" t="s">
        <v>429</v>
      </c>
      <c r="BH1584" s="252" t="s">
        <v>430</v>
      </c>
      <c r="BI1584" s="251" t="s">
        <v>563</v>
      </c>
      <c r="BJ1584" s="251" t="s">
        <v>407</v>
      </c>
      <c r="BK1584" s="251" t="s">
        <v>4312</v>
      </c>
      <c r="BL1584" s="251" t="s">
        <v>432</v>
      </c>
    </row>
    <row r="1585" spans="2:64" ht="15">
      <c r="B1585" s="84"/>
      <c r="D1585" s="84"/>
      <c r="E1585" s="84"/>
      <c r="F1585" s="84"/>
      <c r="G1585" s="84"/>
      <c r="R1585" s="251"/>
      <c r="S1585" s="251"/>
      <c r="BD1585" s="399">
        <v>1582</v>
      </c>
      <c r="BE1585" s="399" t="s">
        <v>4313</v>
      </c>
      <c r="BF1585" s="251" t="s">
        <v>4314</v>
      </c>
      <c r="BG1585" s="399" t="s">
        <v>349</v>
      </c>
      <c r="BH1585" s="252">
        <v>17</v>
      </c>
      <c r="BI1585" s="251" t="s">
        <v>379</v>
      </c>
      <c r="BJ1585" s="251" t="s">
        <v>380</v>
      </c>
      <c r="BK1585" s="251" t="s">
        <v>4315</v>
      </c>
      <c r="BL1585" s="251" t="s">
        <v>353</v>
      </c>
    </row>
    <row r="1586" spans="2:64" ht="15">
      <c r="B1586" s="84"/>
      <c r="D1586" s="84"/>
      <c r="E1586" s="84"/>
      <c r="F1586" s="84"/>
      <c r="G1586" s="84"/>
      <c r="R1586" s="251"/>
      <c r="S1586" s="251"/>
      <c r="BD1586" s="399">
        <v>1583</v>
      </c>
      <c r="BE1586" s="399" t="s">
        <v>4316</v>
      </c>
      <c r="BF1586" s="251" t="s">
        <v>4317</v>
      </c>
      <c r="BG1586" s="399" t="s">
        <v>449</v>
      </c>
      <c r="BH1586" s="252">
        <v>43</v>
      </c>
      <c r="BI1586" s="251" t="s">
        <v>465</v>
      </c>
      <c r="BJ1586" s="251" t="s">
        <v>413</v>
      </c>
      <c r="BK1586" s="251" t="s">
        <v>4318</v>
      </c>
      <c r="BL1586" s="251" t="s">
        <v>452</v>
      </c>
    </row>
    <row r="1587" spans="2:64" ht="15">
      <c r="B1587" s="84"/>
      <c r="D1587" s="84"/>
      <c r="E1587" s="84"/>
      <c r="F1587" s="84"/>
      <c r="G1587" s="84"/>
      <c r="R1587" s="251"/>
      <c r="S1587" s="251"/>
      <c r="BD1587" s="399">
        <v>1584</v>
      </c>
      <c r="BE1587" s="399" t="s">
        <v>4319</v>
      </c>
      <c r="BF1587" s="251" t="s">
        <v>4320</v>
      </c>
      <c r="BG1587" s="399" t="s">
        <v>469</v>
      </c>
      <c r="BH1587" s="252" t="s">
        <v>470</v>
      </c>
      <c r="BI1587" s="251" t="s">
        <v>615</v>
      </c>
      <c r="BJ1587" s="251" t="s">
        <v>380</v>
      </c>
      <c r="BK1587" s="251" t="s">
        <v>4321</v>
      </c>
      <c r="BL1587" s="251" t="s">
        <v>472</v>
      </c>
    </row>
    <row r="1588" spans="2:64" ht="15">
      <c r="B1588" s="84"/>
      <c r="D1588" s="84"/>
      <c r="E1588" s="84"/>
      <c r="F1588" s="84"/>
      <c r="G1588" s="84"/>
      <c r="R1588" s="251"/>
      <c r="S1588" s="251"/>
      <c r="BD1588" s="399">
        <v>1585</v>
      </c>
      <c r="BE1588" s="399" t="s">
        <v>4322</v>
      </c>
      <c r="BF1588" s="251" t="s">
        <v>4323</v>
      </c>
      <c r="BG1588" s="399" t="s">
        <v>469</v>
      </c>
      <c r="BH1588" s="252" t="s">
        <v>662</v>
      </c>
      <c r="BI1588" s="251" t="s">
        <v>334</v>
      </c>
      <c r="BJ1588" s="251" t="s">
        <v>380</v>
      </c>
      <c r="BK1588" s="251" t="s">
        <v>4324</v>
      </c>
      <c r="BL1588" s="251" t="s">
        <v>472</v>
      </c>
    </row>
    <row r="1589" spans="2:64" ht="15">
      <c r="B1589" s="84"/>
      <c r="D1589" s="84"/>
      <c r="E1589" s="84"/>
      <c r="F1589" s="84"/>
      <c r="G1589" s="84"/>
      <c r="R1589" s="251"/>
      <c r="S1589" s="251"/>
      <c r="BD1589" s="399">
        <v>1586</v>
      </c>
      <c r="BE1589" s="399" t="s">
        <v>4325</v>
      </c>
      <c r="BF1589" s="251" t="s">
        <v>4326</v>
      </c>
      <c r="BG1589" s="399" t="s">
        <v>0</v>
      </c>
      <c r="BH1589" s="252">
        <v>48</v>
      </c>
      <c r="BI1589" s="251" t="s">
        <v>450</v>
      </c>
      <c r="BJ1589" s="251" t="s">
        <v>407</v>
      </c>
      <c r="BK1589" s="251" t="s">
        <v>4327</v>
      </c>
      <c r="BL1589" s="251" t="s">
        <v>818</v>
      </c>
    </row>
    <row r="1590" spans="2:64" ht="15">
      <c r="B1590" s="84"/>
      <c r="D1590" s="84"/>
      <c r="E1590" s="84"/>
      <c r="F1590" s="84"/>
      <c r="G1590" s="84"/>
      <c r="R1590" s="251"/>
      <c r="S1590" s="251"/>
      <c r="BD1590" s="399">
        <v>1587</v>
      </c>
      <c r="BE1590" s="399" t="s">
        <v>4328</v>
      </c>
      <c r="BF1590" s="251" t="s">
        <v>4329</v>
      </c>
      <c r="BG1590" s="399" t="s">
        <v>566</v>
      </c>
      <c r="BH1590" s="252" t="s">
        <v>567</v>
      </c>
      <c r="BI1590" s="251" t="s">
        <v>445</v>
      </c>
      <c r="BJ1590" s="251" t="s">
        <v>366</v>
      </c>
      <c r="BK1590" s="251" t="s">
        <v>4330</v>
      </c>
      <c r="BL1590" s="251" t="s">
        <v>569</v>
      </c>
    </row>
    <row r="1591" spans="2:64" ht="15">
      <c r="B1591" s="84"/>
      <c r="D1591" s="84"/>
      <c r="E1591" s="84"/>
      <c r="F1591" s="84"/>
      <c r="G1591" s="84"/>
      <c r="R1591" s="251"/>
      <c r="S1591" s="251"/>
      <c r="BD1591" s="399">
        <v>1588</v>
      </c>
      <c r="BE1591" s="399" t="s">
        <v>2205</v>
      </c>
      <c r="BF1591" s="251" t="s">
        <v>4331</v>
      </c>
      <c r="BG1591" s="399" t="s">
        <v>363</v>
      </c>
      <c r="BH1591" s="252">
        <v>8</v>
      </c>
      <c r="BI1591" s="251" t="s">
        <v>450</v>
      </c>
      <c r="BJ1591" s="251" t="s">
        <v>407</v>
      </c>
      <c r="BK1591" s="251" t="s">
        <v>4332</v>
      </c>
      <c r="BL1591" s="251" t="s">
        <v>368</v>
      </c>
    </row>
    <row r="1592" spans="2:64" ht="15">
      <c r="B1592" s="84"/>
      <c r="D1592" s="84"/>
      <c r="E1592" s="84"/>
      <c r="F1592" s="84"/>
      <c r="G1592" s="84"/>
      <c r="R1592" s="251"/>
      <c r="S1592" s="251"/>
      <c r="BD1592" s="399">
        <v>1589</v>
      </c>
      <c r="BE1592" s="399" t="s">
        <v>4333</v>
      </c>
      <c r="BF1592" s="251" t="s">
        <v>4334</v>
      </c>
      <c r="BG1592" s="399" t="s">
        <v>489</v>
      </c>
      <c r="BH1592" s="252" t="s">
        <v>490</v>
      </c>
      <c r="BI1592" s="251" t="s">
        <v>496</v>
      </c>
      <c r="BJ1592" s="251" t="s">
        <v>380</v>
      </c>
      <c r="BK1592" s="251" t="s">
        <v>4335</v>
      </c>
      <c r="BL1592" s="251" t="s">
        <v>493</v>
      </c>
    </row>
    <row r="1593" spans="2:64" ht="15">
      <c r="B1593" s="84"/>
      <c r="D1593" s="84"/>
      <c r="E1593" s="84"/>
      <c r="F1593" s="84"/>
      <c r="G1593" s="84"/>
      <c r="R1593" s="251"/>
      <c r="S1593" s="251"/>
      <c r="BD1593" s="399">
        <v>1590</v>
      </c>
      <c r="BE1593" s="399" t="s">
        <v>4336</v>
      </c>
      <c r="BF1593" s="251" t="s">
        <v>4337</v>
      </c>
      <c r="BG1593" s="399" t="s">
        <v>475</v>
      </c>
      <c r="BH1593" s="252" t="s">
        <v>476</v>
      </c>
      <c r="BI1593" s="251" t="s">
        <v>334</v>
      </c>
      <c r="BJ1593" s="251" t="s">
        <v>397</v>
      </c>
      <c r="BK1593" s="251" t="s">
        <v>4338</v>
      </c>
      <c r="BL1593" s="251" t="s">
        <v>479</v>
      </c>
    </row>
    <row r="1594" spans="2:64" ht="15">
      <c r="B1594" s="84"/>
      <c r="D1594" s="84"/>
      <c r="E1594" s="84"/>
      <c r="F1594" s="84"/>
      <c r="G1594" s="84"/>
      <c r="R1594" s="251"/>
      <c r="S1594" s="251"/>
      <c r="BD1594" s="399">
        <v>1591</v>
      </c>
      <c r="BE1594" s="399" t="s">
        <v>4339</v>
      </c>
      <c r="BF1594" s="251" t="s">
        <v>4340</v>
      </c>
      <c r="BG1594" s="399" t="s">
        <v>566</v>
      </c>
      <c r="BH1594" s="252" t="s">
        <v>567</v>
      </c>
      <c r="BI1594" s="251" t="s">
        <v>1982</v>
      </c>
      <c r="BJ1594" s="251" t="s">
        <v>380</v>
      </c>
      <c r="BK1594" s="251" t="s">
        <v>4341</v>
      </c>
      <c r="BL1594" s="251" t="s">
        <v>569</v>
      </c>
    </row>
    <row r="1595" spans="2:64" ht="15">
      <c r="B1595" s="84"/>
      <c r="D1595" s="84"/>
      <c r="E1595" s="84"/>
      <c r="F1595" s="84"/>
      <c r="G1595" s="84"/>
      <c r="R1595" s="251"/>
      <c r="S1595" s="251"/>
      <c r="BD1595" s="399">
        <v>1592</v>
      </c>
      <c r="BE1595" s="399" t="s">
        <v>4342</v>
      </c>
      <c r="BF1595" s="251" t="s">
        <v>4343</v>
      </c>
      <c r="BG1595" s="399" t="s">
        <v>405</v>
      </c>
      <c r="BH1595" s="252" t="s">
        <v>1395</v>
      </c>
      <c r="BI1595" s="251" t="s">
        <v>450</v>
      </c>
      <c r="BJ1595" s="251" t="s">
        <v>380</v>
      </c>
      <c r="BK1595" s="251" t="s">
        <v>4344</v>
      </c>
      <c r="BL1595" s="251" t="s">
        <v>409</v>
      </c>
    </row>
    <row r="1596" spans="2:64" ht="15">
      <c r="B1596" s="84"/>
      <c r="D1596" s="84"/>
      <c r="E1596" s="84"/>
      <c r="F1596" s="84"/>
      <c r="G1596" s="84"/>
      <c r="R1596" s="251"/>
      <c r="S1596" s="251"/>
      <c r="BD1596" s="399">
        <v>1593</v>
      </c>
      <c r="BE1596" s="399" t="s">
        <v>4345</v>
      </c>
      <c r="BF1596" s="251" t="s">
        <v>4346</v>
      </c>
      <c r="BG1596" s="399" t="s">
        <v>429</v>
      </c>
      <c r="BH1596" s="252" t="s">
        <v>430</v>
      </c>
      <c r="BI1596" s="251" t="s">
        <v>333</v>
      </c>
      <c r="BJ1596" s="251" t="s">
        <v>397</v>
      </c>
      <c r="BK1596" s="251" t="s">
        <v>4347</v>
      </c>
      <c r="BL1596" s="251" t="s">
        <v>432</v>
      </c>
    </row>
    <row r="1597" spans="2:64" ht="15">
      <c r="B1597" s="84"/>
      <c r="D1597" s="84"/>
      <c r="E1597" s="84"/>
      <c r="F1597" s="84"/>
      <c r="G1597" s="84"/>
      <c r="R1597" s="251"/>
      <c r="S1597" s="251"/>
      <c r="BD1597" s="399">
        <v>1594</v>
      </c>
      <c r="BE1597" s="399" t="s">
        <v>4348</v>
      </c>
      <c r="BF1597" s="251" t="s">
        <v>4349</v>
      </c>
      <c r="BG1597" s="399" t="s">
        <v>469</v>
      </c>
      <c r="BH1597" s="252" t="s">
        <v>470</v>
      </c>
      <c r="BI1597" s="251" t="s">
        <v>579</v>
      </c>
      <c r="BJ1597" s="251" t="s">
        <v>413</v>
      </c>
      <c r="BK1597" s="251" t="s">
        <v>4350</v>
      </c>
      <c r="BL1597" s="251" t="s">
        <v>472</v>
      </c>
    </row>
    <row r="1598" spans="2:64" ht="15">
      <c r="B1598" s="84"/>
      <c r="D1598" s="84"/>
      <c r="E1598" s="84"/>
      <c r="F1598" s="84"/>
      <c r="G1598" s="84"/>
      <c r="R1598" s="251"/>
      <c r="S1598" s="251"/>
      <c r="BD1598" s="399">
        <v>1595</v>
      </c>
      <c r="BE1598" s="399" t="s">
        <v>4351</v>
      </c>
      <c r="BF1598" s="251" t="s">
        <v>4349</v>
      </c>
      <c r="BG1598" s="399" t="s">
        <v>469</v>
      </c>
      <c r="BH1598" s="252" t="s">
        <v>470</v>
      </c>
      <c r="BI1598" s="251" t="s">
        <v>357</v>
      </c>
      <c r="BJ1598" s="251" t="s">
        <v>413</v>
      </c>
      <c r="BK1598" s="251" t="s">
        <v>4352</v>
      </c>
      <c r="BL1598" s="251" t="s">
        <v>472</v>
      </c>
    </row>
    <row r="1599" spans="2:64" ht="15">
      <c r="B1599" s="84"/>
      <c r="D1599" s="84"/>
      <c r="E1599" s="84"/>
      <c r="F1599" s="84"/>
      <c r="G1599" s="84"/>
      <c r="R1599" s="251"/>
      <c r="S1599" s="251"/>
      <c r="BD1599" s="399">
        <v>1596</v>
      </c>
      <c r="BE1599" s="399" t="s">
        <v>4353</v>
      </c>
      <c r="BF1599" s="251" t="s">
        <v>4349</v>
      </c>
      <c r="BG1599" s="399" t="s">
        <v>469</v>
      </c>
      <c r="BH1599" s="252" t="s">
        <v>470</v>
      </c>
      <c r="BI1599" s="251" t="s">
        <v>583</v>
      </c>
      <c r="BJ1599" s="251" t="s">
        <v>413</v>
      </c>
      <c r="BK1599" s="251" t="s">
        <v>4354</v>
      </c>
      <c r="BL1599" s="251" t="s">
        <v>472</v>
      </c>
    </row>
    <row r="1600" spans="2:64" ht="15">
      <c r="B1600" s="84"/>
      <c r="D1600" s="84"/>
      <c r="E1600" s="84"/>
      <c r="F1600" s="84"/>
      <c r="G1600" s="84"/>
      <c r="R1600" s="251"/>
      <c r="S1600" s="251"/>
      <c r="BD1600" s="399">
        <v>1597</v>
      </c>
      <c r="BE1600" s="399" t="s">
        <v>4355</v>
      </c>
      <c r="BF1600" s="251" t="s">
        <v>4349</v>
      </c>
      <c r="BG1600" s="399" t="s">
        <v>469</v>
      </c>
      <c r="BH1600" s="252" t="s">
        <v>470</v>
      </c>
      <c r="BI1600" s="251" t="s">
        <v>873</v>
      </c>
      <c r="BJ1600" s="251" t="s">
        <v>413</v>
      </c>
      <c r="BK1600" s="251" t="s">
        <v>4356</v>
      </c>
      <c r="BL1600" s="251" t="s">
        <v>472</v>
      </c>
    </row>
    <row r="1601" spans="2:64" ht="15">
      <c r="B1601" s="84"/>
      <c r="D1601" s="84"/>
      <c r="E1601" s="84"/>
      <c r="F1601" s="84"/>
      <c r="G1601" s="84"/>
      <c r="R1601" s="251"/>
      <c r="S1601" s="251"/>
      <c r="BD1601" s="399">
        <v>1598</v>
      </c>
      <c r="BE1601" s="399" t="s">
        <v>4357</v>
      </c>
      <c r="BF1601" s="251" t="s">
        <v>4349</v>
      </c>
      <c r="BG1601" s="399" t="s">
        <v>378</v>
      </c>
      <c r="BH1601" s="252">
        <v>11</v>
      </c>
      <c r="BI1601" s="251" t="s">
        <v>579</v>
      </c>
      <c r="BJ1601" s="251" t="s">
        <v>413</v>
      </c>
      <c r="BK1601" s="251" t="s">
        <v>4358</v>
      </c>
      <c r="BL1601" s="251" t="s">
        <v>382</v>
      </c>
    </row>
    <row r="1602" spans="2:64" ht="15">
      <c r="B1602" s="84"/>
      <c r="D1602" s="84"/>
      <c r="E1602" s="84"/>
      <c r="F1602" s="84"/>
      <c r="G1602" s="84"/>
      <c r="R1602" s="251"/>
      <c r="S1602" s="251"/>
      <c r="BD1602" s="399">
        <v>1599</v>
      </c>
      <c r="BE1602" s="399" t="s">
        <v>3418</v>
      </c>
      <c r="BF1602" s="251" t="s">
        <v>4349</v>
      </c>
      <c r="BG1602" s="399" t="s">
        <v>378</v>
      </c>
      <c r="BH1602" s="252">
        <v>11</v>
      </c>
      <c r="BI1602" s="251" t="s">
        <v>357</v>
      </c>
      <c r="BJ1602" s="251" t="s">
        <v>413</v>
      </c>
      <c r="BK1602" s="251" t="s">
        <v>3420</v>
      </c>
      <c r="BL1602" s="251" t="s">
        <v>382</v>
      </c>
    </row>
    <row r="1603" spans="2:64" ht="15">
      <c r="B1603" s="84"/>
      <c r="D1603" s="84"/>
      <c r="E1603" s="84"/>
      <c r="F1603" s="84"/>
      <c r="G1603" s="84"/>
      <c r="R1603" s="251"/>
      <c r="S1603" s="251"/>
      <c r="BD1603" s="399">
        <v>1600</v>
      </c>
      <c r="BE1603" s="399" t="s">
        <v>4359</v>
      </c>
      <c r="BF1603" s="251" t="s">
        <v>4349</v>
      </c>
      <c r="BG1603" s="399" t="s">
        <v>378</v>
      </c>
      <c r="BH1603" s="252">
        <v>11</v>
      </c>
      <c r="BI1603" s="251" t="s">
        <v>3437</v>
      </c>
      <c r="BJ1603" s="251" t="s">
        <v>413</v>
      </c>
      <c r="BK1603" s="251" t="s">
        <v>4360</v>
      </c>
      <c r="BL1603" s="251" t="s">
        <v>382</v>
      </c>
    </row>
    <row r="1604" spans="2:64" ht="15">
      <c r="B1604" s="84"/>
      <c r="D1604" s="84"/>
      <c r="E1604" s="84"/>
      <c r="F1604" s="84"/>
      <c r="G1604" s="84"/>
      <c r="R1604" s="251"/>
      <c r="S1604" s="251"/>
      <c r="BD1604" s="399">
        <v>1601</v>
      </c>
      <c r="BE1604" s="399" t="s">
        <v>4361</v>
      </c>
      <c r="BF1604" s="251" t="s">
        <v>4349</v>
      </c>
      <c r="BG1604" s="399" t="s">
        <v>489</v>
      </c>
      <c r="BH1604" s="252" t="s">
        <v>639</v>
      </c>
      <c r="BI1604" s="251" t="s">
        <v>357</v>
      </c>
      <c r="BJ1604" s="251" t="s">
        <v>413</v>
      </c>
      <c r="BK1604" s="251" t="s">
        <v>4362</v>
      </c>
      <c r="BL1604" s="251" t="s">
        <v>493</v>
      </c>
    </row>
    <row r="1605" spans="2:64" ht="15">
      <c r="B1605" s="84"/>
      <c r="D1605" s="84"/>
      <c r="E1605" s="84"/>
      <c r="F1605" s="84"/>
      <c r="G1605" s="84"/>
      <c r="R1605" s="251"/>
      <c r="S1605" s="251"/>
      <c r="BD1605" s="399">
        <v>1602</v>
      </c>
      <c r="BE1605" s="399" t="s">
        <v>2846</v>
      </c>
      <c r="BF1605" s="251" t="s">
        <v>4349</v>
      </c>
      <c r="BG1605" s="399" t="s">
        <v>395</v>
      </c>
      <c r="BH1605" s="252">
        <v>16</v>
      </c>
      <c r="BI1605" s="251" t="s">
        <v>357</v>
      </c>
      <c r="BJ1605" s="251" t="s">
        <v>413</v>
      </c>
      <c r="BK1605" s="251" t="s">
        <v>2847</v>
      </c>
      <c r="BL1605" s="251" t="s">
        <v>399</v>
      </c>
    </row>
    <row r="1606" spans="2:64" ht="15">
      <c r="B1606" s="84"/>
      <c r="D1606" s="84"/>
      <c r="E1606" s="84"/>
      <c r="F1606" s="84"/>
      <c r="G1606" s="84"/>
      <c r="R1606" s="251"/>
      <c r="S1606" s="251"/>
      <c r="BD1606" s="399">
        <v>1603</v>
      </c>
      <c r="BE1606" s="399" t="s">
        <v>2848</v>
      </c>
      <c r="BF1606" s="251" t="s">
        <v>4349</v>
      </c>
      <c r="BG1606" s="399" t="s">
        <v>395</v>
      </c>
      <c r="BH1606" s="252">
        <v>16</v>
      </c>
      <c r="BI1606" s="251" t="s">
        <v>583</v>
      </c>
      <c r="BJ1606" s="251" t="s">
        <v>413</v>
      </c>
      <c r="BK1606" s="251" t="s">
        <v>2849</v>
      </c>
      <c r="BL1606" s="251" t="s">
        <v>399</v>
      </c>
    </row>
    <row r="1607" spans="2:64" ht="15">
      <c r="B1607" s="84"/>
      <c r="D1607" s="84"/>
      <c r="E1607" s="84"/>
      <c r="F1607" s="84"/>
      <c r="G1607" s="84"/>
      <c r="R1607" s="251"/>
      <c r="S1607" s="251"/>
      <c r="BD1607" s="399">
        <v>1604</v>
      </c>
      <c r="BE1607" s="399" t="s">
        <v>4363</v>
      </c>
      <c r="BF1607" s="251" t="s">
        <v>4349</v>
      </c>
      <c r="BG1607" s="399" t="s">
        <v>395</v>
      </c>
      <c r="BH1607" s="252">
        <v>16</v>
      </c>
      <c r="BI1607" s="251" t="s">
        <v>3437</v>
      </c>
      <c r="BJ1607" s="251" t="s">
        <v>413</v>
      </c>
      <c r="BK1607" s="251" t="s">
        <v>4364</v>
      </c>
      <c r="BL1607" s="251" t="s">
        <v>399</v>
      </c>
    </row>
    <row r="1608" spans="2:64" ht="15">
      <c r="B1608" s="84"/>
      <c r="D1608" s="84"/>
      <c r="E1608" s="84"/>
      <c r="F1608" s="84"/>
      <c r="G1608" s="84"/>
      <c r="R1608" s="251"/>
      <c r="S1608" s="251"/>
      <c r="BD1608" s="399">
        <v>1605</v>
      </c>
      <c r="BE1608" s="399" t="s">
        <v>4365</v>
      </c>
      <c r="BF1608" s="251" t="s">
        <v>4349</v>
      </c>
      <c r="BG1608" s="399" t="s">
        <v>395</v>
      </c>
      <c r="BH1608" s="252">
        <v>16</v>
      </c>
      <c r="BI1608" s="251" t="s">
        <v>873</v>
      </c>
      <c r="BJ1608" s="251" t="s">
        <v>413</v>
      </c>
      <c r="BK1608" s="251" t="s">
        <v>4366</v>
      </c>
      <c r="BL1608" s="251" t="s">
        <v>399</v>
      </c>
    </row>
    <row r="1609" spans="2:64" ht="15">
      <c r="B1609" s="84"/>
      <c r="D1609" s="84"/>
      <c r="E1609" s="84"/>
      <c r="F1609" s="84"/>
      <c r="G1609" s="84"/>
      <c r="R1609" s="251"/>
      <c r="S1609" s="251"/>
      <c r="BD1609" s="399">
        <v>1606</v>
      </c>
      <c r="BE1609" s="399" t="s">
        <v>3439</v>
      </c>
      <c r="BF1609" s="251" t="s">
        <v>4349</v>
      </c>
      <c r="BG1609" s="399" t="s">
        <v>349</v>
      </c>
      <c r="BH1609" s="252">
        <v>17</v>
      </c>
      <c r="BI1609" s="251" t="s">
        <v>535</v>
      </c>
      <c r="BJ1609" s="251" t="s">
        <v>413</v>
      </c>
      <c r="BK1609" s="251" t="s">
        <v>3440</v>
      </c>
      <c r="BL1609" s="251" t="s">
        <v>353</v>
      </c>
    </row>
    <row r="1610" spans="2:64" ht="15">
      <c r="B1610" s="84"/>
      <c r="D1610" s="84"/>
      <c r="E1610" s="84"/>
      <c r="F1610" s="84"/>
      <c r="G1610" s="84"/>
      <c r="R1610" s="251"/>
      <c r="S1610" s="251"/>
      <c r="BD1610" s="399">
        <v>1607</v>
      </c>
      <c r="BE1610" s="399" t="s">
        <v>3441</v>
      </c>
      <c r="BF1610" s="251" t="s">
        <v>4349</v>
      </c>
      <c r="BG1610" s="399" t="s">
        <v>349</v>
      </c>
      <c r="BH1610" s="252">
        <v>17</v>
      </c>
      <c r="BI1610" s="251" t="s">
        <v>873</v>
      </c>
      <c r="BJ1610" s="251" t="s">
        <v>413</v>
      </c>
      <c r="BK1610" s="251" t="s">
        <v>3442</v>
      </c>
      <c r="BL1610" s="251" t="s">
        <v>353</v>
      </c>
    </row>
    <row r="1611" spans="2:64" ht="15">
      <c r="B1611" s="84"/>
      <c r="D1611" s="84"/>
      <c r="E1611" s="84"/>
      <c r="F1611" s="84"/>
      <c r="G1611" s="84"/>
      <c r="R1611" s="251"/>
      <c r="S1611" s="251"/>
      <c r="BD1611" s="399">
        <v>1608</v>
      </c>
      <c r="BE1611" s="399" t="s">
        <v>3443</v>
      </c>
      <c r="BF1611" s="251" t="s">
        <v>4349</v>
      </c>
      <c r="BG1611" s="399" t="s">
        <v>356</v>
      </c>
      <c r="BH1611" s="252">
        <v>18</v>
      </c>
      <c r="BI1611" s="251" t="s">
        <v>579</v>
      </c>
      <c r="BJ1611" s="251" t="s">
        <v>413</v>
      </c>
      <c r="BK1611" s="251" t="s">
        <v>3444</v>
      </c>
      <c r="BL1611" s="251" t="s">
        <v>360</v>
      </c>
    </row>
    <row r="1612" spans="2:64" ht="15">
      <c r="B1612" s="84"/>
      <c r="D1612" s="84"/>
      <c r="E1612" s="84"/>
      <c r="F1612" s="84"/>
      <c r="G1612" s="84"/>
      <c r="R1612" s="251"/>
      <c r="S1612" s="251"/>
      <c r="BD1612" s="399">
        <v>1609</v>
      </c>
      <c r="BE1612" s="399" t="s">
        <v>4367</v>
      </c>
      <c r="BF1612" s="251" t="s">
        <v>4349</v>
      </c>
      <c r="BG1612" s="399" t="s">
        <v>356</v>
      </c>
      <c r="BH1612" s="252">
        <v>18</v>
      </c>
      <c r="BI1612" s="251" t="s">
        <v>4368</v>
      </c>
      <c r="BJ1612" s="251" t="s">
        <v>413</v>
      </c>
      <c r="BK1612" s="251" t="s">
        <v>4369</v>
      </c>
      <c r="BL1612" s="251" t="s">
        <v>360</v>
      </c>
    </row>
    <row r="1613" spans="2:64" ht="15">
      <c r="B1613" s="84"/>
      <c r="D1613" s="84"/>
      <c r="E1613" s="84"/>
      <c r="F1613" s="84"/>
      <c r="G1613" s="84"/>
      <c r="R1613" s="251"/>
      <c r="S1613" s="251"/>
      <c r="BD1613" s="399">
        <v>1610</v>
      </c>
      <c r="BE1613" s="399" t="s">
        <v>3447</v>
      </c>
      <c r="BF1613" s="251" t="s">
        <v>4349</v>
      </c>
      <c r="BG1613" s="399" t="s">
        <v>777</v>
      </c>
      <c r="BH1613" s="252">
        <v>21</v>
      </c>
      <c r="BI1613" s="251" t="s">
        <v>579</v>
      </c>
      <c r="BJ1613" s="251" t="s">
        <v>413</v>
      </c>
      <c r="BK1613" s="251" t="s">
        <v>3448</v>
      </c>
      <c r="BL1613" s="251" t="s">
        <v>780</v>
      </c>
    </row>
    <row r="1614" spans="2:64" ht="15">
      <c r="B1614" s="84"/>
      <c r="D1614" s="84"/>
      <c r="E1614" s="84"/>
      <c r="F1614" s="84"/>
      <c r="G1614" s="84"/>
      <c r="R1614" s="251"/>
      <c r="S1614" s="251"/>
      <c r="BD1614" s="399">
        <v>1611</v>
      </c>
      <c r="BE1614" s="399" t="s">
        <v>2907</v>
      </c>
      <c r="BF1614" s="251" t="s">
        <v>4349</v>
      </c>
      <c r="BG1614" s="399" t="s">
        <v>777</v>
      </c>
      <c r="BH1614" s="252">
        <v>21</v>
      </c>
      <c r="BI1614" s="251" t="s">
        <v>740</v>
      </c>
      <c r="BJ1614" s="251" t="s">
        <v>413</v>
      </c>
      <c r="BK1614" s="251" t="s">
        <v>2908</v>
      </c>
      <c r="BL1614" s="251" t="s">
        <v>780</v>
      </c>
    </row>
    <row r="1615" spans="2:64" ht="15">
      <c r="B1615" s="84"/>
      <c r="D1615" s="84"/>
      <c r="E1615" s="84"/>
      <c r="F1615" s="84"/>
      <c r="G1615" s="84"/>
      <c r="R1615" s="251"/>
      <c r="S1615" s="251"/>
      <c r="BD1615" s="399">
        <v>1612</v>
      </c>
      <c r="BE1615" s="399" t="s">
        <v>849</v>
      </c>
      <c r="BF1615" s="251" t="s">
        <v>4349</v>
      </c>
      <c r="BG1615" s="399" t="s">
        <v>777</v>
      </c>
      <c r="BH1615" s="252">
        <v>21</v>
      </c>
      <c r="BI1615" s="251" t="s">
        <v>357</v>
      </c>
      <c r="BJ1615" s="251" t="s">
        <v>413</v>
      </c>
      <c r="BK1615" s="251" t="s">
        <v>851</v>
      </c>
      <c r="BL1615" s="251" t="s">
        <v>780</v>
      </c>
    </row>
    <row r="1616" spans="2:64" ht="15">
      <c r="B1616" s="84"/>
      <c r="D1616" s="84"/>
      <c r="E1616" s="84"/>
      <c r="F1616" s="84"/>
      <c r="G1616" s="84"/>
      <c r="R1616" s="251"/>
      <c r="S1616" s="251"/>
      <c r="BD1616" s="399">
        <v>1613</v>
      </c>
      <c r="BE1616" s="399" t="s">
        <v>4370</v>
      </c>
      <c r="BF1616" s="251" t="s">
        <v>4349</v>
      </c>
      <c r="BG1616" s="399" t="s">
        <v>777</v>
      </c>
      <c r="BH1616" s="252">
        <v>21</v>
      </c>
      <c r="BI1616" s="251" t="s">
        <v>3437</v>
      </c>
      <c r="BJ1616" s="251" t="s">
        <v>413</v>
      </c>
      <c r="BK1616" s="251" t="s">
        <v>4371</v>
      </c>
      <c r="BL1616" s="251" t="s">
        <v>780</v>
      </c>
    </row>
    <row r="1617" spans="2:64" ht="15">
      <c r="B1617" s="84"/>
      <c r="D1617" s="84"/>
      <c r="E1617" s="84"/>
      <c r="F1617" s="84"/>
      <c r="G1617" s="84"/>
      <c r="R1617" s="251"/>
      <c r="S1617" s="251"/>
      <c r="BD1617" s="399">
        <v>1614</v>
      </c>
      <c r="BE1617" s="399" t="s">
        <v>3451</v>
      </c>
      <c r="BF1617" s="251" t="s">
        <v>4349</v>
      </c>
      <c r="BG1617" s="399" t="s">
        <v>777</v>
      </c>
      <c r="BH1617" s="252">
        <v>21</v>
      </c>
      <c r="BI1617" s="251" t="s">
        <v>873</v>
      </c>
      <c r="BJ1617" s="251" t="s">
        <v>413</v>
      </c>
      <c r="BK1617" s="251" t="s">
        <v>3452</v>
      </c>
      <c r="BL1617" s="251" t="s">
        <v>780</v>
      </c>
    </row>
    <row r="1618" spans="2:64" ht="15">
      <c r="B1618" s="84"/>
      <c r="D1618" s="84"/>
      <c r="E1618" s="84"/>
      <c r="F1618" s="84"/>
      <c r="G1618" s="84"/>
      <c r="R1618" s="251"/>
      <c r="S1618" s="251"/>
      <c r="BD1618" s="399">
        <v>1615</v>
      </c>
      <c r="BE1618" s="399" t="s">
        <v>3463</v>
      </c>
      <c r="BF1618" s="251" t="s">
        <v>4349</v>
      </c>
      <c r="BG1618" s="399" t="s">
        <v>614</v>
      </c>
      <c r="BH1618" s="252">
        <v>38</v>
      </c>
      <c r="BI1618" s="251" t="s">
        <v>579</v>
      </c>
      <c r="BJ1618" s="251" t="s">
        <v>413</v>
      </c>
      <c r="BK1618" s="251" t="s">
        <v>3464</v>
      </c>
      <c r="BL1618" s="251" t="s">
        <v>617</v>
      </c>
    </row>
    <row r="1619" spans="2:64" ht="15">
      <c r="B1619" s="84"/>
      <c r="D1619" s="84"/>
      <c r="E1619" s="84"/>
      <c r="F1619" s="84"/>
      <c r="G1619" s="84"/>
      <c r="R1619" s="251"/>
      <c r="S1619" s="251"/>
      <c r="BD1619" s="399">
        <v>1616</v>
      </c>
      <c r="BE1619" s="399" t="s">
        <v>3465</v>
      </c>
      <c r="BF1619" s="251" t="s">
        <v>4349</v>
      </c>
      <c r="BG1619" s="399" t="s">
        <v>614</v>
      </c>
      <c r="BH1619" s="252">
        <v>38</v>
      </c>
      <c r="BI1619" s="251" t="s">
        <v>357</v>
      </c>
      <c r="BJ1619" s="251" t="s">
        <v>413</v>
      </c>
      <c r="BK1619" s="251" t="s">
        <v>3466</v>
      </c>
      <c r="BL1619" s="251" t="s">
        <v>617</v>
      </c>
    </row>
    <row r="1620" spans="2:64" ht="15">
      <c r="B1620" s="84"/>
      <c r="D1620" s="84"/>
      <c r="E1620" s="84"/>
      <c r="F1620" s="84"/>
      <c r="G1620" s="84"/>
      <c r="R1620" s="251"/>
      <c r="S1620" s="251"/>
      <c r="BD1620" s="399">
        <v>1617</v>
      </c>
      <c r="BE1620" s="399" t="s">
        <v>4372</v>
      </c>
      <c r="BF1620" s="251" t="s">
        <v>4349</v>
      </c>
      <c r="BG1620" s="399" t="s">
        <v>623</v>
      </c>
      <c r="BH1620" s="252" t="s">
        <v>624</v>
      </c>
      <c r="BI1620" s="251" t="s">
        <v>524</v>
      </c>
      <c r="BJ1620" s="251" t="s">
        <v>413</v>
      </c>
      <c r="BK1620" s="251" t="s">
        <v>4373</v>
      </c>
      <c r="BL1620" s="251" t="s">
        <v>626</v>
      </c>
    </row>
    <row r="1621" spans="2:64" ht="15">
      <c r="B1621" s="84"/>
      <c r="D1621" s="84"/>
      <c r="E1621" s="84"/>
      <c r="F1621" s="84"/>
      <c r="G1621" s="84"/>
      <c r="R1621" s="251"/>
      <c r="S1621" s="251"/>
      <c r="BD1621" s="399">
        <v>1618</v>
      </c>
      <c r="BE1621" s="399" t="s">
        <v>3467</v>
      </c>
      <c r="BF1621" s="251" t="s">
        <v>4349</v>
      </c>
      <c r="BG1621" s="399" t="s">
        <v>623</v>
      </c>
      <c r="BH1621" s="252" t="s">
        <v>624</v>
      </c>
      <c r="BI1621" s="251" t="s">
        <v>579</v>
      </c>
      <c r="BJ1621" s="251" t="s">
        <v>413</v>
      </c>
      <c r="BK1621" s="251" t="s">
        <v>4374</v>
      </c>
      <c r="BL1621" s="251" t="s">
        <v>626</v>
      </c>
    </row>
    <row r="1622" spans="2:64" ht="15">
      <c r="B1622" s="84"/>
      <c r="D1622" s="84"/>
      <c r="E1622" s="84"/>
      <c r="F1622" s="84"/>
      <c r="G1622" s="84"/>
      <c r="R1622" s="251"/>
      <c r="S1622" s="251"/>
      <c r="BD1622" s="399">
        <v>1619</v>
      </c>
      <c r="BE1622" s="399" t="s">
        <v>4375</v>
      </c>
      <c r="BF1622" s="251" t="s">
        <v>4349</v>
      </c>
      <c r="BG1622" s="399" t="s">
        <v>623</v>
      </c>
      <c r="BH1622" s="252">
        <v>40</v>
      </c>
      <c r="BI1622" s="251" t="s">
        <v>740</v>
      </c>
      <c r="BJ1622" s="251" t="s">
        <v>413</v>
      </c>
      <c r="BK1622" s="251" t="s">
        <v>4376</v>
      </c>
      <c r="BL1622" s="251" t="s">
        <v>626</v>
      </c>
    </row>
    <row r="1623" spans="2:64" ht="15">
      <c r="B1623" s="84"/>
      <c r="D1623" s="84"/>
      <c r="E1623" s="84"/>
      <c r="F1623" s="84"/>
      <c r="G1623" s="84"/>
      <c r="R1623" s="251"/>
      <c r="S1623" s="251"/>
      <c r="BD1623" s="399">
        <v>1620</v>
      </c>
      <c r="BE1623" s="399" t="s">
        <v>3469</v>
      </c>
      <c r="BF1623" s="251" t="s">
        <v>4349</v>
      </c>
      <c r="BG1623" s="399" t="s">
        <v>623</v>
      </c>
      <c r="BH1623" s="252" t="s">
        <v>624</v>
      </c>
      <c r="BI1623" s="251" t="s">
        <v>357</v>
      </c>
      <c r="BJ1623" s="251" t="s">
        <v>413</v>
      </c>
      <c r="BK1623" s="251" t="s">
        <v>4377</v>
      </c>
      <c r="BL1623" s="251" t="s">
        <v>626</v>
      </c>
    </row>
    <row r="1624" spans="2:64" ht="15">
      <c r="B1624" s="84"/>
      <c r="D1624" s="84"/>
      <c r="E1624" s="84"/>
      <c r="F1624" s="84"/>
      <c r="G1624" s="84"/>
      <c r="R1624" s="251"/>
      <c r="S1624" s="251"/>
      <c r="BD1624" s="399">
        <v>1621</v>
      </c>
      <c r="BE1624" s="399" t="s">
        <v>3471</v>
      </c>
      <c r="BF1624" s="251" t="s">
        <v>4349</v>
      </c>
      <c r="BG1624" s="399" t="s">
        <v>623</v>
      </c>
      <c r="BH1624" s="252" t="s">
        <v>624</v>
      </c>
      <c r="BI1624" s="251" t="s">
        <v>583</v>
      </c>
      <c r="BJ1624" s="251" t="s">
        <v>413</v>
      </c>
      <c r="BK1624" s="251" t="s">
        <v>4378</v>
      </c>
      <c r="BL1624" s="251" t="s">
        <v>626</v>
      </c>
    </row>
    <row r="1625" spans="2:64" ht="15">
      <c r="B1625" s="84"/>
      <c r="D1625" s="84"/>
      <c r="E1625" s="84"/>
      <c r="F1625" s="84"/>
      <c r="G1625" s="84"/>
      <c r="R1625" s="251"/>
      <c r="S1625" s="251"/>
      <c r="BD1625" s="399">
        <v>1622</v>
      </c>
      <c r="BE1625" s="399" t="s">
        <v>3473</v>
      </c>
      <c r="BF1625" s="251" t="s">
        <v>4349</v>
      </c>
      <c r="BG1625" s="399" t="s">
        <v>623</v>
      </c>
      <c r="BH1625" s="252" t="s">
        <v>624</v>
      </c>
      <c r="BI1625" s="251" t="s">
        <v>3437</v>
      </c>
      <c r="BJ1625" s="251" t="s">
        <v>413</v>
      </c>
      <c r="BK1625" s="251" t="s">
        <v>4379</v>
      </c>
      <c r="BL1625" s="251" t="s">
        <v>626</v>
      </c>
    </row>
    <row r="1626" spans="2:64" ht="15">
      <c r="B1626" s="84"/>
      <c r="D1626" s="84"/>
      <c r="E1626" s="84"/>
      <c r="F1626" s="84"/>
      <c r="G1626" s="84"/>
      <c r="R1626" s="251"/>
      <c r="S1626" s="251"/>
      <c r="BD1626" s="399">
        <v>1623</v>
      </c>
      <c r="BE1626" s="399" t="s">
        <v>3481</v>
      </c>
      <c r="BF1626" s="251" t="s">
        <v>4349</v>
      </c>
      <c r="BG1626" s="399" t="s">
        <v>549</v>
      </c>
      <c r="BH1626" s="252">
        <v>41</v>
      </c>
      <c r="BI1626" s="251" t="s">
        <v>357</v>
      </c>
      <c r="BJ1626" s="251" t="s">
        <v>413</v>
      </c>
      <c r="BK1626" s="251" t="s">
        <v>3482</v>
      </c>
      <c r="BL1626" s="251" t="s">
        <v>551</v>
      </c>
    </row>
    <row r="1627" spans="2:64" ht="15">
      <c r="B1627" s="84"/>
      <c r="D1627" s="84"/>
      <c r="E1627" s="84"/>
      <c r="F1627" s="84"/>
      <c r="G1627" s="84"/>
      <c r="R1627" s="251"/>
      <c r="S1627" s="251"/>
      <c r="BD1627" s="399">
        <v>1624</v>
      </c>
      <c r="BE1627" s="399" t="s">
        <v>3489</v>
      </c>
      <c r="BF1627" s="251" t="s">
        <v>4349</v>
      </c>
      <c r="BG1627" s="399" t="s">
        <v>549</v>
      </c>
      <c r="BH1627" s="252">
        <v>41</v>
      </c>
      <c r="BI1627" s="251" t="s">
        <v>535</v>
      </c>
      <c r="BJ1627" s="251" t="s">
        <v>413</v>
      </c>
      <c r="BK1627" s="251" t="s">
        <v>3490</v>
      </c>
      <c r="BL1627" s="251" t="s">
        <v>551</v>
      </c>
    </row>
    <row r="1628" spans="2:64" ht="15">
      <c r="B1628" s="84"/>
      <c r="D1628" s="84"/>
      <c r="E1628" s="84"/>
      <c r="F1628" s="84"/>
      <c r="G1628" s="84"/>
      <c r="R1628" s="251"/>
      <c r="S1628" s="251"/>
      <c r="BD1628" s="399">
        <v>1625</v>
      </c>
      <c r="BE1628" s="399" t="s">
        <v>3491</v>
      </c>
      <c r="BF1628" s="251" t="s">
        <v>4349</v>
      </c>
      <c r="BG1628" s="399" t="s">
        <v>549</v>
      </c>
      <c r="BH1628" s="252">
        <v>41</v>
      </c>
      <c r="BI1628" s="251" t="s">
        <v>873</v>
      </c>
      <c r="BJ1628" s="251" t="s">
        <v>413</v>
      </c>
      <c r="BK1628" s="251" t="s">
        <v>3492</v>
      </c>
      <c r="BL1628" s="251" t="s">
        <v>551</v>
      </c>
    </row>
    <row r="1629" spans="2:64" ht="15">
      <c r="B1629" s="84"/>
      <c r="D1629" s="84"/>
      <c r="E1629" s="84"/>
      <c r="F1629" s="84"/>
      <c r="G1629" s="84"/>
      <c r="R1629" s="251"/>
      <c r="S1629" s="251"/>
      <c r="BD1629" s="399">
        <v>1626</v>
      </c>
      <c r="BE1629" s="399" t="s">
        <v>4380</v>
      </c>
      <c r="BF1629" s="251" t="s">
        <v>4349</v>
      </c>
      <c r="BG1629" s="399" t="s">
        <v>549</v>
      </c>
      <c r="BH1629" s="252">
        <v>41</v>
      </c>
      <c r="BI1629" s="251" t="s">
        <v>2530</v>
      </c>
      <c r="BJ1629" s="251" t="s">
        <v>413</v>
      </c>
      <c r="BK1629" s="251" t="s">
        <v>4381</v>
      </c>
      <c r="BL1629" s="251" t="s">
        <v>551</v>
      </c>
    </row>
    <row r="1630" spans="2:64" ht="15">
      <c r="B1630" s="84"/>
      <c r="D1630" s="84"/>
      <c r="E1630" s="84"/>
      <c r="F1630" s="84"/>
      <c r="G1630" s="84"/>
      <c r="R1630" s="251"/>
      <c r="S1630" s="251"/>
      <c r="BD1630" s="399">
        <v>1627</v>
      </c>
      <c r="BE1630" s="399" t="s">
        <v>3493</v>
      </c>
      <c r="BF1630" s="251" t="s">
        <v>4349</v>
      </c>
      <c r="BG1630" s="399" t="s">
        <v>733</v>
      </c>
      <c r="BH1630" s="252" t="s">
        <v>734</v>
      </c>
      <c r="BI1630" s="251" t="s">
        <v>579</v>
      </c>
      <c r="BJ1630" s="251" t="s">
        <v>413</v>
      </c>
      <c r="BK1630" s="251" t="s">
        <v>4382</v>
      </c>
      <c r="BL1630" s="251" t="s">
        <v>736</v>
      </c>
    </row>
    <row r="1631" spans="2:64" ht="15">
      <c r="B1631" s="84"/>
      <c r="D1631" s="84"/>
      <c r="E1631" s="84"/>
      <c r="F1631" s="84"/>
      <c r="G1631" s="84"/>
      <c r="R1631" s="251"/>
      <c r="S1631" s="251"/>
      <c r="BD1631" s="399">
        <v>1628</v>
      </c>
      <c r="BE1631" s="399" t="s">
        <v>3497</v>
      </c>
      <c r="BF1631" s="251" t="s">
        <v>4349</v>
      </c>
      <c r="BG1631" s="399" t="s">
        <v>733</v>
      </c>
      <c r="BH1631" s="252" t="s">
        <v>734</v>
      </c>
      <c r="BI1631" s="251" t="s">
        <v>583</v>
      </c>
      <c r="BJ1631" s="251" t="s">
        <v>413</v>
      </c>
      <c r="BK1631" s="251" t="s">
        <v>4383</v>
      </c>
      <c r="BL1631" s="251" t="s">
        <v>736</v>
      </c>
    </row>
    <row r="1632" spans="2:64" ht="15">
      <c r="B1632" s="84"/>
      <c r="D1632" s="84"/>
      <c r="E1632" s="84"/>
      <c r="F1632" s="84"/>
      <c r="G1632" s="84"/>
      <c r="R1632" s="251"/>
      <c r="S1632" s="251"/>
      <c r="BD1632" s="399">
        <v>1629</v>
      </c>
      <c r="BE1632" s="399" t="s">
        <v>4384</v>
      </c>
      <c r="BF1632" s="251" t="s">
        <v>4349</v>
      </c>
      <c r="BG1632" s="399" t="s">
        <v>733</v>
      </c>
      <c r="BH1632" s="252">
        <v>42</v>
      </c>
      <c r="BI1632" s="251" t="s">
        <v>873</v>
      </c>
      <c r="BJ1632" s="251" t="s">
        <v>413</v>
      </c>
      <c r="BK1632" s="251" t="s">
        <v>4385</v>
      </c>
      <c r="BL1632" s="251" t="s">
        <v>736</v>
      </c>
    </row>
    <row r="1633" spans="2:64" ht="15">
      <c r="B1633" s="84"/>
      <c r="D1633" s="84"/>
      <c r="E1633" s="84"/>
      <c r="F1633" s="84"/>
      <c r="G1633" s="84"/>
      <c r="R1633" s="251"/>
      <c r="S1633" s="251"/>
      <c r="BD1633" s="399">
        <v>1630</v>
      </c>
      <c r="BE1633" s="399" t="s">
        <v>3499</v>
      </c>
      <c r="BF1633" s="251" t="s">
        <v>4349</v>
      </c>
      <c r="BG1633" s="399" t="s">
        <v>449</v>
      </c>
      <c r="BH1633" s="252">
        <v>43</v>
      </c>
      <c r="BI1633" s="251" t="s">
        <v>579</v>
      </c>
      <c r="BJ1633" s="251" t="s">
        <v>413</v>
      </c>
      <c r="BK1633" s="251" t="s">
        <v>3500</v>
      </c>
      <c r="BL1633" s="251" t="s">
        <v>452</v>
      </c>
    </row>
    <row r="1634" spans="2:64" ht="15">
      <c r="B1634" s="84"/>
      <c r="D1634" s="84"/>
      <c r="E1634" s="84"/>
      <c r="F1634" s="84"/>
      <c r="G1634" s="84"/>
      <c r="R1634" s="251"/>
      <c r="S1634" s="251"/>
      <c r="BD1634" s="399">
        <v>1631</v>
      </c>
      <c r="BE1634" s="399" t="s">
        <v>3172</v>
      </c>
      <c r="BF1634" s="251" t="s">
        <v>4349</v>
      </c>
      <c r="BG1634" s="399" t="s">
        <v>449</v>
      </c>
      <c r="BH1634" s="252">
        <v>43</v>
      </c>
      <c r="BI1634" s="251" t="s">
        <v>357</v>
      </c>
      <c r="BJ1634" s="251" t="s">
        <v>413</v>
      </c>
      <c r="BK1634" s="251" t="s">
        <v>3173</v>
      </c>
      <c r="BL1634" s="251" t="s">
        <v>452</v>
      </c>
    </row>
    <row r="1635" spans="2:64" ht="15">
      <c r="B1635" s="84"/>
      <c r="D1635" s="84"/>
      <c r="E1635" s="84"/>
      <c r="F1635" s="84"/>
      <c r="G1635" s="84"/>
      <c r="R1635" s="251"/>
      <c r="S1635" s="251"/>
      <c r="BD1635" s="399">
        <v>1632</v>
      </c>
      <c r="BE1635" s="399" t="s">
        <v>3501</v>
      </c>
      <c r="BF1635" s="251" t="s">
        <v>4349</v>
      </c>
      <c r="BG1635" s="399" t="s">
        <v>449</v>
      </c>
      <c r="BH1635" s="252">
        <v>43</v>
      </c>
      <c r="BI1635" s="251" t="s">
        <v>583</v>
      </c>
      <c r="BJ1635" s="251" t="s">
        <v>413</v>
      </c>
      <c r="BK1635" s="251" t="s">
        <v>3502</v>
      </c>
      <c r="BL1635" s="251" t="s">
        <v>452</v>
      </c>
    </row>
    <row r="1636" spans="2:64" ht="15">
      <c r="B1636" s="84"/>
      <c r="D1636" s="84"/>
      <c r="E1636" s="84"/>
      <c r="F1636" s="84"/>
      <c r="G1636" s="84"/>
      <c r="R1636" s="251"/>
      <c r="S1636" s="251"/>
      <c r="BD1636" s="399">
        <v>1633</v>
      </c>
      <c r="BE1636" s="399" t="s">
        <v>4386</v>
      </c>
      <c r="BF1636" s="251" t="s">
        <v>4349</v>
      </c>
      <c r="BG1636" s="399" t="s">
        <v>449</v>
      </c>
      <c r="BH1636" s="252">
        <v>43</v>
      </c>
      <c r="BI1636" s="251" t="s">
        <v>3437</v>
      </c>
      <c r="BJ1636" s="251" t="s">
        <v>413</v>
      </c>
      <c r="BK1636" s="251" t="s">
        <v>4387</v>
      </c>
      <c r="BL1636" s="251" t="s">
        <v>452</v>
      </c>
    </row>
    <row r="1637" spans="2:64" ht="15">
      <c r="B1637" s="84"/>
      <c r="D1637" s="84"/>
      <c r="E1637" s="84"/>
      <c r="F1637" s="84"/>
      <c r="G1637" s="84"/>
      <c r="R1637" s="251"/>
      <c r="S1637" s="251"/>
      <c r="BD1637" s="399">
        <v>1634</v>
      </c>
      <c r="BE1637" s="399" t="s">
        <v>3503</v>
      </c>
      <c r="BF1637" s="251" t="s">
        <v>4349</v>
      </c>
      <c r="BG1637" s="399" t="s">
        <v>449</v>
      </c>
      <c r="BH1637" s="252">
        <v>43</v>
      </c>
      <c r="BI1637" s="251" t="s">
        <v>535</v>
      </c>
      <c r="BJ1637" s="251" t="s">
        <v>413</v>
      </c>
      <c r="BK1637" s="251" t="s">
        <v>3504</v>
      </c>
      <c r="BL1637" s="251" t="s">
        <v>452</v>
      </c>
    </row>
    <row r="1638" spans="2:64" ht="15">
      <c r="B1638" s="84"/>
      <c r="D1638" s="84"/>
      <c r="E1638" s="84"/>
      <c r="F1638" s="84"/>
      <c r="G1638" s="84"/>
      <c r="R1638" s="251"/>
      <c r="S1638" s="251"/>
      <c r="BD1638" s="399">
        <v>1635</v>
      </c>
      <c r="BE1638" s="399" t="s">
        <v>4388</v>
      </c>
      <c r="BF1638" s="251" t="s">
        <v>4349</v>
      </c>
      <c r="BG1638" s="399" t="s">
        <v>449</v>
      </c>
      <c r="BH1638" s="252">
        <v>43</v>
      </c>
      <c r="BI1638" s="251" t="s">
        <v>4368</v>
      </c>
      <c r="BJ1638" s="251" t="s">
        <v>413</v>
      </c>
      <c r="BK1638" s="251" t="s">
        <v>4389</v>
      </c>
      <c r="BL1638" s="251" t="s">
        <v>452</v>
      </c>
    </row>
    <row r="1639" spans="2:64" ht="15">
      <c r="B1639" s="84"/>
      <c r="D1639" s="84"/>
      <c r="E1639" s="84"/>
      <c r="F1639" s="84"/>
      <c r="G1639" s="84"/>
      <c r="R1639" s="251"/>
      <c r="S1639" s="251"/>
      <c r="BD1639" s="399">
        <v>1636</v>
      </c>
      <c r="BE1639" s="399" t="s">
        <v>4390</v>
      </c>
      <c r="BF1639" s="251" t="s">
        <v>4349</v>
      </c>
      <c r="BG1639" s="399" t="s">
        <v>590</v>
      </c>
      <c r="BH1639" s="252">
        <v>44</v>
      </c>
      <c r="BI1639" s="251" t="s">
        <v>331</v>
      </c>
      <c r="BJ1639" s="251" t="s">
        <v>413</v>
      </c>
      <c r="BK1639" s="251" t="s">
        <v>4391</v>
      </c>
      <c r="BL1639" s="251" t="s">
        <v>592</v>
      </c>
    </row>
    <row r="1640" spans="2:64" ht="15">
      <c r="B1640" s="84"/>
      <c r="D1640" s="84"/>
      <c r="E1640" s="84"/>
      <c r="F1640" s="84"/>
      <c r="G1640" s="84"/>
      <c r="R1640" s="251"/>
      <c r="S1640" s="251"/>
      <c r="BD1640" s="399">
        <v>1637</v>
      </c>
      <c r="BE1640" s="399" t="s">
        <v>1347</v>
      </c>
      <c r="BF1640" s="251" t="s">
        <v>4349</v>
      </c>
      <c r="BG1640" s="399" t="s">
        <v>590</v>
      </c>
      <c r="BH1640" s="252">
        <v>44</v>
      </c>
      <c r="BI1640" s="251" t="s">
        <v>579</v>
      </c>
      <c r="BJ1640" s="251" t="s">
        <v>413</v>
      </c>
      <c r="BK1640" s="251" t="s">
        <v>1349</v>
      </c>
      <c r="BL1640" s="251" t="s">
        <v>592</v>
      </c>
    </row>
    <row r="1641" spans="2:64" ht="15">
      <c r="B1641" s="84"/>
      <c r="D1641" s="84"/>
      <c r="E1641" s="84"/>
      <c r="F1641" s="84"/>
      <c r="G1641" s="84"/>
      <c r="R1641" s="251"/>
      <c r="S1641" s="251"/>
      <c r="BD1641" s="399">
        <v>1638</v>
      </c>
      <c r="BE1641" s="399" t="s">
        <v>3186</v>
      </c>
      <c r="BF1641" s="251" t="s">
        <v>4349</v>
      </c>
      <c r="BG1641" s="399" t="s">
        <v>590</v>
      </c>
      <c r="BH1641" s="252">
        <v>44</v>
      </c>
      <c r="BI1641" s="251" t="s">
        <v>357</v>
      </c>
      <c r="BJ1641" s="251" t="s">
        <v>413</v>
      </c>
      <c r="BK1641" s="251" t="s">
        <v>3187</v>
      </c>
      <c r="BL1641" s="251" t="s">
        <v>592</v>
      </c>
    </row>
    <row r="1642" spans="2:64" ht="15">
      <c r="B1642" s="84"/>
      <c r="D1642" s="84"/>
      <c r="E1642" s="84"/>
      <c r="F1642" s="84"/>
      <c r="G1642" s="84"/>
      <c r="R1642" s="251"/>
      <c r="S1642" s="251"/>
      <c r="BD1642" s="399">
        <v>1639</v>
      </c>
      <c r="BE1642" s="399" t="s">
        <v>1437</v>
      </c>
      <c r="BF1642" s="251" t="s">
        <v>4349</v>
      </c>
      <c r="BG1642" s="399" t="s">
        <v>590</v>
      </c>
      <c r="BH1642" s="252">
        <v>44</v>
      </c>
      <c r="BI1642" s="251" t="s">
        <v>583</v>
      </c>
      <c r="BJ1642" s="251" t="s">
        <v>413</v>
      </c>
      <c r="BK1642" s="251" t="s">
        <v>1439</v>
      </c>
      <c r="BL1642" s="251" t="s">
        <v>592</v>
      </c>
    </row>
    <row r="1643" spans="2:64" ht="15">
      <c r="B1643" s="84"/>
      <c r="D1643" s="84"/>
      <c r="E1643" s="84"/>
      <c r="F1643" s="84"/>
      <c r="G1643" s="84"/>
      <c r="R1643" s="251"/>
      <c r="S1643" s="251"/>
      <c r="BD1643" s="399">
        <v>1640</v>
      </c>
      <c r="BE1643" s="399" t="s">
        <v>3509</v>
      </c>
      <c r="BF1643" s="251" t="s">
        <v>4349</v>
      </c>
      <c r="BG1643" s="399" t="s">
        <v>590</v>
      </c>
      <c r="BH1643" s="252" t="s">
        <v>2031</v>
      </c>
      <c r="BI1643" s="251" t="s">
        <v>3437</v>
      </c>
      <c r="BJ1643" s="251" t="s">
        <v>413</v>
      </c>
      <c r="BK1643" s="251" t="s">
        <v>4392</v>
      </c>
      <c r="BL1643" s="251" t="s">
        <v>592</v>
      </c>
    </row>
    <row r="1644" spans="2:64" ht="15">
      <c r="B1644" s="84"/>
      <c r="D1644" s="84"/>
      <c r="E1644" s="84"/>
      <c r="F1644" s="84"/>
      <c r="G1644" s="84"/>
      <c r="R1644" s="251"/>
      <c r="S1644" s="251"/>
      <c r="BD1644" s="399">
        <v>1641</v>
      </c>
      <c r="BE1644" s="399" t="s">
        <v>4393</v>
      </c>
      <c r="BF1644" s="251" t="s">
        <v>4349</v>
      </c>
      <c r="BG1644" s="399" t="s">
        <v>590</v>
      </c>
      <c r="BH1644" s="252">
        <v>44</v>
      </c>
      <c r="BI1644" s="251" t="s">
        <v>535</v>
      </c>
      <c r="BJ1644" s="251" t="s">
        <v>413</v>
      </c>
      <c r="BK1644" s="251" t="s">
        <v>4394</v>
      </c>
      <c r="BL1644" s="251" t="s">
        <v>592</v>
      </c>
    </row>
    <row r="1645" spans="2:64" ht="15">
      <c r="B1645" s="84"/>
      <c r="D1645" s="84"/>
      <c r="E1645" s="84"/>
      <c r="F1645" s="84"/>
      <c r="G1645" s="84"/>
      <c r="R1645" s="251"/>
      <c r="S1645" s="251"/>
      <c r="BD1645" s="399">
        <v>1642</v>
      </c>
      <c r="BE1645" s="399" t="s">
        <v>4395</v>
      </c>
      <c r="BF1645" s="251" t="s">
        <v>4349</v>
      </c>
      <c r="BG1645" s="399" t="s">
        <v>590</v>
      </c>
      <c r="BH1645" s="252">
        <v>44</v>
      </c>
      <c r="BI1645" s="251" t="s">
        <v>4396</v>
      </c>
      <c r="BJ1645" s="251" t="s">
        <v>413</v>
      </c>
      <c r="BK1645" s="251" t="s">
        <v>4397</v>
      </c>
      <c r="BL1645" s="251" t="s">
        <v>592</v>
      </c>
    </row>
    <row r="1646" spans="2:64" ht="15">
      <c r="B1646" s="84"/>
      <c r="D1646" s="84"/>
      <c r="E1646" s="84"/>
      <c r="F1646" s="84"/>
      <c r="G1646" s="84"/>
      <c r="R1646" s="251"/>
      <c r="S1646" s="251"/>
      <c r="BD1646" s="399">
        <v>1643</v>
      </c>
      <c r="BE1646" s="399" t="s">
        <v>3511</v>
      </c>
      <c r="BF1646" s="251" t="s">
        <v>4349</v>
      </c>
      <c r="BG1646" s="399" t="s">
        <v>739</v>
      </c>
      <c r="BH1646" s="252">
        <v>45</v>
      </c>
      <c r="BI1646" s="251" t="s">
        <v>579</v>
      </c>
      <c r="BJ1646" s="251" t="s">
        <v>413</v>
      </c>
      <c r="BK1646" s="251" t="s">
        <v>3512</v>
      </c>
      <c r="BL1646" s="251" t="s">
        <v>742</v>
      </c>
    </row>
    <row r="1647" spans="2:64" ht="15">
      <c r="B1647" s="84"/>
      <c r="D1647" s="84"/>
      <c r="E1647" s="84"/>
      <c r="F1647" s="84"/>
      <c r="G1647" s="84"/>
      <c r="R1647" s="251"/>
      <c r="S1647" s="251"/>
      <c r="BD1647" s="399">
        <v>1644</v>
      </c>
      <c r="BE1647" s="399" t="s">
        <v>3513</v>
      </c>
      <c r="BF1647" s="251" t="s">
        <v>4349</v>
      </c>
      <c r="BG1647" s="399" t="s">
        <v>739</v>
      </c>
      <c r="BH1647" s="252">
        <v>45</v>
      </c>
      <c r="BI1647" s="251" t="s">
        <v>357</v>
      </c>
      <c r="BJ1647" s="251" t="s">
        <v>413</v>
      </c>
      <c r="BK1647" s="251" t="s">
        <v>3514</v>
      </c>
      <c r="BL1647" s="251" t="s">
        <v>742</v>
      </c>
    </row>
    <row r="1648" spans="2:64" ht="15">
      <c r="B1648" s="84"/>
      <c r="D1648" s="84"/>
      <c r="E1648" s="84"/>
      <c r="F1648" s="84"/>
      <c r="G1648" s="84"/>
      <c r="R1648" s="251"/>
      <c r="S1648" s="251"/>
      <c r="BD1648" s="399">
        <v>1645</v>
      </c>
      <c r="BE1648" s="399" t="s">
        <v>4398</v>
      </c>
      <c r="BF1648" s="251" t="s">
        <v>4349</v>
      </c>
      <c r="BG1648" s="399" t="s">
        <v>739</v>
      </c>
      <c r="BH1648" s="252">
        <v>45</v>
      </c>
      <c r="BI1648" s="251" t="s">
        <v>4368</v>
      </c>
      <c r="BJ1648" s="251" t="s">
        <v>413</v>
      </c>
      <c r="BK1648" s="251" t="s">
        <v>4399</v>
      </c>
      <c r="BL1648" s="251" t="s">
        <v>742</v>
      </c>
    </row>
    <row r="1649" spans="2:64" ht="15">
      <c r="B1649" s="84"/>
      <c r="D1649" s="84"/>
      <c r="E1649" s="84"/>
      <c r="F1649" s="84"/>
      <c r="G1649" s="84"/>
      <c r="R1649" s="251"/>
      <c r="S1649" s="251"/>
      <c r="BD1649" s="399">
        <v>1646</v>
      </c>
      <c r="BE1649" s="399" t="s">
        <v>4400</v>
      </c>
      <c r="BF1649" s="251" t="s">
        <v>4349</v>
      </c>
      <c r="BG1649" s="399" t="s">
        <v>602</v>
      </c>
      <c r="BH1649" s="252">
        <v>47</v>
      </c>
      <c r="BI1649" s="251" t="s">
        <v>615</v>
      </c>
      <c r="BJ1649" s="251" t="s">
        <v>413</v>
      </c>
      <c r="BK1649" s="251" t="s">
        <v>4401</v>
      </c>
      <c r="BL1649" s="251" t="s">
        <v>604</v>
      </c>
    </row>
    <row r="1650" spans="2:64" ht="15">
      <c r="B1650" s="84"/>
      <c r="D1650" s="84"/>
      <c r="E1650" s="84"/>
      <c r="F1650" s="84"/>
      <c r="G1650" s="84"/>
      <c r="R1650" s="251"/>
      <c r="S1650" s="251"/>
      <c r="BD1650" s="399">
        <v>1647</v>
      </c>
      <c r="BE1650" s="399" t="s">
        <v>4402</v>
      </c>
      <c r="BF1650" s="251" t="s">
        <v>4349</v>
      </c>
      <c r="BG1650" s="399" t="s">
        <v>602</v>
      </c>
      <c r="BH1650" s="252">
        <v>47</v>
      </c>
      <c r="BI1650" s="251" t="s">
        <v>873</v>
      </c>
      <c r="BJ1650" s="251" t="s">
        <v>413</v>
      </c>
      <c r="BK1650" s="251" t="s">
        <v>4403</v>
      </c>
      <c r="BL1650" s="251" t="s">
        <v>604</v>
      </c>
    </row>
    <row r="1651" spans="2:64" ht="15">
      <c r="B1651" s="84"/>
      <c r="D1651" s="84"/>
      <c r="E1651" s="84"/>
      <c r="F1651" s="84"/>
      <c r="G1651" s="84"/>
      <c r="R1651" s="251"/>
      <c r="S1651" s="251"/>
      <c r="BD1651" s="399">
        <v>1648</v>
      </c>
      <c r="BE1651" s="399" t="s">
        <v>3525</v>
      </c>
      <c r="BF1651" s="251" t="s">
        <v>4349</v>
      </c>
      <c r="BG1651" s="399" t="s">
        <v>0</v>
      </c>
      <c r="BH1651" s="252">
        <v>48</v>
      </c>
      <c r="BI1651" s="251" t="s">
        <v>579</v>
      </c>
      <c r="BJ1651" s="251" t="s">
        <v>413</v>
      </c>
      <c r="BK1651" s="251" t="s">
        <v>3526</v>
      </c>
      <c r="BL1651" s="251" t="s">
        <v>818</v>
      </c>
    </row>
    <row r="1652" spans="2:64" ht="15">
      <c r="B1652" s="84"/>
      <c r="D1652" s="84"/>
      <c r="E1652" s="84"/>
      <c r="F1652" s="84"/>
      <c r="G1652" s="84"/>
      <c r="R1652" s="251"/>
      <c r="S1652" s="251"/>
      <c r="BD1652" s="399">
        <v>1649</v>
      </c>
      <c r="BE1652" s="399" t="s">
        <v>3527</v>
      </c>
      <c r="BF1652" s="251" t="s">
        <v>4349</v>
      </c>
      <c r="BG1652" s="399" t="s">
        <v>0</v>
      </c>
      <c r="BH1652" s="252">
        <v>48</v>
      </c>
      <c r="BI1652" s="251" t="s">
        <v>357</v>
      </c>
      <c r="BJ1652" s="251" t="s">
        <v>413</v>
      </c>
      <c r="BK1652" s="251" t="s">
        <v>3528</v>
      </c>
      <c r="BL1652" s="251" t="s">
        <v>818</v>
      </c>
    </row>
    <row r="1653" spans="2:64" ht="15">
      <c r="B1653" s="84"/>
      <c r="D1653" s="84"/>
      <c r="E1653" s="84"/>
      <c r="F1653" s="84"/>
      <c r="G1653" s="84"/>
      <c r="R1653" s="251"/>
      <c r="S1653" s="251"/>
      <c r="BD1653" s="399">
        <v>1650</v>
      </c>
      <c r="BE1653" s="399" t="s">
        <v>3531</v>
      </c>
      <c r="BF1653" s="251" t="s">
        <v>4349</v>
      </c>
      <c r="BG1653" s="399" t="s">
        <v>0</v>
      </c>
      <c r="BH1653" s="252">
        <v>48</v>
      </c>
      <c r="BI1653" s="251" t="s">
        <v>3437</v>
      </c>
      <c r="BJ1653" s="251" t="s">
        <v>413</v>
      </c>
      <c r="BK1653" s="251" t="s">
        <v>3532</v>
      </c>
      <c r="BL1653" s="251" t="s">
        <v>818</v>
      </c>
    </row>
    <row r="1654" spans="2:64" ht="15">
      <c r="B1654" s="84"/>
      <c r="D1654" s="84"/>
      <c r="E1654" s="84"/>
      <c r="F1654" s="84"/>
      <c r="G1654" s="84"/>
      <c r="R1654" s="251"/>
      <c r="S1654" s="251"/>
      <c r="BD1654" s="399">
        <v>1651</v>
      </c>
      <c r="BE1654" s="399" t="s">
        <v>3267</v>
      </c>
      <c r="BF1654" s="251" t="s">
        <v>4349</v>
      </c>
      <c r="BG1654" s="399" t="s">
        <v>0</v>
      </c>
      <c r="BH1654" s="252">
        <v>48</v>
      </c>
      <c r="BI1654" s="251" t="s">
        <v>535</v>
      </c>
      <c r="BJ1654" s="251" t="s">
        <v>413</v>
      </c>
      <c r="BK1654" s="251" t="s">
        <v>3268</v>
      </c>
      <c r="BL1654" s="251" t="s">
        <v>818</v>
      </c>
    </row>
    <row r="1655" spans="2:64" ht="15">
      <c r="B1655" s="84"/>
      <c r="D1655" s="84"/>
      <c r="E1655" s="84"/>
      <c r="F1655" s="84"/>
      <c r="G1655" s="84"/>
      <c r="R1655" s="251"/>
      <c r="S1655" s="251"/>
      <c r="BD1655" s="399">
        <v>1652</v>
      </c>
      <c r="BE1655" s="399" t="s">
        <v>4404</v>
      </c>
      <c r="BF1655" s="251" t="s">
        <v>4349</v>
      </c>
      <c r="BG1655" s="399" t="s">
        <v>0</v>
      </c>
      <c r="BH1655" s="252">
        <v>48</v>
      </c>
      <c r="BI1655" s="251" t="s">
        <v>4396</v>
      </c>
      <c r="BJ1655" s="251" t="s">
        <v>413</v>
      </c>
      <c r="BK1655" s="251" t="s">
        <v>4405</v>
      </c>
      <c r="BL1655" s="251" t="s">
        <v>818</v>
      </c>
    </row>
    <row r="1656" spans="2:64" ht="15">
      <c r="B1656" s="84"/>
      <c r="D1656" s="84"/>
      <c r="E1656" s="84"/>
      <c r="F1656" s="84"/>
      <c r="G1656" s="84"/>
      <c r="R1656" s="251"/>
      <c r="S1656" s="251"/>
      <c r="BD1656" s="399">
        <v>1653</v>
      </c>
      <c r="BE1656" s="399" t="s">
        <v>4406</v>
      </c>
      <c r="BF1656" s="251" t="s">
        <v>4349</v>
      </c>
      <c r="BG1656" s="399" t="s">
        <v>1688</v>
      </c>
      <c r="BH1656" s="252">
        <v>50</v>
      </c>
      <c r="BI1656" s="251" t="s">
        <v>331</v>
      </c>
      <c r="BJ1656" s="251" t="s">
        <v>413</v>
      </c>
      <c r="BK1656" s="251" t="s">
        <v>4407</v>
      </c>
      <c r="BL1656" s="251" t="s">
        <v>1690</v>
      </c>
    </row>
    <row r="1657" spans="2:64" ht="15">
      <c r="B1657" s="84"/>
      <c r="D1657" s="84"/>
      <c r="E1657" s="84"/>
      <c r="F1657" s="84"/>
      <c r="G1657" s="84"/>
      <c r="R1657" s="251"/>
      <c r="S1657" s="251"/>
      <c r="BD1657" s="399">
        <v>1654</v>
      </c>
      <c r="BE1657" s="399" t="s">
        <v>4408</v>
      </c>
      <c r="BF1657" s="251" t="s">
        <v>4349</v>
      </c>
      <c r="BG1657" s="399" t="s">
        <v>1688</v>
      </c>
      <c r="BH1657" s="252">
        <v>50</v>
      </c>
      <c r="BI1657" s="251" t="s">
        <v>332</v>
      </c>
      <c r="BJ1657" s="251" t="s">
        <v>413</v>
      </c>
      <c r="BK1657" s="251" t="s">
        <v>4409</v>
      </c>
      <c r="BL1657" s="251" t="s">
        <v>1690</v>
      </c>
    </row>
    <row r="1658" spans="2:64" ht="15">
      <c r="B1658" s="84"/>
      <c r="D1658" s="84"/>
      <c r="E1658" s="84"/>
      <c r="F1658" s="84"/>
      <c r="G1658" s="84"/>
      <c r="R1658" s="251"/>
      <c r="S1658" s="251"/>
      <c r="BD1658" s="399">
        <v>1655</v>
      </c>
      <c r="BE1658" s="399" t="s">
        <v>4410</v>
      </c>
      <c r="BF1658" s="251" t="s">
        <v>4349</v>
      </c>
      <c r="BG1658" s="399" t="s">
        <v>1688</v>
      </c>
      <c r="BH1658" s="252">
        <v>50</v>
      </c>
      <c r="BI1658" s="251" t="s">
        <v>334</v>
      </c>
      <c r="BJ1658" s="251" t="s">
        <v>413</v>
      </c>
      <c r="BK1658" s="251" t="s">
        <v>4411</v>
      </c>
      <c r="BL1658" s="251" t="s">
        <v>1690</v>
      </c>
    </row>
    <row r="1659" spans="2:64" ht="15">
      <c r="B1659" s="84"/>
      <c r="D1659" s="84"/>
      <c r="E1659" s="84"/>
      <c r="F1659" s="84"/>
      <c r="G1659" s="84"/>
      <c r="R1659" s="251"/>
      <c r="S1659" s="251"/>
      <c r="BD1659" s="399">
        <v>1656</v>
      </c>
      <c r="BE1659" s="399" t="s">
        <v>3535</v>
      </c>
      <c r="BF1659" s="251" t="s">
        <v>4349</v>
      </c>
      <c r="BG1659" s="399" t="s">
        <v>1688</v>
      </c>
      <c r="BH1659" s="252">
        <v>50</v>
      </c>
      <c r="BI1659" s="251" t="s">
        <v>579</v>
      </c>
      <c r="BJ1659" s="251" t="s">
        <v>413</v>
      </c>
      <c r="BK1659" s="251" t="s">
        <v>3536</v>
      </c>
      <c r="BL1659" s="251" t="s">
        <v>1690</v>
      </c>
    </row>
    <row r="1660" spans="2:64" ht="15">
      <c r="B1660" s="84"/>
      <c r="D1660" s="84"/>
      <c r="E1660" s="84"/>
      <c r="F1660" s="84"/>
      <c r="G1660" s="84"/>
      <c r="R1660" s="251"/>
      <c r="S1660" s="251"/>
      <c r="BD1660" s="399">
        <v>1657</v>
      </c>
      <c r="BE1660" s="399" t="s">
        <v>3537</v>
      </c>
      <c r="BF1660" s="251" t="s">
        <v>4349</v>
      </c>
      <c r="BG1660" s="399" t="s">
        <v>1688</v>
      </c>
      <c r="BH1660" s="252">
        <v>50</v>
      </c>
      <c r="BI1660" s="251" t="s">
        <v>357</v>
      </c>
      <c r="BJ1660" s="251" t="s">
        <v>413</v>
      </c>
      <c r="BK1660" s="251" t="s">
        <v>3538</v>
      </c>
      <c r="BL1660" s="251" t="s">
        <v>1690</v>
      </c>
    </row>
    <row r="1661" spans="2:64" ht="15">
      <c r="B1661" s="84"/>
      <c r="D1661" s="84"/>
      <c r="E1661" s="84"/>
      <c r="F1661" s="84"/>
      <c r="G1661" s="84"/>
      <c r="R1661" s="251"/>
      <c r="S1661" s="251"/>
      <c r="BD1661" s="399">
        <v>1658</v>
      </c>
      <c r="BE1661" s="399" t="s">
        <v>3541</v>
      </c>
      <c r="BF1661" s="251" t="s">
        <v>4349</v>
      </c>
      <c r="BG1661" s="399" t="s">
        <v>1688</v>
      </c>
      <c r="BH1661" s="252">
        <v>50</v>
      </c>
      <c r="BI1661" s="251" t="s">
        <v>583</v>
      </c>
      <c r="BJ1661" s="251" t="s">
        <v>413</v>
      </c>
      <c r="BK1661" s="251" t="s">
        <v>3542</v>
      </c>
      <c r="BL1661" s="251" t="s">
        <v>1690</v>
      </c>
    </row>
    <row r="1662" spans="2:64" ht="15">
      <c r="B1662" s="84"/>
      <c r="D1662" s="84"/>
      <c r="E1662" s="84"/>
      <c r="F1662" s="84"/>
      <c r="G1662" s="84"/>
      <c r="R1662" s="251"/>
      <c r="S1662" s="251"/>
      <c r="BD1662" s="399">
        <v>1659</v>
      </c>
      <c r="BE1662" s="399" t="s">
        <v>3543</v>
      </c>
      <c r="BF1662" s="251" t="s">
        <v>4349</v>
      </c>
      <c r="BG1662" s="399" t="s">
        <v>1688</v>
      </c>
      <c r="BH1662" s="252">
        <v>50</v>
      </c>
      <c r="BI1662" s="251" t="s">
        <v>3437</v>
      </c>
      <c r="BJ1662" s="251" t="s">
        <v>413</v>
      </c>
      <c r="BK1662" s="251" t="s">
        <v>3544</v>
      </c>
      <c r="BL1662" s="251" t="s">
        <v>1690</v>
      </c>
    </row>
    <row r="1663" spans="2:64" ht="15">
      <c r="B1663" s="84"/>
      <c r="D1663" s="84"/>
      <c r="E1663" s="84"/>
      <c r="F1663" s="84"/>
      <c r="G1663" s="84"/>
      <c r="R1663" s="251"/>
      <c r="S1663" s="251"/>
      <c r="BD1663" s="399">
        <v>1660</v>
      </c>
      <c r="BE1663" s="399" t="s">
        <v>4412</v>
      </c>
      <c r="BF1663" s="251" t="s">
        <v>4349</v>
      </c>
      <c r="BG1663" s="399">
        <v>51</v>
      </c>
      <c r="BH1663" s="252">
        <v>51</v>
      </c>
      <c r="BI1663" s="251" t="s">
        <v>331</v>
      </c>
      <c r="BJ1663" s="251" t="s">
        <v>413</v>
      </c>
      <c r="BK1663" s="251" t="s">
        <v>4413</v>
      </c>
      <c r="BL1663" s="251" t="s">
        <v>730</v>
      </c>
    </row>
    <row r="1664" spans="2:64" ht="15">
      <c r="B1664" s="84"/>
      <c r="D1664" s="84"/>
      <c r="E1664" s="84"/>
      <c r="F1664" s="84"/>
      <c r="G1664" s="84"/>
      <c r="R1664" s="251"/>
      <c r="S1664" s="251"/>
      <c r="BD1664" s="399">
        <v>1661</v>
      </c>
      <c r="BE1664" s="399" t="s">
        <v>4414</v>
      </c>
      <c r="BF1664" s="251" t="s">
        <v>4349</v>
      </c>
      <c r="BG1664" s="399">
        <v>51</v>
      </c>
      <c r="BH1664" s="252">
        <v>51</v>
      </c>
      <c r="BI1664" s="251" t="s">
        <v>332</v>
      </c>
      <c r="BJ1664" s="251" t="s">
        <v>413</v>
      </c>
      <c r="BK1664" s="251" t="s">
        <v>4415</v>
      </c>
      <c r="BL1664" s="251" t="s">
        <v>730</v>
      </c>
    </row>
    <row r="1665" spans="2:64" ht="15">
      <c r="B1665" s="84"/>
      <c r="D1665" s="84"/>
      <c r="E1665" s="84"/>
      <c r="F1665" s="84"/>
      <c r="G1665" s="84"/>
      <c r="R1665" s="251"/>
      <c r="S1665" s="251"/>
      <c r="BD1665" s="399">
        <v>1662</v>
      </c>
      <c r="BE1665" s="399" t="s">
        <v>3551</v>
      </c>
      <c r="BF1665" s="251" t="s">
        <v>4349</v>
      </c>
      <c r="BG1665" s="399">
        <v>51</v>
      </c>
      <c r="BH1665" s="252">
        <v>51</v>
      </c>
      <c r="BI1665" s="251" t="s">
        <v>357</v>
      </c>
      <c r="BJ1665" s="251" t="s">
        <v>413</v>
      </c>
      <c r="BK1665" s="251" t="s">
        <v>3552</v>
      </c>
      <c r="BL1665" s="251" t="s">
        <v>730</v>
      </c>
    </row>
    <row r="1666" spans="2:64" ht="15">
      <c r="B1666" s="84"/>
      <c r="D1666" s="84"/>
      <c r="E1666" s="84"/>
      <c r="F1666" s="84"/>
      <c r="G1666" s="84"/>
      <c r="R1666" s="251"/>
      <c r="S1666" s="251"/>
      <c r="BD1666" s="399">
        <v>1663</v>
      </c>
      <c r="BE1666" s="399" t="s">
        <v>3557</v>
      </c>
      <c r="BF1666" s="251" t="s">
        <v>4349</v>
      </c>
      <c r="BG1666" s="399">
        <v>53</v>
      </c>
      <c r="BH1666" s="252" t="s">
        <v>3325</v>
      </c>
      <c r="BI1666" s="251" t="s">
        <v>579</v>
      </c>
      <c r="BJ1666" s="251" t="s">
        <v>413</v>
      </c>
      <c r="BK1666" s="251" t="s">
        <v>4416</v>
      </c>
      <c r="BL1666" s="251" t="s">
        <v>3323</v>
      </c>
    </row>
    <row r="1667" spans="2:64" ht="15">
      <c r="B1667" s="84"/>
      <c r="D1667" s="84"/>
      <c r="E1667" s="84"/>
      <c r="F1667" s="84"/>
      <c r="G1667" s="84"/>
      <c r="R1667" s="251"/>
      <c r="S1667" s="251"/>
      <c r="BD1667" s="399">
        <v>1664</v>
      </c>
      <c r="BE1667" s="399" t="s">
        <v>3559</v>
      </c>
      <c r="BF1667" s="251" t="s">
        <v>4349</v>
      </c>
      <c r="BG1667" s="399">
        <v>53</v>
      </c>
      <c r="BH1667" s="252">
        <v>53</v>
      </c>
      <c r="BI1667" s="251" t="s">
        <v>357</v>
      </c>
      <c r="BJ1667" s="251" t="s">
        <v>413</v>
      </c>
      <c r="BK1667" s="251" t="s">
        <v>3560</v>
      </c>
      <c r="BL1667" s="251" t="s">
        <v>3323</v>
      </c>
    </row>
    <row r="1668" spans="2:64" ht="15">
      <c r="B1668" s="84"/>
      <c r="D1668" s="84"/>
      <c r="E1668" s="84"/>
      <c r="F1668" s="84"/>
      <c r="G1668" s="84"/>
      <c r="R1668" s="251"/>
      <c r="S1668" s="251"/>
      <c r="BD1668" s="399">
        <v>1665</v>
      </c>
      <c r="BE1668" s="399" t="s">
        <v>4417</v>
      </c>
      <c r="BF1668" s="251" t="s">
        <v>4349</v>
      </c>
      <c r="BG1668" s="399">
        <v>53</v>
      </c>
      <c r="BH1668" s="252" t="s">
        <v>3325</v>
      </c>
      <c r="BI1668" s="251" t="s">
        <v>4368</v>
      </c>
      <c r="BJ1668" s="251" t="s">
        <v>413</v>
      </c>
      <c r="BK1668" s="251" t="s">
        <v>4418</v>
      </c>
      <c r="BL1668" s="251" t="s">
        <v>3323</v>
      </c>
    </row>
    <row r="1669" spans="2:64" ht="15">
      <c r="B1669" s="84"/>
      <c r="D1669" s="84"/>
      <c r="E1669" s="84"/>
      <c r="F1669" s="84"/>
      <c r="G1669" s="84"/>
      <c r="R1669" s="251"/>
      <c r="S1669" s="251"/>
      <c r="BD1669" s="399">
        <v>1666</v>
      </c>
      <c r="BE1669" s="399" t="s">
        <v>4419</v>
      </c>
      <c r="BF1669" s="251" t="s">
        <v>4349</v>
      </c>
      <c r="BG1669" s="399">
        <v>57</v>
      </c>
      <c r="BH1669" s="252">
        <v>57</v>
      </c>
      <c r="BI1669" s="251" t="s">
        <v>357</v>
      </c>
      <c r="BJ1669" s="251" t="s">
        <v>413</v>
      </c>
      <c r="BK1669" s="251" t="s">
        <v>4420</v>
      </c>
      <c r="BL1669" s="251" t="s">
        <v>725</v>
      </c>
    </row>
    <row r="1670" spans="2:64" ht="15">
      <c r="B1670" s="84"/>
      <c r="D1670" s="84"/>
      <c r="E1670" s="84"/>
      <c r="F1670" s="84"/>
      <c r="G1670" s="84"/>
      <c r="R1670" s="251"/>
      <c r="S1670" s="251"/>
      <c r="BD1670" s="399">
        <v>1667</v>
      </c>
      <c r="BE1670" s="399" t="s">
        <v>4421</v>
      </c>
      <c r="BF1670" s="251" t="s">
        <v>4422</v>
      </c>
      <c r="BG1670" s="399" t="s">
        <v>395</v>
      </c>
      <c r="BH1670" s="252">
        <v>16</v>
      </c>
      <c r="BI1670" s="251" t="s">
        <v>477</v>
      </c>
      <c r="BJ1670" s="251" t="s">
        <v>351</v>
      </c>
      <c r="BK1670" s="251" t="s">
        <v>4423</v>
      </c>
      <c r="BL1670" s="251" t="s">
        <v>399</v>
      </c>
    </row>
    <row r="1671" spans="2:64" ht="15">
      <c r="B1671" s="84"/>
      <c r="D1671" s="84"/>
      <c r="E1671" s="84"/>
      <c r="F1671" s="84"/>
      <c r="G1671" s="84"/>
      <c r="R1671" s="251"/>
      <c r="S1671" s="251"/>
      <c r="BD1671" s="399">
        <v>1668</v>
      </c>
      <c r="BE1671" s="399" t="s">
        <v>3545</v>
      </c>
      <c r="BF1671" s="251" t="s">
        <v>4424</v>
      </c>
      <c r="BG1671" s="399" t="s">
        <v>1688</v>
      </c>
      <c r="BH1671" s="252">
        <v>50</v>
      </c>
      <c r="BI1671" s="251" t="s">
        <v>535</v>
      </c>
      <c r="BJ1671" s="251" t="s">
        <v>413</v>
      </c>
      <c r="BK1671" s="251" t="s">
        <v>3546</v>
      </c>
      <c r="BL1671" s="251" t="s">
        <v>1690</v>
      </c>
    </row>
    <row r="1672" spans="2:64" ht="15">
      <c r="B1672" s="84"/>
      <c r="D1672" s="84"/>
      <c r="E1672" s="84"/>
      <c r="F1672" s="84"/>
      <c r="G1672" s="84"/>
      <c r="R1672" s="251"/>
      <c r="S1672" s="251"/>
      <c r="BD1672" s="399">
        <v>1669</v>
      </c>
      <c r="BE1672" s="399" t="s">
        <v>4425</v>
      </c>
      <c r="BF1672" s="251" t="s">
        <v>4426</v>
      </c>
      <c r="BG1672" s="399" t="s">
        <v>475</v>
      </c>
      <c r="BH1672" s="252" t="s">
        <v>510</v>
      </c>
      <c r="BI1672" s="251" t="s">
        <v>728</v>
      </c>
      <c r="BJ1672" s="251" t="s">
        <v>397</v>
      </c>
      <c r="BK1672" s="251" t="s">
        <v>4427</v>
      </c>
      <c r="BL1672" s="251" t="s">
        <v>479</v>
      </c>
    </row>
    <row r="1673" spans="2:64" ht="15">
      <c r="B1673" s="84"/>
      <c r="D1673" s="84"/>
      <c r="E1673" s="84"/>
      <c r="F1673" s="84"/>
      <c r="G1673" s="84"/>
      <c r="R1673" s="251"/>
      <c r="S1673" s="251"/>
      <c r="BD1673" s="399">
        <v>1670</v>
      </c>
      <c r="BE1673" s="399" t="s">
        <v>4428</v>
      </c>
      <c r="BF1673" s="251" t="s">
        <v>4429</v>
      </c>
      <c r="BG1673" s="399" t="s">
        <v>566</v>
      </c>
      <c r="BH1673" s="252" t="s">
        <v>1004</v>
      </c>
      <c r="BI1673" s="251" t="s">
        <v>334</v>
      </c>
      <c r="BJ1673" s="251" t="s">
        <v>350</v>
      </c>
      <c r="BK1673" s="251" t="s">
        <v>4430</v>
      </c>
      <c r="BL1673" s="251" t="s">
        <v>569</v>
      </c>
    </row>
    <row r="1674" spans="2:64" ht="15">
      <c r="B1674" s="84"/>
      <c r="D1674" s="84"/>
      <c r="E1674" s="84"/>
      <c r="F1674" s="84"/>
      <c r="G1674" s="84"/>
      <c r="R1674" s="251"/>
      <c r="S1674" s="251"/>
      <c r="BD1674" s="399">
        <v>1671</v>
      </c>
      <c r="BE1674" s="399" t="s">
        <v>4431</v>
      </c>
      <c r="BF1674" s="251" t="s">
        <v>4432</v>
      </c>
      <c r="BG1674" s="399" t="s">
        <v>378</v>
      </c>
      <c r="BH1674" s="252">
        <v>11</v>
      </c>
      <c r="BI1674" s="251" t="s">
        <v>563</v>
      </c>
      <c r="BJ1674" s="251" t="s">
        <v>539</v>
      </c>
      <c r="BK1674" s="251" t="s">
        <v>4433</v>
      </c>
      <c r="BL1674" s="251" t="s">
        <v>382</v>
      </c>
    </row>
    <row r="1675" spans="2:64" ht="15">
      <c r="B1675" s="84"/>
      <c r="D1675" s="84"/>
      <c r="E1675" s="84"/>
      <c r="F1675" s="84"/>
      <c r="G1675" s="84"/>
      <c r="R1675" s="251"/>
      <c r="S1675" s="251"/>
      <c r="BD1675" s="399">
        <v>1672</v>
      </c>
      <c r="BE1675" s="399" t="s">
        <v>4434</v>
      </c>
      <c r="BF1675" s="251" t="s">
        <v>4435</v>
      </c>
      <c r="BG1675" s="399" t="s">
        <v>566</v>
      </c>
      <c r="BH1675" s="252" t="s">
        <v>567</v>
      </c>
      <c r="BI1675" s="251" t="s">
        <v>477</v>
      </c>
      <c r="BJ1675" s="251" t="s">
        <v>380</v>
      </c>
      <c r="BK1675" s="251" t="s">
        <v>4436</v>
      </c>
      <c r="BL1675" s="251" t="s">
        <v>569</v>
      </c>
    </row>
    <row r="1676" spans="2:64" ht="15">
      <c r="B1676" s="84"/>
      <c r="D1676" s="84"/>
      <c r="E1676" s="84"/>
      <c r="F1676" s="84"/>
      <c r="G1676" s="84"/>
      <c r="R1676" s="251"/>
      <c r="S1676" s="251"/>
      <c r="BD1676" s="399">
        <v>1673</v>
      </c>
      <c r="BE1676" s="399" t="s">
        <v>4437</v>
      </c>
      <c r="BF1676" s="251" t="s">
        <v>4438</v>
      </c>
      <c r="BG1676" s="399" t="s">
        <v>777</v>
      </c>
      <c r="BH1676" s="252">
        <v>21</v>
      </c>
      <c r="BI1676" s="251" t="s">
        <v>491</v>
      </c>
      <c r="BJ1676" s="251" t="s">
        <v>366</v>
      </c>
      <c r="BK1676" s="251" t="s">
        <v>4439</v>
      </c>
      <c r="BL1676" s="251" t="s">
        <v>780</v>
      </c>
    </row>
    <row r="1677" spans="2:64" ht="15">
      <c r="B1677" s="84"/>
      <c r="D1677" s="84"/>
      <c r="E1677" s="84"/>
      <c r="F1677" s="84"/>
      <c r="G1677" s="84"/>
      <c r="R1677" s="251"/>
      <c r="S1677" s="251"/>
      <c r="BD1677" s="399">
        <v>1674</v>
      </c>
      <c r="BE1677" s="399" t="s">
        <v>4440</v>
      </c>
      <c r="BF1677" s="251" t="s">
        <v>4441</v>
      </c>
      <c r="BG1677" s="399" t="s">
        <v>349</v>
      </c>
      <c r="BH1677" s="252">
        <v>17</v>
      </c>
      <c r="BI1677" s="251" t="s">
        <v>331</v>
      </c>
      <c r="BJ1677" s="251" t="s">
        <v>380</v>
      </c>
      <c r="BK1677" s="251" t="s">
        <v>4442</v>
      </c>
      <c r="BL1677" s="251" t="s">
        <v>353</v>
      </c>
    </row>
    <row r="1678" spans="2:64" ht="15">
      <c r="B1678" s="84"/>
      <c r="D1678" s="84"/>
      <c r="E1678" s="84"/>
      <c r="F1678" s="84"/>
      <c r="G1678" s="84"/>
      <c r="R1678" s="251"/>
      <c r="S1678" s="251"/>
      <c r="BD1678" s="399">
        <v>1675</v>
      </c>
      <c r="BE1678" s="399" t="s">
        <v>2598</v>
      </c>
      <c r="BF1678" s="251" t="s">
        <v>4443</v>
      </c>
      <c r="BG1678" s="399" t="s">
        <v>566</v>
      </c>
      <c r="BH1678" s="252" t="s">
        <v>1004</v>
      </c>
      <c r="BI1678" s="251" t="s">
        <v>491</v>
      </c>
      <c r="BJ1678" s="251" t="s">
        <v>380</v>
      </c>
      <c r="BK1678" s="251" t="s">
        <v>4444</v>
      </c>
      <c r="BL1678" s="251" t="s">
        <v>569</v>
      </c>
    </row>
    <row r="1679" spans="2:64" ht="15">
      <c r="B1679" s="84"/>
      <c r="D1679" s="84"/>
      <c r="E1679" s="84"/>
      <c r="F1679" s="84"/>
      <c r="G1679" s="84"/>
      <c r="R1679" s="251"/>
      <c r="S1679" s="251"/>
      <c r="BD1679" s="399">
        <v>1676</v>
      </c>
      <c r="BE1679" s="399" t="s">
        <v>4445</v>
      </c>
      <c r="BF1679" s="251" t="s">
        <v>4446</v>
      </c>
      <c r="BG1679" s="399" t="s">
        <v>435</v>
      </c>
      <c r="BH1679" s="252" t="s">
        <v>651</v>
      </c>
      <c r="BI1679" s="251" t="s">
        <v>535</v>
      </c>
      <c r="BJ1679" s="251" t="s">
        <v>413</v>
      </c>
      <c r="BK1679" s="251" t="s">
        <v>4447</v>
      </c>
      <c r="BL1679" s="251" t="s">
        <v>439</v>
      </c>
    </row>
    <row r="1680" spans="2:64" ht="15">
      <c r="B1680" s="84"/>
      <c r="D1680" s="84"/>
      <c r="E1680" s="84"/>
      <c r="F1680" s="84"/>
      <c r="G1680" s="84"/>
      <c r="R1680" s="251"/>
      <c r="S1680" s="251"/>
      <c r="BD1680" s="399">
        <v>1677</v>
      </c>
      <c r="BE1680" s="399" t="s">
        <v>4448</v>
      </c>
      <c r="BF1680" s="251" t="s">
        <v>4449</v>
      </c>
      <c r="BG1680" s="399" t="s">
        <v>405</v>
      </c>
      <c r="BH1680" s="252" t="s">
        <v>830</v>
      </c>
      <c r="BI1680" s="251" t="s">
        <v>333</v>
      </c>
      <c r="BJ1680" s="251" t="s">
        <v>366</v>
      </c>
      <c r="BK1680" s="251" t="s">
        <v>4450</v>
      </c>
      <c r="BL1680" s="251" t="s">
        <v>409</v>
      </c>
    </row>
    <row r="1681" spans="2:64" ht="15">
      <c r="B1681" s="84"/>
      <c r="D1681" s="84"/>
      <c r="E1681" s="84"/>
      <c r="F1681" s="84"/>
      <c r="G1681" s="84"/>
      <c r="R1681" s="251"/>
      <c r="S1681" s="251"/>
      <c r="BD1681" s="399">
        <v>1678</v>
      </c>
      <c r="BE1681" s="399" t="s">
        <v>4451</v>
      </c>
      <c r="BF1681" s="251" t="s">
        <v>4452</v>
      </c>
      <c r="BG1681" s="399" t="s">
        <v>469</v>
      </c>
      <c r="BH1681" s="252" t="s">
        <v>662</v>
      </c>
      <c r="BI1681" s="251" t="s">
        <v>450</v>
      </c>
      <c r="BJ1681" s="251" t="s">
        <v>390</v>
      </c>
      <c r="BK1681" s="251" t="s">
        <v>4453</v>
      </c>
      <c r="BL1681" s="251" t="s">
        <v>472</v>
      </c>
    </row>
    <row r="1682" spans="2:64" ht="15">
      <c r="B1682" s="84"/>
      <c r="D1682" s="84"/>
      <c r="E1682" s="84"/>
      <c r="F1682" s="84"/>
      <c r="G1682" s="84"/>
      <c r="R1682" s="251"/>
      <c r="S1682" s="251"/>
      <c r="BD1682" s="399">
        <v>1679</v>
      </c>
      <c r="BE1682" s="399" t="s">
        <v>4454</v>
      </c>
      <c r="BF1682" s="251" t="s">
        <v>4455</v>
      </c>
      <c r="BG1682" s="399" t="s">
        <v>435</v>
      </c>
      <c r="BH1682" s="252" t="s">
        <v>436</v>
      </c>
      <c r="BI1682" s="251" t="s">
        <v>491</v>
      </c>
      <c r="BJ1682" s="251" t="s">
        <v>539</v>
      </c>
      <c r="BK1682" s="251" t="s">
        <v>4456</v>
      </c>
      <c r="BL1682" s="251" t="s">
        <v>439</v>
      </c>
    </row>
    <row r="1683" spans="2:64" ht="15">
      <c r="B1683" s="84"/>
      <c r="D1683" s="84"/>
      <c r="E1683" s="84"/>
      <c r="F1683" s="84"/>
      <c r="G1683" s="84"/>
      <c r="R1683" s="251"/>
      <c r="S1683" s="251"/>
      <c r="BD1683" s="399">
        <v>1680</v>
      </c>
      <c r="BE1683" s="399" t="s">
        <v>4457</v>
      </c>
      <c r="BF1683" s="251" t="s">
        <v>4458</v>
      </c>
      <c r="BG1683" s="399" t="s">
        <v>739</v>
      </c>
      <c r="BH1683" s="252">
        <v>45</v>
      </c>
      <c r="BI1683" s="251" t="s">
        <v>535</v>
      </c>
      <c r="BJ1683" s="251" t="s">
        <v>413</v>
      </c>
      <c r="BK1683" s="251" t="s">
        <v>4459</v>
      </c>
      <c r="BL1683" s="251" t="s">
        <v>742</v>
      </c>
    </row>
    <row r="1684" spans="2:64" ht="15">
      <c r="B1684" s="84"/>
      <c r="D1684" s="84"/>
      <c r="E1684" s="84"/>
      <c r="F1684" s="84"/>
      <c r="G1684" s="84"/>
      <c r="R1684" s="251"/>
      <c r="S1684" s="251"/>
      <c r="BD1684" s="399">
        <v>1681</v>
      </c>
      <c r="BE1684" s="399" t="s">
        <v>4460</v>
      </c>
      <c r="BF1684" s="251" t="s">
        <v>4461</v>
      </c>
      <c r="BG1684" s="399" t="s">
        <v>623</v>
      </c>
      <c r="BH1684" s="252" t="s">
        <v>624</v>
      </c>
      <c r="BI1684" s="251" t="s">
        <v>332</v>
      </c>
      <c r="BJ1684" s="251" t="s">
        <v>407</v>
      </c>
      <c r="BK1684" s="251" t="s">
        <v>4462</v>
      </c>
      <c r="BL1684" s="251" t="s">
        <v>626</v>
      </c>
    </row>
    <row r="1685" spans="2:64" ht="15">
      <c r="B1685" s="84"/>
      <c r="D1685" s="84"/>
      <c r="E1685" s="84"/>
      <c r="F1685" s="84"/>
      <c r="G1685" s="84"/>
      <c r="R1685" s="251"/>
      <c r="S1685" s="251"/>
      <c r="BD1685" s="399">
        <v>1682</v>
      </c>
      <c r="BE1685" s="399" t="s">
        <v>4463</v>
      </c>
      <c r="BF1685" s="251" t="s">
        <v>4464</v>
      </c>
      <c r="BG1685" s="399" t="s">
        <v>405</v>
      </c>
      <c r="BH1685" s="252" t="s">
        <v>830</v>
      </c>
      <c r="BI1685" s="251" t="s">
        <v>563</v>
      </c>
      <c r="BJ1685" s="251" t="s">
        <v>366</v>
      </c>
      <c r="BK1685" s="251" t="s">
        <v>4465</v>
      </c>
      <c r="BL1685" s="251" t="s">
        <v>409</v>
      </c>
    </row>
    <row r="1686" spans="2:64" ht="15">
      <c r="B1686" s="84"/>
      <c r="D1686" s="84"/>
      <c r="E1686" s="84"/>
      <c r="F1686" s="84"/>
      <c r="G1686" s="84"/>
      <c r="R1686" s="251"/>
      <c r="S1686" s="251"/>
      <c r="BD1686" s="399">
        <v>1683</v>
      </c>
      <c r="BE1686" s="399" t="s">
        <v>4466</v>
      </c>
      <c r="BF1686" s="251" t="s">
        <v>4467</v>
      </c>
      <c r="BG1686" s="399" t="s">
        <v>423</v>
      </c>
      <c r="BH1686" s="252" t="s">
        <v>424</v>
      </c>
      <c r="BI1686" s="251" t="s">
        <v>331</v>
      </c>
      <c r="BJ1686" s="251" t="s">
        <v>539</v>
      </c>
      <c r="BK1686" s="251" t="s">
        <v>4468</v>
      </c>
      <c r="BL1686" s="251" t="s">
        <v>426</v>
      </c>
    </row>
    <row r="1687" spans="2:64" ht="15">
      <c r="B1687" s="84"/>
      <c r="D1687" s="84"/>
      <c r="E1687" s="84"/>
      <c r="F1687" s="84"/>
      <c r="G1687" s="84"/>
      <c r="R1687" s="251"/>
      <c r="S1687" s="251"/>
      <c r="BD1687" s="399">
        <v>1684</v>
      </c>
      <c r="BE1687" s="399" t="s">
        <v>4469</v>
      </c>
      <c r="BF1687" s="251" t="s">
        <v>4470</v>
      </c>
      <c r="BG1687" s="399" t="s">
        <v>349</v>
      </c>
      <c r="BH1687" s="252">
        <v>17</v>
      </c>
      <c r="BI1687" s="251" t="s">
        <v>445</v>
      </c>
      <c r="BJ1687" s="251" t="s">
        <v>385</v>
      </c>
      <c r="BK1687" s="251" t="s">
        <v>4471</v>
      </c>
      <c r="BL1687" s="251" t="s">
        <v>353</v>
      </c>
    </row>
    <row r="1688" spans="2:64" ht="15">
      <c r="B1688" s="84"/>
      <c r="D1688" s="84"/>
      <c r="E1688" s="84"/>
      <c r="F1688" s="84"/>
      <c r="G1688" s="84"/>
      <c r="R1688" s="251"/>
      <c r="S1688" s="251"/>
      <c r="BD1688" s="399">
        <v>1685</v>
      </c>
      <c r="BE1688" s="399" t="s">
        <v>4472</v>
      </c>
      <c r="BF1688" s="251" t="s">
        <v>4473</v>
      </c>
      <c r="BG1688" s="399" t="s">
        <v>475</v>
      </c>
      <c r="BH1688" s="252" t="s">
        <v>476</v>
      </c>
      <c r="BI1688" s="251" t="s">
        <v>365</v>
      </c>
      <c r="BJ1688" s="251" t="s">
        <v>366</v>
      </c>
      <c r="BK1688" s="251" t="s">
        <v>4474</v>
      </c>
      <c r="BL1688" s="251" t="s">
        <v>479</v>
      </c>
    </row>
    <row r="1689" spans="2:64" ht="15">
      <c r="B1689" s="84"/>
      <c r="D1689" s="84"/>
      <c r="E1689" s="84"/>
      <c r="F1689" s="84"/>
      <c r="G1689" s="84"/>
      <c r="R1689" s="251"/>
      <c r="S1689" s="251"/>
      <c r="BD1689" s="399">
        <v>1686</v>
      </c>
      <c r="BE1689" s="399" t="s">
        <v>4475</v>
      </c>
      <c r="BF1689" s="251" t="s">
        <v>4476</v>
      </c>
      <c r="BG1689" s="399" t="s">
        <v>405</v>
      </c>
      <c r="BH1689" s="252" t="s">
        <v>412</v>
      </c>
      <c r="BI1689" s="251" t="s">
        <v>445</v>
      </c>
      <c r="BJ1689" s="251" t="s">
        <v>539</v>
      </c>
      <c r="BK1689" s="251" t="s">
        <v>4477</v>
      </c>
      <c r="BL1689" s="251" t="s">
        <v>409</v>
      </c>
    </row>
    <row r="1690" spans="2:64" ht="15">
      <c r="B1690" s="84"/>
      <c r="D1690" s="84"/>
      <c r="E1690" s="84"/>
      <c r="F1690" s="84"/>
      <c r="G1690" s="84"/>
      <c r="R1690" s="251"/>
      <c r="S1690" s="251"/>
      <c r="BD1690" s="399">
        <v>1687</v>
      </c>
      <c r="BE1690" s="399" t="s">
        <v>4478</v>
      </c>
      <c r="BF1690" s="251" t="s">
        <v>4479</v>
      </c>
      <c r="BG1690" s="399">
        <v>51</v>
      </c>
      <c r="BH1690" s="252">
        <v>51</v>
      </c>
      <c r="BI1690" s="251" t="s">
        <v>365</v>
      </c>
      <c r="BJ1690" s="251" t="s">
        <v>380</v>
      </c>
      <c r="BK1690" s="251" t="s">
        <v>4480</v>
      </c>
      <c r="BL1690" s="251" t="s">
        <v>730</v>
      </c>
    </row>
    <row r="1691" spans="2:64" ht="15">
      <c r="B1691" s="84"/>
      <c r="D1691" s="84"/>
      <c r="E1691" s="84"/>
      <c r="F1691" s="84"/>
      <c r="G1691" s="84"/>
      <c r="R1691" s="251"/>
      <c r="S1691" s="251"/>
      <c r="BD1691" s="399">
        <v>1688</v>
      </c>
      <c r="BE1691" s="399" t="s">
        <v>4481</v>
      </c>
      <c r="BF1691" s="251" t="s">
        <v>4482</v>
      </c>
      <c r="BG1691" s="399" t="s">
        <v>469</v>
      </c>
      <c r="BH1691" s="252" t="s">
        <v>662</v>
      </c>
      <c r="BI1691" s="251" t="s">
        <v>333</v>
      </c>
      <c r="BJ1691" s="251" t="s">
        <v>366</v>
      </c>
      <c r="BK1691" s="251" t="s">
        <v>4483</v>
      </c>
      <c r="BL1691" s="251" t="s">
        <v>472</v>
      </c>
    </row>
    <row r="1692" spans="2:64" ht="15">
      <c r="B1692" s="84"/>
      <c r="D1692" s="84"/>
      <c r="E1692" s="84"/>
      <c r="F1692" s="84"/>
      <c r="G1692" s="84"/>
      <c r="R1692" s="251"/>
      <c r="S1692" s="251"/>
      <c r="BD1692" s="399">
        <v>1689</v>
      </c>
      <c r="BE1692" s="399" t="s">
        <v>4484</v>
      </c>
      <c r="BF1692" s="251" t="s">
        <v>4485</v>
      </c>
      <c r="BG1692" s="399" t="s">
        <v>395</v>
      </c>
      <c r="BH1692" s="252">
        <v>16</v>
      </c>
      <c r="BI1692" s="251" t="s">
        <v>583</v>
      </c>
      <c r="BJ1692" s="251" t="s">
        <v>2509</v>
      </c>
      <c r="BK1692" s="251" t="s">
        <v>4486</v>
      </c>
      <c r="BL1692" s="251" t="s">
        <v>399</v>
      </c>
    </row>
    <row r="1693" spans="2:64" ht="15">
      <c r="B1693" s="84"/>
      <c r="D1693" s="84"/>
      <c r="E1693" s="84"/>
      <c r="F1693" s="84"/>
      <c r="G1693" s="84"/>
      <c r="R1693" s="251"/>
      <c r="S1693" s="251"/>
      <c r="BD1693" s="399">
        <v>1690</v>
      </c>
      <c r="BE1693" s="399" t="s">
        <v>4487</v>
      </c>
      <c r="BF1693" s="251" t="s">
        <v>4488</v>
      </c>
      <c r="BG1693" s="399" t="s">
        <v>733</v>
      </c>
      <c r="BH1693" s="252" t="s">
        <v>734</v>
      </c>
      <c r="BI1693" s="251" t="s">
        <v>350</v>
      </c>
      <c r="BJ1693" s="251" t="s">
        <v>351</v>
      </c>
      <c r="BK1693" s="251" t="s">
        <v>4489</v>
      </c>
      <c r="BL1693" s="251" t="s">
        <v>736</v>
      </c>
    </row>
    <row r="1694" spans="2:64" ht="15">
      <c r="B1694" s="84"/>
      <c r="D1694" s="84"/>
      <c r="E1694" s="84"/>
      <c r="F1694" s="84"/>
      <c r="G1694" s="84"/>
      <c r="R1694" s="251"/>
      <c r="S1694" s="251"/>
      <c r="BD1694" s="399">
        <v>1691</v>
      </c>
      <c r="BE1694" s="399" t="s">
        <v>4490</v>
      </c>
      <c r="BF1694" s="251" t="s">
        <v>4491</v>
      </c>
      <c r="BG1694" s="399" t="s">
        <v>423</v>
      </c>
      <c r="BH1694" s="252" t="s">
        <v>424</v>
      </c>
      <c r="BI1694" s="251" t="s">
        <v>728</v>
      </c>
      <c r="BJ1694" s="251" t="s">
        <v>351</v>
      </c>
      <c r="BK1694" s="251" t="s">
        <v>4492</v>
      </c>
      <c r="BL1694" s="251" t="s">
        <v>426</v>
      </c>
    </row>
    <row r="1695" spans="2:64" ht="15">
      <c r="B1695" s="84"/>
      <c r="D1695" s="84"/>
      <c r="E1695" s="84"/>
      <c r="F1695" s="84"/>
      <c r="G1695" s="84"/>
      <c r="R1695" s="251"/>
      <c r="S1695" s="251"/>
      <c r="BD1695" s="399">
        <v>1692</v>
      </c>
      <c r="BE1695" s="399" t="s">
        <v>4493</v>
      </c>
      <c r="BF1695" s="251" t="s">
        <v>4494</v>
      </c>
      <c r="BG1695" s="399" t="s">
        <v>489</v>
      </c>
      <c r="BH1695" s="252" t="s">
        <v>490</v>
      </c>
      <c r="BI1695" s="251" t="s">
        <v>740</v>
      </c>
      <c r="BJ1695" s="251" t="s">
        <v>413</v>
      </c>
      <c r="BK1695" s="251" t="s">
        <v>4495</v>
      </c>
      <c r="BL1695" s="251" t="s">
        <v>493</v>
      </c>
    </row>
    <row r="1696" spans="2:64" ht="15">
      <c r="B1696" s="84"/>
      <c r="D1696" s="84"/>
      <c r="E1696" s="84"/>
      <c r="F1696" s="84"/>
      <c r="G1696" s="84"/>
      <c r="R1696" s="251"/>
      <c r="S1696" s="251"/>
      <c r="BD1696" s="399">
        <v>1693</v>
      </c>
      <c r="BE1696" s="399" t="s">
        <v>4496</v>
      </c>
      <c r="BF1696" s="251" t="s">
        <v>4497</v>
      </c>
      <c r="BG1696" s="399" t="s">
        <v>405</v>
      </c>
      <c r="BH1696" s="252" t="s">
        <v>528</v>
      </c>
      <c r="BI1696" s="251" t="s">
        <v>583</v>
      </c>
      <c r="BJ1696" s="251" t="s">
        <v>778</v>
      </c>
      <c r="BK1696" s="251" t="s">
        <v>4498</v>
      </c>
      <c r="BL1696" s="251" t="s">
        <v>409</v>
      </c>
    </row>
    <row r="1697" spans="2:64" ht="15">
      <c r="B1697" s="84"/>
      <c r="D1697" s="84"/>
      <c r="E1697" s="84"/>
      <c r="F1697" s="84"/>
      <c r="G1697" s="84"/>
      <c r="R1697" s="251"/>
      <c r="S1697" s="251"/>
      <c r="BD1697" s="399">
        <v>1694</v>
      </c>
      <c r="BE1697" s="399" t="s">
        <v>4499</v>
      </c>
      <c r="BF1697" s="251" t="s">
        <v>4500</v>
      </c>
      <c r="BG1697" s="399" t="s">
        <v>435</v>
      </c>
      <c r="BH1697" s="252" t="s">
        <v>436</v>
      </c>
      <c r="BI1697" s="251" t="s">
        <v>332</v>
      </c>
      <c r="BJ1697" s="251" t="s">
        <v>385</v>
      </c>
      <c r="BK1697" s="251" t="s">
        <v>4501</v>
      </c>
      <c r="BL1697" s="251" t="s">
        <v>439</v>
      </c>
    </row>
    <row r="1698" spans="2:64" ht="15">
      <c r="B1698" s="84"/>
      <c r="D1698" s="84"/>
      <c r="E1698" s="84"/>
      <c r="F1698" s="84"/>
      <c r="G1698" s="84"/>
      <c r="R1698" s="251"/>
      <c r="S1698" s="251"/>
      <c r="BD1698" s="399">
        <v>1695</v>
      </c>
      <c r="BE1698" s="399" t="s">
        <v>4502</v>
      </c>
      <c r="BF1698" s="251" t="s">
        <v>4503</v>
      </c>
      <c r="BG1698" s="399" t="s">
        <v>363</v>
      </c>
      <c r="BH1698" s="252" t="s">
        <v>364</v>
      </c>
      <c r="BI1698" s="251" t="s">
        <v>379</v>
      </c>
      <c r="BJ1698" s="251" t="s">
        <v>385</v>
      </c>
      <c r="BK1698" s="251" t="s">
        <v>4504</v>
      </c>
      <c r="BL1698" s="251" t="s">
        <v>368</v>
      </c>
    </row>
    <row r="1699" spans="2:64" ht="15">
      <c r="B1699" s="84"/>
      <c r="D1699" s="84"/>
      <c r="E1699" s="84"/>
      <c r="F1699" s="84"/>
      <c r="G1699" s="84"/>
      <c r="R1699" s="251"/>
      <c r="S1699" s="251"/>
      <c r="BD1699" s="399">
        <v>1696</v>
      </c>
      <c r="BE1699" s="399" t="s">
        <v>4505</v>
      </c>
      <c r="BF1699" s="251" t="s">
        <v>4506</v>
      </c>
      <c r="BG1699" s="399" t="s">
        <v>363</v>
      </c>
      <c r="BH1699" s="252" t="s">
        <v>364</v>
      </c>
      <c r="BI1699" s="251" t="s">
        <v>728</v>
      </c>
      <c r="BJ1699" s="251" t="s">
        <v>366</v>
      </c>
      <c r="BK1699" s="251" t="s">
        <v>4507</v>
      </c>
      <c r="BL1699" s="251" t="s">
        <v>368</v>
      </c>
    </row>
    <row r="1700" spans="2:64" ht="15">
      <c r="B1700" s="84"/>
      <c r="D1700" s="84"/>
      <c r="E1700" s="84"/>
      <c r="F1700" s="84"/>
      <c r="G1700" s="84"/>
      <c r="R1700" s="251"/>
      <c r="S1700" s="251"/>
      <c r="BD1700" s="399">
        <v>1697</v>
      </c>
      <c r="BE1700" s="399" t="s">
        <v>4508</v>
      </c>
      <c r="BF1700" s="251" t="s">
        <v>4509</v>
      </c>
      <c r="BG1700" s="399" t="s">
        <v>469</v>
      </c>
      <c r="BH1700" s="252" t="s">
        <v>470</v>
      </c>
      <c r="BI1700" s="251" t="s">
        <v>334</v>
      </c>
      <c r="BJ1700" s="251" t="s">
        <v>4510</v>
      </c>
      <c r="BK1700" s="251" t="s">
        <v>4511</v>
      </c>
      <c r="BL1700" s="251" t="s">
        <v>472</v>
      </c>
    </row>
    <row r="1701" spans="2:64" ht="15">
      <c r="B1701" s="84"/>
      <c r="D1701" s="84"/>
      <c r="E1701" s="84"/>
      <c r="F1701" s="84"/>
      <c r="G1701" s="84"/>
      <c r="R1701" s="251"/>
      <c r="S1701" s="251"/>
      <c r="BD1701" s="399">
        <v>1698</v>
      </c>
      <c r="BE1701" s="399" t="s">
        <v>4512</v>
      </c>
      <c r="BF1701" s="251" t="s">
        <v>4513</v>
      </c>
      <c r="BG1701" s="399" t="s">
        <v>405</v>
      </c>
      <c r="BH1701" s="252" t="s">
        <v>830</v>
      </c>
      <c r="BI1701" s="251" t="s">
        <v>563</v>
      </c>
      <c r="BJ1701" s="251" t="s">
        <v>397</v>
      </c>
      <c r="BK1701" s="251" t="s">
        <v>4514</v>
      </c>
      <c r="BL1701" s="251" t="s">
        <v>409</v>
      </c>
    </row>
    <row r="1702" spans="2:64" ht="15">
      <c r="B1702" s="84"/>
      <c r="D1702" s="84"/>
      <c r="E1702" s="84"/>
      <c r="F1702" s="84"/>
      <c r="G1702" s="84"/>
      <c r="R1702" s="251"/>
      <c r="S1702" s="251"/>
      <c r="BD1702" s="399">
        <v>1699</v>
      </c>
      <c r="BE1702" s="399" t="s">
        <v>4515</v>
      </c>
      <c r="BF1702" s="251" t="s">
        <v>4516</v>
      </c>
      <c r="BG1702" s="399" t="s">
        <v>733</v>
      </c>
      <c r="BH1702" s="252" t="s">
        <v>734</v>
      </c>
      <c r="BI1702" s="251" t="s">
        <v>333</v>
      </c>
      <c r="BJ1702" s="251" t="s">
        <v>397</v>
      </c>
      <c r="BK1702" s="251" t="s">
        <v>4517</v>
      </c>
      <c r="BL1702" s="251" t="s">
        <v>736</v>
      </c>
    </row>
    <row r="1703" spans="2:64" ht="15">
      <c r="B1703" s="84"/>
      <c r="D1703" s="84"/>
      <c r="E1703" s="84"/>
      <c r="F1703" s="84"/>
      <c r="G1703" s="84"/>
      <c r="R1703" s="251"/>
      <c r="S1703" s="251"/>
      <c r="BD1703" s="399">
        <v>1700</v>
      </c>
      <c r="BE1703" s="399" t="s">
        <v>4518</v>
      </c>
      <c r="BF1703" s="251" t="s">
        <v>4519</v>
      </c>
      <c r="BG1703" s="399" t="s">
        <v>423</v>
      </c>
      <c r="BH1703" s="252" t="s">
        <v>424</v>
      </c>
      <c r="BI1703" s="251" t="s">
        <v>332</v>
      </c>
      <c r="BJ1703" s="251" t="s">
        <v>366</v>
      </c>
      <c r="BK1703" s="251" t="s">
        <v>4520</v>
      </c>
      <c r="BL1703" s="251" t="s">
        <v>426</v>
      </c>
    </row>
    <row r="1704" spans="2:64" ht="15">
      <c r="B1704" s="84"/>
      <c r="D1704" s="84"/>
      <c r="E1704" s="84"/>
      <c r="F1704" s="84"/>
      <c r="G1704" s="84"/>
      <c r="R1704" s="251"/>
      <c r="S1704" s="251"/>
      <c r="BD1704" s="399">
        <v>1701</v>
      </c>
      <c r="BE1704" s="399" t="s">
        <v>3439</v>
      </c>
      <c r="BF1704" s="251" t="s">
        <v>4521</v>
      </c>
      <c r="BG1704" s="399" t="s">
        <v>349</v>
      </c>
      <c r="BH1704" s="252">
        <v>17</v>
      </c>
      <c r="BI1704" s="251" t="s">
        <v>535</v>
      </c>
      <c r="BJ1704" s="251" t="s">
        <v>413</v>
      </c>
      <c r="BK1704" s="251" t="s">
        <v>3440</v>
      </c>
      <c r="BL1704" s="251" t="s">
        <v>353</v>
      </c>
    </row>
    <row r="1705" spans="2:64" ht="15">
      <c r="B1705" s="84"/>
      <c r="D1705" s="84"/>
      <c r="E1705" s="84"/>
      <c r="F1705" s="84"/>
      <c r="G1705" s="84"/>
      <c r="R1705" s="251"/>
      <c r="S1705" s="251"/>
      <c r="BD1705" s="399">
        <v>1702</v>
      </c>
      <c r="BE1705" s="399" t="s">
        <v>4522</v>
      </c>
      <c r="BF1705" s="251" t="s">
        <v>4523</v>
      </c>
      <c r="BG1705" s="399" t="s">
        <v>733</v>
      </c>
      <c r="BH1705" s="252" t="s">
        <v>734</v>
      </c>
      <c r="BI1705" s="251" t="s">
        <v>365</v>
      </c>
      <c r="BJ1705" s="251" t="s">
        <v>390</v>
      </c>
      <c r="BK1705" s="251" t="s">
        <v>4524</v>
      </c>
      <c r="BL1705" s="251" t="s">
        <v>736</v>
      </c>
    </row>
    <row r="1706" spans="2:64" ht="15">
      <c r="B1706" s="84"/>
      <c r="D1706" s="84"/>
      <c r="E1706" s="84"/>
      <c r="F1706" s="84"/>
      <c r="G1706" s="84"/>
      <c r="R1706" s="251"/>
      <c r="S1706" s="251"/>
      <c r="BD1706" s="399">
        <v>1703</v>
      </c>
      <c r="BE1706" s="399" t="s">
        <v>4525</v>
      </c>
      <c r="BF1706" s="251" t="s">
        <v>4526</v>
      </c>
      <c r="BG1706" s="399" t="s">
        <v>489</v>
      </c>
      <c r="BH1706" s="252" t="s">
        <v>490</v>
      </c>
      <c r="BI1706" s="251" t="s">
        <v>728</v>
      </c>
      <c r="BJ1706" s="251" t="s">
        <v>351</v>
      </c>
      <c r="BK1706" s="251" t="s">
        <v>4527</v>
      </c>
      <c r="BL1706" s="251" t="s">
        <v>493</v>
      </c>
    </row>
    <row r="1707" spans="2:64" ht="15">
      <c r="B1707" s="84"/>
      <c r="D1707" s="84"/>
      <c r="E1707" s="84"/>
      <c r="F1707" s="84"/>
      <c r="G1707" s="84"/>
      <c r="R1707" s="251"/>
      <c r="S1707" s="251"/>
      <c r="BD1707" s="399">
        <v>1704</v>
      </c>
      <c r="BE1707" s="399" t="s">
        <v>4528</v>
      </c>
      <c r="BF1707" s="251" t="s">
        <v>4529</v>
      </c>
      <c r="BG1707" s="399" t="s">
        <v>405</v>
      </c>
      <c r="BH1707" s="252" t="s">
        <v>830</v>
      </c>
      <c r="BI1707" s="251" t="s">
        <v>396</v>
      </c>
      <c r="BJ1707" s="251" t="s">
        <v>407</v>
      </c>
      <c r="BK1707" s="251" t="s">
        <v>4530</v>
      </c>
      <c r="BL1707" s="251" t="s">
        <v>409</v>
      </c>
    </row>
    <row r="1708" spans="2:64" ht="15">
      <c r="B1708" s="84"/>
      <c r="D1708" s="84"/>
      <c r="E1708" s="84"/>
      <c r="F1708" s="84"/>
      <c r="G1708" s="84"/>
      <c r="R1708" s="251"/>
      <c r="S1708" s="251"/>
      <c r="BD1708" s="399">
        <v>1705</v>
      </c>
      <c r="BE1708" s="399" t="s">
        <v>4531</v>
      </c>
      <c r="BF1708" s="251" t="s">
        <v>4532</v>
      </c>
      <c r="BG1708" s="399" t="s">
        <v>602</v>
      </c>
      <c r="BH1708" s="252">
        <v>47</v>
      </c>
      <c r="BI1708" s="251" t="s">
        <v>728</v>
      </c>
      <c r="BJ1708" s="251" t="s">
        <v>351</v>
      </c>
      <c r="BK1708" s="251" t="s">
        <v>4533</v>
      </c>
      <c r="BL1708" s="251" t="s">
        <v>604</v>
      </c>
    </row>
    <row r="1709" spans="2:64" ht="15">
      <c r="B1709" s="84"/>
      <c r="D1709" s="84"/>
      <c r="E1709" s="84"/>
      <c r="F1709" s="84"/>
      <c r="G1709" s="84"/>
      <c r="R1709" s="251"/>
      <c r="S1709" s="251"/>
      <c r="BD1709" s="399">
        <v>1706</v>
      </c>
      <c r="BE1709" s="399" t="s">
        <v>4534</v>
      </c>
      <c r="BF1709" s="251" t="s">
        <v>4535</v>
      </c>
      <c r="BG1709" s="399" t="s">
        <v>566</v>
      </c>
      <c r="BH1709" s="252" t="s">
        <v>567</v>
      </c>
      <c r="BI1709" s="251" t="s">
        <v>615</v>
      </c>
      <c r="BJ1709" s="251" t="s">
        <v>539</v>
      </c>
      <c r="BK1709" s="251" t="s">
        <v>4536</v>
      </c>
      <c r="BL1709" s="251" t="s">
        <v>569</v>
      </c>
    </row>
    <row r="1710" spans="2:64" ht="15">
      <c r="B1710" s="84"/>
      <c r="D1710" s="84"/>
      <c r="E1710" s="84"/>
      <c r="F1710" s="84"/>
      <c r="G1710" s="84"/>
      <c r="R1710" s="251"/>
      <c r="S1710" s="251"/>
      <c r="BD1710" s="399">
        <v>1707</v>
      </c>
      <c r="BE1710" s="399" t="s">
        <v>4537</v>
      </c>
      <c r="BF1710" s="251" t="s">
        <v>4538</v>
      </c>
      <c r="BG1710" s="399" t="s">
        <v>739</v>
      </c>
      <c r="BH1710" s="252">
        <v>45</v>
      </c>
      <c r="BI1710" s="251" t="s">
        <v>334</v>
      </c>
      <c r="BJ1710" s="251" t="s">
        <v>407</v>
      </c>
      <c r="BK1710" s="251" t="s">
        <v>4539</v>
      </c>
      <c r="BL1710" s="251" t="s">
        <v>742</v>
      </c>
    </row>
    <row r="1711" spans="2:64" ht="15">
      <c r="B1711" s="84"/>
      <c r="D1711" s="84"/>
      <c r="E1711" s="84"/>
      <c r="F1711" s="84"/>
      <c r="G1711" s="84"/>
      <c r="R1711" s="251"/>
      <c r="S1711" s="251"/>
      <c r="BD1711" s="399">
        <v>1708</v>
      </c>
      <c r="BE1711" s="399" t="s">
        <v>4540</v>
      </c>
      <c r="BF1711" s="251" t="s">
        <v>4541</v>
      </c>
      <c r="BG1711" s="399" t="s">
        <v>623</v>
      </c>
      <c r="BH1711" s="252" t="s">
        <v>624</v>
      </c>
      <c r="BI1711" s="251" t="s">
        <v>1638</v>
      </c>
      <c r="BJ1711" s="251" t="s">
        <v>385</v>
      </c>
      <c r="BK1711" s="251" t="s">
        <v>4542</v>
      </c>
      <c r="BL1711" s="251" t="s">
        <v>626</v>
      </c>
    </row>
    <row r="1712" spans="2:64" ht="15">
      <c r="B1712" s="84"/>
      <c r="D1712" s="84"/>
      <c r="E1712" s="84"/>
      <c r="F1712" s="84"/>
      <c r="G1712" s="84"/>
      <c r="R1712" s="251"/>
      <c r="S1712" s="251"/>
      <c r="BD1712" s="399">
        <v>1709</v>
      </c>
      <c r="BE1712" s="399" t="s">
        <v>4543</v>
      </c>
      <c r="BF1712" s="251" t="s">
        <v>4544</v>
      </c>
      <c r="BG1712" s="399">
        <v>51</v>
      </c>
      <c r="BH1712" s="252">
        <v>51</v>
      </c>
      <c r="BI1712" s="251" t="s">
        <v>332</v>
      </c>
      <c r="BJ1712" s="251" t="s">
        <v>380</v>
      </c>
      <c r="BK1712" s="251" t="s">
        <v>4545</v>
      </c>
      <c r="BL1712" s="251" t="s">
        <v>730</v>
      </c>
    </row>
    <row r="1713" spans="2:64" ht="15">
      <c r="B1713" s="84"/>
      <c r="D1713" s="84"/>
      <c r="E1713" s="84"/>
      <c r="F1713" s="84"/>
      <c r="G1713" s="84"/>
      <c r="R1713" s="251"/>
      <c r="S1713" s="251"/>
      <c r="BD1713" s="399">
        <v>1710</v>
      </c>
      <c r="BE1713" s="399" t="s">
        <v>4546</v>
      </c>
      <c r="BF1713" s="251" t="s">
        <v>4547</v>
      </c>
      <c r="BG1713" s="399" t="s">
        <v>349</v>
      </c>
      <c r="BH1713" s="252">
        <v>17</v>
      </c>
      <c r="BI1713" s="251" t="s">
        <v>334</v>
      </c>
      <c r="BJ1713" s="251" t="s">
        <v>366</v>
      </c>
      <c r="BK1713" s="251" t="s">
        <v>4548</v>
      </c>
      <c r="BL1713" s="251" t="s">
        <v>353</v>
      </c>
    </row>
    <row r="1714" spans="2:64" ht="15">
      <c r="B1714" s="84"/>
      <c r="D1714" s="84"/>
      <c r="E1714" s="84"/>
      <c r="F1714" s="84"/>
      <c r="G1714" s="84"/>
      <c r="R1714" s="251"/>
      <c r="S1714" s="251"/>
      <c r="BD1714" s="399">
        <v>1711</v>
      </c>
      <c r="BE1714" s="399" t="s">
        <v>4549</v>
      </c>
      <c r="BF1714" s="251" t="s">
        <v>4550</v>
      </c>
      <c r="BG1714" s="399" t="s">
        <v>614</v>
      </c>
      <c r="BH1714" s="252">
        <v>38</v>
      </c>
      <c r="BI1714" s="251" t="s">
        <v>445</v>
      </c>
      <c r="BJ1714" s="251" t="s">
        <v>380</v>
      </c>
      <c r="BK1714" s="251" t="s">
        <v>4551</v>
      </c>
      <c r="BL1714" s="251" t="s">
        <v>617</v>
      </c>
    </row>
    <row r="1715" spans="2:64" ht="15">
      <c r="B1715" s="84"/>
      <c r="D1715" s="84"/>
      <c r="E1715" s="84"/>
      <c r="F1715" s="84"/>
      <c r="G1715" s="84"/>
      <c r="R1715" s="251"/>
      <c r="S1715" s="251"/>
      <c r="BD1715" s="399">
        <v>1712</v>
      </c>
      <c r="BE1715" s="399" t="s">
        <v>4552</v>
      </c>
      <c r="BF1715" s="251" t="s">
        <v>4553</v>
      </c>
      <c r="BG1715" s="399" t="s">
        <v>489</v>
      </c>
      <c r="BH1715" s="252" t="s">
        <v>490</v>
      </c>
      <c r="BI1715" s="251" t="s">
        <v>333</v>
      </c>
      <c r="BJ1715" s="251" t="s">
        <v>351</v>
      </c>
      <c r="BK1715" s="251" t="s">
        <v>4554</v>
      </c>
      <c r="BL1715" s="251" t="s">
        <v>493</v>
      </c>
    </row>
    <row r="1716" spans="2:64" ht="15">
      <c r="B1716" s="84"/>
      <c r="D1716" s="84"/>
      <c r="E1716" s="84"/>
      <c r="F1716" s="84"/>
      <c r="G1716" s="84"/>
      <c r="R1716" s="251"/>
      <c r="S1716" s="251"/>
      <c r="BD1716" s="399">
        <v>1713</v>
      </c>
      <c r="BE1716" s="399" t="s">
        <v>2842</v>
      </c>
      <c r="BF1716" s="251" t="s">
        <v>4555</v>
      </c>
      <c r="BG1716" s="399" t="s">
        <v>395</v>
      </c>
      <c r="BH1716" s="252">
        <v>16</v>
      </c>
      <c r="BI1716" s="251" t="s">
        <v>728</v>
      </c>
      <c r="BJ1716" s="251" t="s">
        <v>407</v>
      </c>
      <c r="BK1716" s="251" t="s">
        <v>2843</v>
      </c>
      <c r="BL1716" s="251" t="s">
        <v>399</v>
      </c>
    </row>
    <row r="1717" spans="2:64" ht="15">
      <c r="B1717" s="84"/>
      <c r="D1717" s="84"/>
      <c r="E1717" s="84"/>
      <c r="F1717" s="84"/>
      <c r="G1717" s="84"/>
      <c r="R1717" s="251"/>
      <c r="S1717" s="251"/>
      <c r="BD1717" s="399">
        <v>1714</v>
      </c>
      <c r="BE1717" s="399" t="s">
        <v>4556</v>
      </c>
      <c r="BF1717" s="251" t="s">
        <v>4557</v>
      </c>
      <c r="BG1717" s="399" t="s">
        <v>469</v>
      </c>
      <c r="BH1717" s="252" t="s">
        <v>470</v>
      </c>
      <c r="BI1717" s="251" t="s">
        <v>366</v>
      </c>
      <c r="BJ1717" s="251" t="s">
        <v>351</v>
      </c>
      <c r="BK1717" s="251" t="s">
        <v>4558</v>
      </c>
      <c r="BL1717" s="251" t="s">
        <v>472</v>
      </c>
    </row>
    <row r="1718" spans="2:64" ht="15">
      <c r="B1718" s="84"/>
      <c r="D1718" s="84"/>
      <c r="E1718" s="84"/>
      <c r="F1718" s="84"/>
      <c r="G1718" s="84"/>
      <c r="R1718" s="251"/>
      <c r="S1718" s="251"/>
      <c r="BD1718" s="399">
        <v>1715</v>
      </c>
      <c r="BE1718" s="399" t="s">
        <v>4559</v>
      </c>
      <c r="BF1718" s="251" t="s">
        <v>4560</v>
      </c>
      <c r="BG1718" s="399" t="s">
        <v>475</v>
      </c>
      <c r="BH1718" s="252" t="s">
        <v>510</v>
      </c>
      <c r="BI1718" s="251" t="s">
        <v>365</v>
      </c>
      <c r="BJ1718" s="251" t="s">
        <v>390</v>
      </c>
      <c r="BK1718" s="251" t="s">
        <v>4561</v>
      </c>
      <c r="BL1718" s="251" t="s">
        <v>479</v>
      </c>
    </row>
    <row r="1719" spans="2:64" ht="15">
      <c r="B1719" s="84"/>
      <c r="D1719" s="84"/>
      <c r="E1719" s="84"/>
      <c r="F1719" s="84"/>
      <c r="G1719" s="84"/>
      <c r="R1719" s="251"/>
      <c r="S1719" s="251"/>
      <c r="BD1719" s="399">
        <v>1716</v>
      </c>
      <c r="BE1719" s="399" t="s">
        <v>4562</v>
      </c>
      <c r="BF1719" s="251" t="s">
        <v>149</v>
      </c>
      <c r="BG1719" s="399" t="s">
        <v>363</v>
      </c>
      <c r="BH1719" s="252" t="s">
        <v>575</v>
      </c>
      <c r="BI1719" s="251" t="s">
        <v>365</v>
      </c>
      <c r="BJ1719" s="251" t="s">
        <v>397</v>
      </c>
      <c r="BK1719" s="251" t="s">
        <v>4563</v>
      </c>
      <c r="BL1719" s="251" t="s">
        <v>368</v>
      </c>
    </row>
    <row r="1720" spans="2:64" ht="15">
      <c r="B1720" s="84"/>
      <c r="D1720" s="84"/>
      <c r="E1720" s="84"/>
      <c r="F1720" s="84"/>
      <c r="G1720" s="84"/>
      <c r="R1720" s="251"/>
      <c r="S1720" s="251"/>
      <c r="BD1720" s="399">
        <v>1717</v>
      </c>
      <c r="BE1720" s="399" t="s">
        <v>4564</v>
      </c>
      <c r="BF1720" s="251" t="s">
        <v>4565</v>
      </c>
      <c r="BG1720" s="399" t="s">
        <v>469</v>
      </c>
      <c r="BH1720" s="252" t="s">
        <v>470</v>
      </c>
      <c r="BI1720" s="251" t="s">
        <v>1982</v>
      </c>
      <c r="BJ1720" s="251" t="s">
        <v>407</v>
      </c>
      <c r="BK1720" s="251" t="s">
        <v>4566</v>
      </c>
      <c r="BL1720" s="251" t="s">
        <v>472</v>
      </c>
    </row>
    <row r="1721" spans="2:64" ht="15">
      <c r="B1721" s="84"/>
      <c r="D1721" s="84"/>
      <c r="E1721" s="84"/>
      <c r="F1721" s="84"/>
      <c r="G1721" s="84"/>
      <c r="R1721" s="251"/>
      <c r="S1721" s="251"/>
      <c r="BD1721" s="399">
        <v>1718</v>
      </c>
      <c r="BE1721" s="399" t="s">
        <v>4567</v>
      </c>
      <c r="BF1721" s="251" t="s">
        <v>4568</v>
      </c>
      <c r="BG1721" s="399" t="s">
        <v>590</v>
      </c>
      <c r="BH1721" s="252">
        <v>44</v>
      </c>
      <c r="BI1721" s="251" t="s">
        <v>334</v>
      </c>
      <c r="BJ1721" s="251" t="s">
        <v>407</v>
      </c>
      <c r="BK1721" s="251" t="s">
        <v>4569</v>
      </c>
      <c r="BL1721" s="251" t="s">
        <v>592</v>
      </c>
    </row>
    <row r="1722" spans="2:64" ht="15">
      <c r="B1722" s="84"/>
      <c r="D1722" s="84"/>
      <c r="E1722" s="84"/>
      <c r="F1722" s="84"/>
      <c r="G1722" s="84"/>
      <c r="R1722" s="251"/>
      <c r="S1722" s="251"/>
      <c r="BD1722" s="399">
        <v>1719</v>
      </c>
      <c r="BE1722" s="399" t="s">
        <v>4570</v>
      </c>
      <c r="BF1722" s="251" t="s">
        <v>4571</v>
      </c>
      <c r="BG1722" s="399" t="s">
        <v>371</v>
      </c>
      <c r="BH1722" s="252">
        <v>28</v>
      </c>
      <c r="BI1722" s="251" t="s">
        <v>583</v>
      </c>
      <c r="BJ1722" s="251" t="s">
        <v>413</v>
      </c>
      <c r="BK1722" s="251" t="s">
        <v>4572</v>
      </c>
      <c r="BL1722" s="251" t="s">
        <v>375</v>
      </c>
    </row>
    <row r="1723" spans="2:64" ht="15">
      <c r="B1723" s="84"/>
      <c r="D1723" s="84"/>
      <c r="E1723" s="84"/>
      <c r="F1723" s="84"/>
      <c r="G1723" s="84"/>
      <c r="R1723" s="251"/>
      <c r="S1723" s="251"/>
      <c r="BD1723" s="399">
        <v>1720</v>
      </c>
      <c r="BE1723" s="399" t="s">
        <v>4573</v>
      </c>
      <c r="BF1723" s="251" t="s">
        <v>4574</v>
      </c>
      <c r="BG1723" s="399" t="s">
        <v>455</v>
      </c>
      <c r="BH1723" s="252">
        <v>35</v>
      </c>
      <c r="BI1723" s="251" t="s">
        <v>333</v>
      </c>
      <c r="BJ1723" s="251" t="s">
        <v>385</v>
      </c>
      <c r="BK1723" s="251" t="s">
        <v>4575</v>
      </c>
      <c r="BL1723" s="251" t="s">
        <v>458</v>
      </c>
    </row>
    <row r="1724" spans="2:64" ht="15">
      <c r="B1724" s="84"/>
      <c r="D1724" s="84"/>
      <c r="E1724" s="84"/>
      <c r="F1724" s="84"/>
      <c r="G1724" s="84"/>
      <c r="R1724" s="251"/>
      <c r="S1724" s="251"/>
      <c r="BD1724" s="399">
        <v>1721</v>
      </c>
      <c r="BE1724" s="399" t="s">
        <v>4576</v>
      </c>
      <c r="BF1724" s="251" t="s">
        <v>4577</v>
      </c>
      <c r="BG1724" s="399" t="s">
        <v>777</v>
      </c>
      <c r="BH1724" s="252">
        <v>21</v>
      </c>
      <c r="BI1724" s="251" t="s">
        <v>390</v>
      </c>
      <c r="BJ1724" s="251" t="s">
        <v>413</v>
      </c>
      <c r="BK1724" s="251" t="s">
        <v>4578</v>
      </c>
      <c r="BL1724" s="251" t="s">
        <v>780</v>
      </c>
    </row>
    <row r="1725" spans="2:64" ht="15">
      <c r="B1725" s="84"/>
      <c r="D1725" s="84"/>
      <c r="E1725" s="84"/>
      <c r="F1725" s="84"/>
      <c r="G1725" s="84"/>
      <c r="R1725" s="251"/>
      <c r="S1725" s="251"/>
      <c r="BD1725" s="399">
        <v>1722</v>
      </c>
      <c r="BE1725" s="399" t="s">
        <v>2444</v>
      </c>
      <c r="BF1725" s="251" t="s">
        <v>4579</v>
      </c>
      <c r="BG1725" s="399" t="s">
        <v>405</v>
      </c>
      <c r="BH1725" s="252" t="s">
        <v>1395</v>
      </c>
      <c r="BI1725" s="251" t="s">
        <v>728</v>
      </c>
      <c r="BJ1725" s="251" t="s">
        <v>380</v>
      </c>
      <c r="BK1725" s="251" t="s">
        <v>4580</v>
      </c>
      <c r="BL1725" s="251" t="s">
        <v>409</v>
      </c>
    </row>
    <row r="1726" spans="2:64" ht="15">
      <c r="B1726" s="84"/>
      <c r="D1726" s="84"/>
      <c r="E1726" s="84"/>
      <c r="F1726" s="84"/>
      <c r="G1726" s="84"/>
      <c r="R1726" s="251"/>
      <c r="S1726" s="251"/>
      <c r="BD1726" s="399">
        <v>1723</v>
      </c>
      <c r="BE1726" s="399" t="s">
        <v>4581</v>
      </c>
      <c r="BF1726" s="251" t="s">
        <v>4582</v>
      </c>
      <c r="BG1726" s="399" t="s">
        <v>395</v>
      </c>
      <c r="BH1726" s="252">
        <v>16</v>
      </c>
      <c r="BI1726" s="251" t="s">
        <v>357</v>
      </c>
      <c r="BJ1726" s="251" t="s">
        <v>2032</v>
      </c>
      <c r="BK1726" s="251" t="s">
        <v>4583</v>
      </c>
      <c r="BL1726" s="251" t="s">
        <v>399</v>
      </c>
    </row>
    <row r="1727" spans="2:64" ht="15">
      <c r="B1727" s="84"/>
      <c r="D1727" s="84"/>
      <c r="E1727" s="84"/>
      <c r="F1727" s="84"/>
      <c r="G1727" s="84"/>
      <c r="R1727" s="251"/>
      <c r="S1727" s="251"/>
      <c r="BD1727" s="399">
        <v>1724</v>
      </c>
      <c r="BE1727" s="399" t="s">
        <v>4584</v>
      </c>
      <c r="BF1727" s="251" t="s">
        <v>4585</v>
      </c>
      <c r="BG1727" s="399" t="s">
        <v>371</v>
      </c>
      <c r="BH1727" s="252">
        <v>28</v>
      </c>
      <c r="BI1727" s="251" t="s">
        <v>477</v>
      </c>
      <c r="BJ1727" s="251" t="s">
        <v>407</v>
      </c>
      <c r="BK1727" s="251" t="s">
        <v>4586</v>
      </c>
      <c r="BL1727" s="251" t="s">
        <v>375</v>
      </c>
    </row>
    <row r="1728" spans="2:64" ht="15">
      <c r="B1728" s="84"/>
      <c r="D1728" s="84"/>
      <c r="E1728" s="84"/>
      <c r="F1728" s="84"/>
      <c r="G1728" s="84"/>
      <c r="R1728" s="251"/>
      <c r="S1728" s="251"/>
      <c r="BD1728" s="399">
        <v>1725</v>
      </c>
      <c r="BE1728" s="399" t="s">
        <v>4587</v>
      </c>
      <c r="BF1728" s="251" t="s">
        <v>4588</v>
      </c>
      <c r="BG1728" s="399" t="s">
        <v>614</v>
      </c>
      <c r="BH1728" s="252">
        <v>38</v>
      </c>
      <c r="BI1728" s="251" t="s">
        <v>333</v>
      </c>
      <c r="BJ1728" s="251" t="s">
        <v>351</v>
      </c>
      <c r="BK1728" s="251" t="s">
        <v>4589</v>
      </c>
      <c r="BL1728" s="251" t="s">
        <v>617</v>
      </c>
    </row>
    <row r="1729" spans="2:64" ht="15">
      <c r="B1729" s="84"/>
      <c r="D1729" s="84"/>
      <c r="E1729" s="84"/>
      <c r="F1729" s="84"/>
      <c r="G1729" s="84"/>
      <c r="R1729" s="251"/>
      <c r="S1729" s="251"/>
      <c r="BD1729" s="399">
        <v>1726</v>
      </c>
      <c r="BE1729" s="399" t="s">
        <v>4590</v>
      </c>
      <c r="BF1729" s="251" t="s">
        <v>4591</v>
      </c>
      <c r="BG1729" s="399" t="s">
        <v>4592</v>
      </c>
      <c r="BH1729" s="252" t="s">
        <v>4593</v>
      </c>
      <c r="BI1729" s="251" t="s">
        <v>1709</v>
      </c>
      <c r="BJ1729" s="251" t="s">
        <v>413</v>
      </c>
      <c r="BK1729" s="251" t="s">
        <v>4594</v>
      </c>
      <c r="BL1729" s="251" t="s">
        <v>4595</v>
      </c>
    </row>
    <row r="1730" spans="2:64" ht="15">
      <c r="B1730" s="84"/>
      <c r="D1730" s="84"/>
      <c r="E1730" s="84"/>
      <c r="F1730" s="84"/>
      <c r="G1730" s="84"/>
      <c r="R1730" s="251"/>
      <c r="S1730" s="251"/>
      <c r="BD1730" s="399">
        <v>1727</v>
      </c>
      <c r="BE1730" s="399" t="s">
        <v>4596</v>
      </c>
      <c r="BF1730" s="251" t="s">
        <v>4597</v>
      </c>
      <c r="BG1730" s="399" t="s">
        <v>395</v>
      </c>
      <c r="BH1730" s="252">
        <v>16</v>
      </c>
      <c r="BI1730" s="251" t="s">
        <v>563</v>
      </c>
      <c r="BJ1730" s="251" t="s">
        <v>407</v>
      </c>
      <c r="BK1730" s="251" t="s">
        <v>4598</v>
      </c>
      <c r="BL1730" s="251" t="s">
        <v>399</v>
      </c>
    </row>
    <row r="1731" spans="2:64" ht="15">
      <c r="B1731" s="84"/>
      <c r="D1731" s="84"/>
      <c r="E1731" s="84"/>
      <c r="F1731" s="84"/>
      <c r="G1731" s="84"/>
      <c r="R1731" s="251"/>
      <c r="S1731" s="251"/>
      <c r="BD1731" s="399">
        <v>1728</v>
      </c>
      <c r="BE1731" s="399" t="s">
        <v>4599</v>
      </c>
      <c r="BF1731" s="251" t="s">
        <v>4600</v>
      </c>
      <c r="BG1731" s="399" t="s">
        <v>614</v>
      </c>
      <c r="BH1731" s="252">
        <v>38</v>
      </c>
      <c r="BI1731" s="251" t="s">
        <v>615</v>
      </c>
      <c r="BJ1731" s="251" t="s">
        <v>380</v>
      </c>
      <c r="BK1731" s="251" t="s">
        <v>4601</v>
      </c>
      <c r="BL1731" s="251" t="s">
        <v>617</v>
      </c>
    </row>
    <row r="1732" spans="2:64" ht="15">
      <c r="B1732" s="84"/>
      <c r="D1732" s="84"/>
      <c r="E1732" s="84"/>
      <c r="F1732" s="84"/>
      <c r="G1732" s="84"/>
      <c r="R1732" s="251"/>
      <c r="S1732" s="251"/>
      <c r="BD1732" s="399">
        <v>1729</v>
      </c>
      <c r="BE1732" s="399" t="s">
        <v>4602</v>
      </c>
      <c r="BF1732" s="251" t="s">
        <v>4603</v>
      </c>
      <c r="BG1732" s="399" t="s">
        <v>566</v>
      </c>
      <c r="BH1732" s="252" t="s">
        <v>567</v>
      </c>
      <c r="BI1732" s="251" t="s">
        <v>728</v>
      </c>
      <c r="BJ1732" s="251" t="s">
        <v>351</v>
      </c>
      <c r="BK1732" s="251" t="s">
        <v>4604</v>
      </c>
      <c r="BL1732" s="251" t="s">
        <v>569</v>
      </c>
    </row>
    <row r="1733" spans="2:64" ht="15">
      <c r="B1733" s="84"/>
      <c r="D1733" s="84"/>
      <c r="E1733" s="84"/>
      <c r="F1733" s="84"/>
      <c r="G1733" s="84"/>
      <c r="R1733" s="251"/>
      <c r="S1733" s="251"/>
      <c r="BD1733" s="399">
        <v>1730</v>
      </c>
      <c r="BE1733" s="399" t="s">
        <v>2436</v>
      </c>
      <c r="BF1733" s="251" t="s">
        <v>4605</v>
      </c>
      <c r="BG1733" s="399" t="s">
        <v>405</v>
      </c>
      <c r="BH1733" s="252" t="s">
        <v>830</v>
      </c>
      <c r="BI1733" s="251" t="s">
        <v>615</v>
      </c>
      <c r="BJ1733" s="251" t="s">
        <v>407</v>
      </c>
      <c r="BK1733" s="251" t="s">
        <v>2437</v>
      </c>
      <c r="BL1733" s="251" t="s">
        <v>409</v>
      </c>
    </row>
    <row r="1734" spans="2:64" ht="15">
      <c r="B1734" s="84"/>
      <c r="D1734" s="84"/>
      <c r="E1734" s="84"/>
      <c r="F1734" s="84"/>
      <c r="G1734" s="84"/>
      <c r="R1734" s="251"/>
      <c r="S1734" s="251"/>
      <c r="BD1734" s="399">
        <v>1731</v>
      </c>
      <c r="BE1734" s="399" t="s">
        <v>4606</v>
      </c>
      <c r="BF1734" s="251" t="s">
        <v>4607</v>
      </c>
      <c r="BG1734" s="399" t="s">
        <v>423</v>
      </c>
      <c r="BH1734" s="252" t="s">
        <v>424</v>
      </c>
      <c r="BI1734" s="251" t="s">
        <v>491</v>
      </c>
      <c r="BJ1734" s="251" t="s">
        <v>407</v>
      </c>
      <c r="BK1734" s="251" t="s">
        <v>4608</v>
      </c>
      <c r="BL1734" s="251" t="s">
        <v>426</v>
      </c>
    </row>
    <row r="1735" spans="2:64" ht="15">
      <c r="B1735" s="84"/>
      <c r="D1735" s="84"/>
      <c r="E1735" s="84"/>
      <c r="F1735" s="84"/>
      <c r="G1735" s="84"/>
      <c r="R1735" s="251"/>
      <c r="S1735" s="251"/>
      <c r="BD1735" s="399">
        <v>1732</v>
      </c>
      <c r="BE1735" s="399" t="s">
        <v>4609</v>
      </c>
      <c r="BF1735" s="251" t="s">
        <v>4610</v>
      </c>
      <c r="BG1735" s="399" t="s">
        <v>449</v>
      </c>
      <c r="BH1735" s="252">
        <v>43</v>
      </c>
      <c r="BI1735" s="251" t="s">
        <v>563</v>
      </c>
      <c r="BJ1735" s="251" t="s">
        <v>380</v>
      </c>
      <c r="BK1735" s="251" t="s">
        <v>4611</v>
      </c>
      <c r="BL1735" s="251" t="s">
        <v>452</v>
      </c>
    </row>
    <row r="1736" spans="2:64" ht="15">
      <c r="B1736" s="84"/>
      <c r="D1736" s="84"/>
      <c r="E1736" s="84"/>
      <c r="F1736" s="84"/>
      <c r="G1736" s="84"/>
      <c r="R1736" s="251"/>
      <c r="S1736" s="251"/>
      <c r="BD1736" s="399">
        <v>1733</v>
      </c>
      <c r="BE1736" s="399" t="s">
        <v>4612</v>
      </c>
      <c r="BF1736" s="251" t="s">
        <v>4613</v>
      </c>
      <c r="BG1736" s="399" t="s">
        <v>405</v>
      </c>
      <c r="BH1736" s="252" t="s">
        <v>406</v>
      </c>
      <c r="BI1736" s="251" t="s">
        <v>635</v>
      </c>
      <c r="BJ1736" s="251" t="s">
        <v>530</v>
      </c>
      <c r="BK1736" s="251" t="s">
        <v>4614</v>
      </c>
      <c r="BL1736" s="251" t="s">
        <v>409</v>
      </c>
    </row>
    <row r="1737" spans="2:64" ht="15">
      <c r="B1737" s="84"/>
      <c r="D1737" s="84"/>
      <c r="E1737" s="84"/>
      <c r="F1737" s="84"/>
      <c r="G1737" s="84"/>
      <c r="R1737" s="251"/>
      <c r="S1737" s="251"/>
      <c r="BD1737" s="399">
        <v>1734</v>
      </c>
      <c r="BE1737" s="399" t="s">
        <v>4615</v>
      </c>
      <c r="BF1737" s="251" t="s">
        <v>4616</v>
      </c>
      <c r="BG1737" s="399" t="s">
        <v>349</v>
      </c>
      <c r="BH1737" s="252">
        <v>17</v>
      </c>
      <c r="BI1737" s="251" t="s">
        <v>331</v>
      </c>
      <c r="BJ1737" s="251" t="s">
        <v>407</v>
      </c>
      <c r="BK1737" s="251" t="s">
        <v>4617</v>
      </c>
      <c r="BL1737" s="251" t="s">
        <v>353</v>
      </c>
    </row>
    <row r="1738" spans="2:64" ht="15">
      <c r="B1738" s="84"/>
      <c r="D1738" s="84"/>
      <c r="E1738" s="84"/>
      <c r="F1738" s="84"/>
      <c r="G1738" s="84"/>
      <c r="R1738" s="251"/>
      <c r="S1738" s="251"/>
      <c r="BD1738" s="399">
        <v>1735</v>
      </c>
      <c r="BE1738" s="399" t="s">
        <v>4618</v>
      </c>
      <c r="BF1738" s="251" t="s">
        <v>4619</v>
      </c>
      <c r="BG1738" s="399" t="s">
        <v>423</v>
      </c>
      <c r="BH1738" s="252" t="s">
        <v>424</v>
      </c>
      <c r="BI1738" s="251" t="s">
        <v>563</v>
      </c>
      <c r="BJ1738" s="251" t="s">
        <v>407</v>
      </c>
      <c r="BK1738" s="251" t="s">
        <v>4620</v>
      </c>
      <c r="BL1738" s="251" t="s">
        <v>426</v>
      </c>
    </row>
    <row r="1739" spans="2:64" ht="15">
      <c r="B1739" s="84"/>
      <c r="D1739" s="84"/>
      <c r="E1739" s="84"/>
      <c r="F1739" s="84"/>
      <c r="G1739" s="84"/>
      <c r="R1739" s="251"/>
      <c r="S1739" s="251"/>
      <c r="BD1739" s="399">
        <v>1736</v>
      </c>
      <c r="BE1739" s="399" t="s">
        <v>4621</v>
      </c>
      <c r="BF1739" s="251" t="s">
        <v>4622</v>
      </c>
      <c r="BG1739" s="399" t="s">
        <v>475</v>
      </c>
      <c r="BH1739" s="252" t="s">
        <v>510</v>
      </c>
      <c r="BI1739" s="251" t="s">
        <v>740</v>
      </c>
      <c r="BJ1739" s="251" t="s">
        <v>413</v>
      </c>
      <c r="BK1739" s="251" t="s">
        <v>4623</v>
      </c>
      <c r="BL1739" s="251" t="s">
        <v>479</v>
      </c>
    </row>
    <row r="1740" spans="2:64" ht="15">
      <c r="B1740" s="84"/>
      <c r="D1740" s="84"/>
      <c r="E1740" s="84"/>
      <c r="F1740" s="84"/>
      <c r="G1740" s="84"/>
      <c r="R1740" s="251"/>
      <c r="S1740" s="251"/>
      <c r="BD1740" s="399">
        <v>1737</v>
      </c>
      <c r="BE1740" s="399" t="s">
        <v>4624</v>
      </c>
      <c r="BF1740" s="251" t="s">
        <v>4625</v>
      </c>
      <c r="BG1740" s="399" t="s">
        <v>349</v>
      </c>
      <c r="BH1740" s="252">
        <v>17</v>
      </c>
      <c r="BI1740" s="251" t="s">
        <v>332</v>
      </c>
      <c r="BJ1740" s="251" t="s">
        <v>385</v>
      </c>
      <c r="BK1740" s="251" t="s">
        <v>4626</v>
      </c>
      <c r="BL1740" s="251" t="s">
        <v>353</v>
      </c>
    </row>
    <row r="1741" spans="2:64" ht="15">
      <c r="B1741" s="84"/>
      <c r="D1741" s="84"/>
      <c r="E1741" s="84"/>
      <c r="F1741" s="84"/>
      <c r="G1741" s="84"/>
      <c r="R1741" s="251"/>
      <c r="S1741" s="251"/>
      <c r="BD1741" s="399">
        <v>1738</v>
      </c>
      <c r="BE1741" s="399" t="s">
        <v>4627</v>
      </c>
      <c r="BF1741" s="251" t="s">
        <v>4628</v>
      </c>
      <c r="BG1741" s="399" t="s">
        <v>405</v>
      </c>
      <c r="BH1741" s="252" t="s">
        <v>528</v>
      </c>
      <c r="BI1741" s="251" t="s">
        <v>331</v>
      </c>
      <c r="BJ1741" s="251" t="s">
        <v>385</v>
      </c>
      <c r="BK1741" s="251" t="s">
        <v>4629</v>
      </c>
      <c r="BL1741" s="251" t="s">
        <v>409</v>
      </c>
    </row>
    <row r="1742" spans="2:64" ht="15">
      <c r="B1742" s="84"/>
      <c r="D1742" s="84"/>
      <c r="E1742" s="84"/>
      <c r="F1742" s="84"/>
      <c r="G1742" s="84"/>
      <c r="R1742" s="251"/>
      <c r="S1742" s="251"/>
      <c r="BD1742" s="399">
        <v>1739</v>
      </c>
      <c r="BE1742" s="399" t="s">
        <v>4630</v>
      </c>
      <c r="BF1742" s="251" t="s">
        <v>4631</v>
      </c>
      <c r="BG1742" s="399" t="s">
        <v>378</v>
      </c>
      <c r="BH1742" s="252">
        <v>11</v>
      </c>
      <c r="BI1742" s="251" t="s">
        <v>379</v>
      </c>
      <c r="BJ1742" s="251" t="s">
        <v>4632</v>
      </c>
      <c r="BK1742" s="251" t="s">
        <v>4633</v>
      </c>
      <c r="BL1742" s="251" t="s">
        <v>382</v>
      </c>
    </row>
    <row r="1743" spans="2:64" ht="15">
      <c r="B1743" s="84"/>
      <c r="D1743" s="84"/>
      <c r="E1743" s="84"/>
      <c r="F1743" s="84"/>
      <c r="G1743" s="84"/>
      <c r="R1743" s="251"/>
      <c r="S1743" s="251"/>
      <c r="BD1743" s="399">
        <v>1740</v>
      </c>
      <c r="BE1743" s="399" t="s">
        <v>4634</v>
      </c>
      <c r="BF1743" s="251" t="s">
        <v>4635</v>
      </c>
      <c r="BG1743" s="399" t="s">
        <v>469</v>
      </c>
      <c r="BH1743" s="252" t="s">
        <v>470</v>
      </c>
      <c r="BI1743" s="251" t="s">
        <v>334</v>
      </c>
      <c r="BJ1743" s="251" t="s">
        <v>385</v>
      </c>
      <c r="BK1743" s="251" t="s">
        <v>4636</v>
      </c>
      <c r="BL1743" s="251" t="s">
        <v>472</v>
      </c>
    </row>
    <row r="1744" spans="2:64" ht="15">
      <c r="B1744" s="84"/>
      <c r="D1744" s="84"/>
      <c r="E1744" s="84"/>
      <c r="F1744" s="84"/>
      <c r="G1744" s="84"/>
      <c r="R1744" s="251"/>
      <c r="S1744" s="251"/>
      <c r="BD1744" s="399">
        <v>1741</v>
      </c>
      <c r="BE1744" s="399" t="s">
        <v>4637</v>
      </c>
      <c r="BF1744" s="251" t="s">
        <v>4638</v>
      </c>
      <c r="BG1744" s="399" t="s">
        <v>371</v>
      </c>
      <c r="BH1744" s="252">
        <v>28</v>
      </c>
      <c r="BI1744" s="251" t="s">
        <v>563</v>
      </c>
      <c r="BJ1744" s="251" t="s">
        <v>407</v>
      </c>
      <c r="BK1744" s="251" t="s">
        <v>4639</v>
      </c>
      <c r="BL1744" s="251" t="s">
        <v>375</v>
      </c>
    </row>
    <row r="1745" spans="2:64" ht="15">
      <c r="B1745" s="84"/>
      <c r="D1745" s="84"/>
      <c r="E1745" s="84"/>
      <c r="F1745" s="84"/>
      <c r="G1745" s="84"/>
      <c r="R1745" s="251"/>
      <c r="S1745" s="251"/>
      <c r="BD1745" s="399">
        <v>1742</v>
      </c>
      <c r="BE1745" s="399" t="s">
        <v>4640</v>
      </c>
      <c r="BF1745" s="251" t="s">
        <v>4641</v>
      </c>
      <c r="BG1745" s="399" t="s">
        <v>469</v>
      </c>
      <c r="BH1745" s="252" t="s">
        <v>470</v>
      </c>
      <c r="BI1745" s="251" t="s">
        <v>334</v>
      </c>
      <c r="BJ1745" s="251" t="s">
        <v>351</v>
      </c>
      <c r="BK1745" s="251" t="s">
        <v>4642</v>
      </c>
      <c r="BL1745" s="251" t="s">
        <v>472</v>
      </c>
    </row>
    <row r="1746" spans="2:64" ht="15">
      <c r="B1746" s="84"/>
      <c r="D1746" s="84"/>
      <c r="E1746" s="84"/>
      <c r="F1746" s="84"/>
      <c r="G1746" s="84"/>
      <c r="R1746" s="251"/>
      <c r="S1746" s="251"/>
      <c r="BD1746" s="399">
        <v>1743</v>
      </c>
      <c r="BE1746" s="399" t="s">
        <v>4643</v>
      </c>
      <c r="BF1746" s="251" t="s">
        <v>4644</v>
      </c>
      <c r="BG1746" s="399" t="s">
        <v>614</v>
      </c>
      <c r="BH1746" s="252">
        <v>38</v>
      </c>
      <c r="BI1746" s="251" t="s">
        <v>465</v>
      </c>
      <c r="BJ1746" s="251" t="s">
        <v>413</v>
      </c>
      <c r="BK1746" s="251" t="s">
        <v>4645</v>
      </c>
      <c r="BL1746" s="251" t="s">
        <v>617</v>
      </c>
    </row>
    <row r="1747" spans="2:64" ht="15">
      <c r="B1747" s="84"/>
      <c r="D1747" s="84"/>
      <c r="E1747" s="84"/>
      <c r="F1747" s="84"/>
      <c r="G1747" s="84"/>
      <c r="R1747" s="251"/>
      <c r="S1747" s="251"/>
      <c r="BD1747" s="399">
        <v>1744</v>
      </c>
      <c r="BE1747" s="399" t="s">
        <v>4646</v>
      </c>
      <c r="BF1747" s="251" t="s">
        <v>4647</v>
      </c>
      <c r="BG1747" s="399" t="s">
        <v>395</v>
      </c>
      <c r="BH1747" s="252">
        <v>16</v>
      </c>
      <c r="BI1747" s="251" t="s">
        <v>396</v>
      </c>
      <c r="BJ1747" s="251" t="s">
        <v>407</v>
      </c>
      <c r="BK1747" s="251" t="s">
        <v>4648</v>
      </c>
      <c r="BL1747" s="251" t="s">
        <v>399</v>
      </c>
    </row>
    <row r="1748" spans="2:64" ht="15">
      <c r="B1748" s="84"/>
      <c r="D1748" s="84"/>
      <c r="E1748" s="84"/>
      <c r="F1748" s="84"/>
      <c r="G1748" s="84"/>
      <c r="R1748" s="251"/>
      <c r="S1748" s="251"/>
      <c r="BD1748" s="399">
        <v>1745</v>
      </c>
      <c r="BE1748" s="399" t="s">
        <v>4649</v>
      </c>
      <c r="BF1748" s="251" t="s">
        <v>4650</v>
      </c>
      <c r="BG1748" s="399" t="s">
        <v>602</v>
      </c>
      <c r="BH1748" s="252">
        <v>47</v>
      </c>
      <c r="BI1748" s="251" t="s">
        <v>333</v>
      </c>
      <c r="BJ1748" s="251" t="s">
        <v>351</v>
      </c>
      <c r="BK1748" s="251" t="s">
        <v>4651</v>
      </c>
      <c r="BL1748" s="251" t="s">
        <v>604</v>
      </c>
    </row>
    <row r="1749" spans="2:64" ht="15">
      <c r="B1749" s="84"/>
      <c r="D1749" s="84"/>
      <c r="E1749" s="84"/>
      <c r="F1749" s="84"/>
      <c r="G1749" s="84"/>
      <c r="R1749" s="251"/>
      <c r="S1749" s="251"/>
      <c r="BD1749" s="399">
        <v>1746</v>
      </c>
      <c r="BE1749" s="399" t="s">
        <v>4652</v>
      </c>
      <c r="BF1749" s="251" t="s">
        <v>4653</v>
      </c>
      <c r="BG1749" s="399" t="s">
        <v>405</v>
      </c>
      <c r="BH1749" s="252" t="s">
        <v>528</v>
      </c>
      <c r="BI1749" s="251" t="s">
        <v>728</v>
      </c>
      <c r="BJ1749" s="251" t="s">
        <v>366</v>
      </c>
      <c r="BK1749" s="251" t="s">
        <v>4654</v>
      </c>
      <c r="BL1749" s="251" t="s">
        <v>409</v>
      </c>
    </row>
    <row r="1750" spans="2:64" ht="15">
      <c r="B1750" s="84"/>
      <c r="D1750" s="84"/>
      <c r="E1750" s="84"/>
      <c r="F1750" s="84"/>
      <c r="G1750" s="84"/>
      <c r="R1750" s="251"/>
      <c r="S1750" s="251"/>
      <c r="BD1750" s="399">
        <v>1747</v>
      </c>
      <c r="BE1750" s="399" t="s">
        <v>4655</v>
      </c>
      <c r="BF1750" s="251" t="s">
        <v>4656</v>
      </c>
      <c r="BG1750" s="399" t="s">
        <v>4592</v>
      </c>
      <c r="BH1750" s="252" t="s">
        <v>4657</v>
      </c>
      <c r="BI1750" s="251" t="s">
        <v>615</v>
      </c>
      <c r="BJ1750" s="251" t="s">
        <v>380</v>
      </c>
      <c r="BK1750" s="251" t="s">
        <v>4658</v>
      </c>
      <c r="BL1750" s="251" t="s">
        <v>4595</v>
      </c>
    </row>
    <row r="1751" spans="2:64" ht="15">
      <c r="B1751" s="84"/>
      <c r="D1751" s="84"/>
      <c r="E1751" s="84"/>
      <c r="F1751" s="84"/>
      <c r="G1751" s="84"/>
      <c r="R1751" s="251"/>
      <c r="S1751" s="251"/>
      <c r="BD1751" s="399">
        <v>1748</v>
      </c>
      <c r="BE1751" s="399" t="s">
        <v>4659</v>
      </c>
      <c r="BF1751" s="251" t="s">
        <v>4660</v>
      </c>
      <c r="BG1751" s="399" t="s">
        <v>739</v>
      </c>
      <c r="BH1751" s="252">
        <v>45</v>
      </c>
      <c r="BI1751" s="251" t="s">
        <v>477</v>
      </c>
      <c r="BJ1751" s="251" t="s">
        <v>366</v>
      </c>
      <c r="BK1751" s="251" t="s">
        <v>4661</v>
      </c>
      <c r="BL1751" s="251" t="s">
        <v>742</v>
      </c>
    </row>
    <row r="1752" spans="2:64" ht="15">
      <c r="B1752" s="84"/>
      <c r="D1752" s="84"/>
      <c r="E1752" s="84"/>
      <c r="F1752" s="84"/>
      <c r="G1752" s="84"/>
      <c r="R1752" s="251"/>
      <c r="S1752" s="251"/>
      <c r="BD1752" s="399">
        <v>1749</v>
      </c>
      <c r="BE1752" s="399" t="s">
        <v>4662</v>
      </c>
      <c r="BF1752" s="251" t="s">
        <v>4663</v>
      </c>
      <c r="BG1752" s="399" t="s">
        <v>590</v>
      </c>
      <c r="BH1752" s="252">
        <v>44</v>
      </c>
      <c r="BI1752" s="251" t="s">
        <v>465</v>
      </c>
      <c r="BJ1752" s="251" t="s">
        <v>413</v>
      </c>
      <c r="BK1752" s="251" t="s">
        <v>4664</v>
      </c>
      <c r="BL1752" s="251" t="s">
        <v>592</v>
      </c>
    </row>
    <row r="1753" spans="2:64" ht="15">
      <c r="B1753" s="84"/>
      <c r="D1753" s="84"/>
      <c r="E1753" s="84"/>
      <c r="F1753" s="84"/>
      <c r="G1753" s="84"/>
      <c r="R1753" s="251"/>
      <c r="S1753" s="251"/>
      <c r="BD1753" s="399">
        <v>1750</v>
      </c>
      <c r="BE1753" s="399" t="s">
        <v>4665</v>
      </c>
      <c r="BF1753" s="251" t="s">
        <v>4666</v>
      </c>
      <c r="BG1753" s="399" t="s">
        <v>519</v>
      </c>
      <c r="BH1753" s="252">
        <v>30</v>
      </c>
      <c r="BI1753" s="251" t="s">
        <v>350</v>
      </c>
      <c r="BJ1753" s="251" t="s">
        <v>351</v>
      </c>
      <c r="BK1753" s="251" t="s">
        <v>4667</v>
      </c>
      <c r="BL1753" s="251" t="s">
        <v>521</v>
      </c>
    </row>
    <row r="1754" spans="2:64" ht="15">
      <c r="B1754" s="84"/>
      <c r="D1754" s="84"/>
      <c r="E1754" s="84"/>
      <c r="F1754" s="84"/>
      <c r="G1754" s="84"/>
      <c r="R1754" s="251"/>
      <c r="S1754" s="251"/>
      <c r="BD1754" s="399">
        <v>1751</v>
      </c>
      <c r="BE1754" s="399" t="s">
        <v>4668</v>
      </c>
      <c r="BF1754" s="251" t="s">
        <v>4669</v>
      </c>
      <c r="BG1754" s="399" t="s">
        <v>389</v>
      </c>
      <c r="BH1754" s="252">
        <v>39</v>
      </c>
      <c r="BI1754" s="251" t="s">
        <v>615</v>
      </c>
      <c r="BJ1754" s="251" t="s">
        <v>407</v>
      </c>
      <c r="BK1754" s="251" t="s">
        <v>4670</v>
      </c>
      <c r="BL1754" s="251" t="s">
        <v>392</v>
      </c>
    </row>
    <row r="1755" spans="2:64" ht="15">
      <c r="B1755" s="84"/>
      <c r="D1755" s="84"/>
      <c r="E1755" s="84"/>
      <c r="F1755" s="84"/>
      <c r="G1755" s="84"/>
      <c r="R1755" s="251"/>
      <c r="S1755" s="251"/>
      <c r="BD1755" s="399">
        <v>1752</v>
      </c>
      <c r="BE1755" s="399" t="s">
        <v>4671</v>
      </c>
      <c r="BF1755" s="251" t="s">
        <v>4672</v>
      </c>
      <c r="BG1755" s="399" t="s">
        <v>429</v>
      </c>
      <c r="BH1755" s="252" t="s">
        <v>430</v>
      </c>
      <c r="BI1755" s="251" t="s">
        <v>332</v>
      </c>
      <c r="BJ1755" s="251" t="s">
        <v>350</v>
      </c>
      <c r="BK1755" s="251" t="s">
        <v>4673</v>
      </c>
      <c r="BL1755" s="251" t="s">
        <v>432</v>
      </c>
    </row>
    <row r="1756" spans="2:64" ht="15">
      <c r="B1756" s="84"/>
      <c r="D1756" s="84"/>
      <c r="E1756" s="84"/>
      <c r="F1756" s="84"/>
      <c r="G1756" s="84"/>
      <c r="R1756" s="251"/>
      <c r="S1756" s="251"/>
      <c r="BD1756" s="399">
        <v>1753</v>
      </c>
      <c r="BE1756" s="399" t="s">
        <v>4674</v>
      </c>
      <c r="BF1756" s="251" t="s">
        <v>4675</v>
      </c>
      <c r="BG1756" s="399" t="s">
        <v>363</v>
      </c>
      <c r="BH1756" s="252" t="s">
        <v>575</v>
      </c>
      <c r="BI1756" s="251" t="s">
        <v>350</v>
      </c>
      <c r="BJ1756" s="251" t="s">
        <v>385</v>
      </c>
      <c r="BK1756" s="251" t="s">
        <v>4676</v>
      </c>
      <c r="BL1756" s="251" t="s">
        <v>368</v>
      </c>
    </row>
    <row r="1757" spans="2:64" ht="15">
      <c r="B1757" s="84"/>
      <c r="D1757" s="84"/>
      <c r="E1757" s="84"/>
      <c r="F1757" s="84"/>
      <c r="G1757" s="84"/>
      <c r="R1757" s="251"/>
      <c r="S1757" s="251"/>
      <c r="BD1757" s="399">
        <v>1754</v>
      </c>
      <c r="BE1757" s="399" t="s">
        <v>4677</v>
      </c>
      <c r="BF1757" s="251" t="s">
        <v>4678</v>
      </c>
      <c r="BG1757" s="399" t="s">
        <v>371</v>
      </c>
      <c r="BH1757" s="252">
        <v>28</v>
      </c>
      <c r="BI1757" s="251" t="s">
        <v>350</v>
      </c>
      <c r="BJ1757" s="251" t="s">
        <v>351</v>
      </c>
      <c r="BK1757" s="251" t="s">
        <v>4679</v>
      </c>
      <c r="BL1757" s="251" t="s">
        <v>375</v>
      </c>
    </row>
    <row r="1758" spans="2:64" ht="15">
      <c r="B1758" s="84"/>
      <c r="D1758" s="84"/>
      <c r="E1758" s="84"/>
      <c r="F1758" s="84"/>
      <c r="G1758" s="84"/>
      <c r="R1758" s="251"/>
      <c r="S1758" s="251"/>
      <c r="BD1758" s="399">
        <v>1755</v>
      </c>
      <c r="BE1758" s="399" t="s">
        <v>4680</v>
      </c>
      <c r="BF1758" s="251" t="s">
        <v>4681</v>
      </c>
      <c r="BG1758" s="399" t="s">
        <v>549</v>
      </c>
      <c r="BH1758" s="252">
        <v>41</v>
      </c>
      <c r="BI1758" s="251" t="s">
        <v>477</v>
      </c>
      <c r="BJ1758" s="251" t="s">
        <v>539</v>
      </c>
      <c r="BK1758" s="251" t="s">
        <v>4682</v>
      </c>
      <c r="BL1758" s="251" t="s">
        <v>551</v>
      </c>
    </row>
    <row r="1759" spans="2:64" ht="15">
      <c r="B1759" s="84"/>
      <c r="D1759" s="84"/>
      <c r="E1759" s="84"/>
      <c r="F1759" s="84"/>
      <c r="G1759" s="84"/>
      <c r="R1759" s="251"/>
      <c r="S1759" s="251"/>
      <c r="BD1759" s="399">
        <v>1756</v>
      </c>
      <c r="BE1759" s="399" t="s">
        <v>2061</v>
      </c>
      <c r="BF1759" s="251" t="s">
        <v>4683</v>
      </c>
      <c r="BG1759" s="399" t="s">
        <v>363</v>
      </c>
      <c r="BH1759" s="252">
        <v>8</v>
      </c>
      <c r="BI1759" s="251" t="s">
        <v>332</v>
      </c>
      <c r="BJ1759" s="251" t="s">
        <v>407</v>
      </c>
      <c r="BK1759" s="251" t="s">
        <v>4684</v>
      </c>
      <c r="BL1759" s="251" t="s">
        <v>368</v>
      </c>
    </row>
    <row r="1760" spans="2:64" ht="15">
      <c r="B1760" s="84"/>
      <c r="D1760" s="84"/>
      <c r="E1760" s="84"/>
      <c r="F1760" s="84"/>
      <c r="G1760" s="84"/>
      <c r="R1760" s="251"/>
      <c r="S1760" s="251"/>
      <c r="BD1760" s="399">
        <v>1757</v>
      </c>
      <c r="BE1760" s="399" t="s">
        <v>2532</v>
      </c>
      <c r="BF1760" s="251" t="s">
        <v>4685</v>
      </c>
      <c r="BG1760" s="399" t="s">
        <v>363</v>
      </c>
      <c r="BH1760" s="252" t="s">
        <v>575</v>
      </c>
      <c r="BI1760" s="251" t="s">
        <v>332</v>
      </c>
      <c r="BJ1760" s="251" t="s">
        <v>380</v>
      </c>
      <c r="BK1760" s="251" t="s">
        <v>4686</v>
      </c>
      <c r="BL1760" s="251" t="s">
        <v>368</v>
      </c>
    </row>
    <row r="1761" spans="2:64" ht="15">
      <c r="B1761" s="84"/>
      <c r="D1761" s="84"/>
      <c r="E1761" s="84"/>
      <c r="F1761" s="84"/>
      <c r="G1761" s="84"/>
      <c r="R1761" s="251"/>
      <c r="S1761" s="251"/>
      <c r="BD1761" s="399">
        <v>1758</v>
      </c>
      <c r="BE1761" s="399" t="s">
        <v>4687</v>
      </c>
      <c r="BF1761" s="251" t="s">
        <v>4688</v>
      </c>
      <c r="BG1761" s="399" t="s">
        <v>371</v>
      </c>
      <c r="BH1761" s="252">
        <v>28</v>
      </c>
      <c r="BI1761" s="251" t="s">
        <v>445</v>
      </c>
      <c r="BJ1761" s="251" t="s">
        <v>380</v>
      </c>
      <c r="BK1761" s="251" t="s">
        <v>4689</v>
      </c>
      <c r="BL1761" s="251" t="s">
        <v>375</v>
      </c>
    </row>
    <row r="1762" spans="2:64" ht="15">
      <c r="B1762" s="84"/>
      <c r="D1762" s="84"/>
      <c r="E1762" s="84"/>
      <c r="F1762" s="84"/>
      <c r="G1762" s="84"/>
      <c r="R1762" s="251"/>
      <c r="S1762" s="251"/>
      <c r="BD1762" s="399">
        <v>1759</v>
      </c>
      <c r="BE1762" s="399" t="s">
        <v>4690</v>
      </c>
      <c r="BF1762" s="251" t="s">
        <v>4691</v>
      </c>
      <c r="BG1762" s="399" t="s">
        <v>423</v>
      </c>
      <c r="BH1762" s="252" t="s">
        <v>424</v>
      </c>
      <c r="BI1762" s="251" t="s">
        <v>728</v>
      </c>
      <c r="BJ1762" s="251" t="s">
        <v>380</v>
      </c>
      <c r="BK1762" s="251" t="s">
        <v>4692</v>
      </c>
      <c r="BL1762" s="251" t="s">
        <v>426</v>
      </c>
    </row>
    <row r="1763" spans="2:64" ht="15">
      <c r="B1763" s="84"/>
      <c r="D1763" s="84"/>
      <c r="E1763" s="84"/>
      <c r="F1763" s="84"/>
      <c r="G1763" s="84"/>
      <c r="R1763" s="251"/>
      <c r="S1763" s="251"/>
      <c r="BD1763" s="399">
        <v>1760</v>
      </c>
      <c r="BE1763" s="399" t="s">
        <v>4693</v>
      </c>
      <c r="BF1763" s="251" t="s">
        <v>4694</v>
      </c>
      <c r="BG1763" s="399" t="s">
        <v>614</v>
      </c>
      <c r="BH1763" s="252">
        <v>38</v>
      </c>
      <c r="BI1763" s="251" t="s">
        <v>1420</v>
      </c>
      <c r="BJ1763" s="251" t="s">
        <v>413</v>
      </c>
      <c r="BK1763" s="251" t="s">
        <v>4695</v>
      </c>
      <c r="BL1763" s="251" t="s">
        <v>617</v>
      </c>
    </row>
    <row r="1764" spans="2:64" ht="15">
      <c r="B1764" s="84"/>
      <c r="D1764" s="84"/>
      <c r="E1764" s="84"/>
      <c r="F1764" s="84"/>
      <c r="G1764" s="84"/>
      <c r="R1764" s="251"/>
      <c r="S1764" s="251"/>
      <c r="BD1764" s="399">
        <v>1761</v>
      </c>
      <c r="BE1764" s="399" t="s">
        <v>4696</v>
      </c>
      <c r="BF1764" s="251" t="s">
        <v>4697</v>
      </c>
      <c r="BG1764" s="399" t="s">
        <v>469</v>
      </c>
      <c r="BH1764" s="252" t="s">
        <v>470</v>
      </c>
      <c r="BI1764" s="251" t="s">
        <v>615</v>
      </c>
      <c r="BJ1764" s="251" t="s">
        <v>539</v>
      </c>
      <c r="BK1764" s="251" t="s">
        <v>4698</v>
      </c>
      <c r="BL1764" s="251" t="s">
        <v>472</v>
      </c>
    </row>
    <row r="1765" spans="2:64" ht="15">
      <c r="B1765" s="84"/>
      <c r="D1765" s="84"/>
      <c r="E1765" s="84"/>
      <c r="F1765" s="84"/>
      <c r="G1765" s="84"/>
      <c r="R1765" s="251"/>
      <c r="S1765" s="251"/>
      <c r="BD1765" s="399">
        <v>1762</v>
      </c>
      <c r="BE1765" s="399" t="s">
        <v>1917</v>
      </c>
      <c r="BF1765" s="251" t="s">
        <v>4699</v>
      </c>
      <c r="BG1765" s="399" t="s">
        <v>363</v>
      </c>
      <c r="BH1765" s="252" t="s">
        <v>364</v>
      </c>
      <c r="BI1765" s="251" t="s">
        <v>445</v>
      </c>
      <c r="BJ1765" s="251" t="s">
        <v>380</v>
      </c>
      <c r="BK1765" s="251" t="s">
        <v>4700</v>
      </c>
      <c r="BL1765" s="251" t="s">
        <v>368</v>
      </c>
    </row>
    <row r="1766" spans="2:64" ht="15">
      <c r="B1766" s="84"/>
      <c r="D1766" s="84"/>
      <c r="E1766" s="84"/>
      <c r="F1766" s="84"/>
      <c r="G1766" s="84"/>
      <c r="R1766" s="251"/>
      <c r="S1766" s="251"/>
      <c r="BD1766" s="399">
        <v>1763</v>
      </c>
      <c r="BE1766" s="399" t="s">
        <v>4701</v>
      </c>
      <c r="BF1766" s="251" t="s">
        <v>4702</v>
      </c>
      <c r="BG1766" s="399" t="s">
        <v>469</v>
      </c>
      <c r="BH1766" s="252" t="s">
        <v>470</v>
      </c>
      <c r="BI1766" s="251" t="s">
        <v>332</v>
      </c>
      <c r="BJ1766" s="251" t="s">
        <v>350</v>
      </c>
      <c r="BK1766" s="251" t="s">
        <v>4703</v>
      </c>
      <c r="BL1766" s="251" t="s">
        <v>472</v>
      </c>
    </row>
    <row r="1767" spans="2:64" ht="15">
      <c r="B1767" s="84"/>
      <c r="D1767" s="84"/>
      <c r="E1767" s="84"/>
      <c r="F1767" s="84"/>
      <c r="G1767" s="84"/>
      <c r="R1767" s="251"/>
      <c r="S1767" s="251"/>
      <c r="BD1767" s="399">
        <v>1764</v>
      </c>
      <c r="BE1767" s="399" t="s">
        <v>4704</v>
      </c>
      <c r="BF1767" s="251" t="s">
        <v>4705</v>
      </c>
      <c r="BG1767" s="399" t="s">
        <v>566</v>
      </c>
      <c r="BH1767" s="252" t="s">
        <v>567</v>
      </c>
      <c r="BI1767" s="251" t="s">
        <v>491</v>
      </c>
      <c r="BJ1767" s="251" t="s">
        <v>351</v>
      </c>
      <c r="BK1767" s="251" t="s">
        <v>4706</v>
      </c>
      <c r="BL1767" s="251" t="s">
        <v>569</v>
      </c>
    </row>
    <row r="1768" spans="2:64" ht="15">
      <c r="B1768" s="84"/>
      <c r="D1768" s="84"/>
      <c r="E1768" s="84"/>
      <c r="F1768" s="84"/>
      <c r="G1768" s="84"/>
      <c r="R1768" s="251"/>
      <c r="S1768" s="251"/>
      <c r="BD1768" s="399">
        <v>1765</v>
      </c>
      <c r="BE1768" s="399" t="s">
        <v>4707</v>
      </c>
      <c r="BF1768" s="251" t="s">
        <v>4708</v>
      </c>
      <c r="BG1768" s="399" t="s">
        <v>423</v>
      </c>
      <c r="BH1768" s="252" t="s">
        <v>424</v>
      </c>
      <c r="BI1768" s="251" t="s">
        <v>461</v>
      </c>
      <c r="BJ1768" s="251" t="s">
        <v>413</v>
      </c>
      <c r="BK1768" s="251" t="s">
        <v>4709</v>
      </c>
      <c r="BL1768" s="251" t="s">
        <v>426</v>
      </c>
    </row>
    <row r="1769" spans="2:64" ht="15">
      <c r="B1769" s="84"/>
      <c r="D1769" s="84"/>
      <c r="E1769" s="84"/>
      <c r="F1769" s="84"/>
      <c r="G1769" s="84"/>
      <c r="R1769" s="251"/>
      <c r="S1769" s="251"/>
      <c r="BD1769" s="399">
        <v>1766</v>
      </c>
      <c r="BE1769" s="399" t="s">
        <v>4710</v>
      </c>
      <c r="BF1769" s="251" t="s">
        <v>4711</v>
      </c>
      <c r="BG1769" s="399" t="s">
        <v>469</v>
      </c>
      <c r="BH1769" s="252" t="s">
        <v>470</v>
      </c>
      <c r="BI1769" s="251" t="s">
        <v>332</v>
      </c>
      <c r="BJ1769" s="251" t="s">
        <v>539</v>
      </c>
      <c r="BK1769" s="251" t="s">
        <v>4712</v>
      </c>
      <c r="BL1769" s="251" t="s">
        <v>472</v>
      </c>
    </row>
    <row r="1770" spans="2:64" ht="15">
      <c r="B1770" s="84"/>
      <c r="D1770" s="84"/>
      <c r="E1770" s="84"/>
      <c r="F1770" s="84"/>
      <c r="G1770" s="84"/>
      <c r="R1770" s="251"/>
      <c r="S1770" s="251"/>
      <c r="BD1770" s="399">
        <v>1767</v>
      </c>
      <c r="BE1770" s="399" t="s">
        <v>4713</v>
      </c>
      <c r="BF1770" s="251" t="s">
        <v>4714</v>
      </c>
      <c r="BG1770" s="399" t="s">
        <v>371</v>
      </c>
      <c r="BH1770" s="252">
        <v>28</v>
      </c>
      <c r="BI1770" s="251" t="s">
        <v>445</v>
      </c>
      <c r="BJ1770" s="251" t="s">
        <v>539</v>
      </c>
      <c r="BK1770" s="251" t="s">
        <v>4715</v>
      </c>
      <c r="BL1770" s="251" t="s">
        <v>375</v>
      </c>
    </row>
    <row r="1771" spans="2:64" ht="15">
      <c r="B1771" s="84"/>
      <c r="D1771" s="84"/>
      <c r="E1771" s="84"/>
      <c r="F1771" s="84"/>
      <c r="G1771" s="84"/>
      <c r="R1771" s="251"/>
      <c r="S1771" s="251"/>
      <c r="BD1771" s="399">
        <v>1768</v>
      </c>
      <c r="BE1771" s="399" t="s">
        <v>4716</v>
      </c>
      <c r="BF1771" s="251" t="s">
        <v>4717</v>
      </c>
      <c r="BG1771" s="399" t="s">
        <v>363</v>
      </c>
      <c r="BH1771" s="252" t="s">
        <v>575</v>
      </c>
      <c r="BI1771" s="251" t="s">
        <v>563</v>
      </c>
      <c r="BJ1771" s="251" t="s">
        <v>397</v>
      </c>
      <c r="BK1771" s="251" t="s">
        <v>4718</v>
      </c>
      <c r="BL1771" s="251" t="s">
        <v>368</v>
      </c>
    </row>
    <row r="1772" spans="2:64" ht="15">
      <c r="B1772" s="84"/>
      <c r="D1772" s="84"/>
      <c r="E1772" s="84"/>
      <c r="F1772" s="84"/>
      <c r="G1772" s="84"/>
      <c r="R1772" s="251"/>
      <c r="S1772" s="251"/>
      <c r="BD1772" s="399">
        <v>1769</v>
      </c>
      <c r="BE1772" s="399" t="s">
        <v>4719</v>
      </c>
      <c r="BF1772" s="251" t="s">
        <v>4720</v>
      </c>
      <c r="BG1772" s="399" t="s">
        <v>423</v>
      </c>
      <c r="BH1772" s="252" t="s">
        <v>424</v>
      </c>
      <c r="BI1772" s="251" t="s">
        <v>563</v>
      </c>
      <c r="BJ1772" s="251" t="s">
        <v>390</v>
      </c>
      <c r="BK1772" s="251" t="s">
        <v>4721</v>
      </c>
      <c r="BL1772" s="251" t="s">
        <v>426</v>
      </c>
    </row>
    <row r="1773" spans="2:64" ht="15">
      <c r="B1773" s="84"/>
      <c r="D1773" s="84"/>
      <c r="E1773" s="84"/>
      <c r="F1773" s="84"/>
      <c r="G1773" s="84"/>
      <c r="R1773" s="251"/>
      <c r="S1773" s="251"/>
      <c r="BD1773" s="399">
        <v>1770</v>
      </c>
      <c r="BE1773" s="399" t="s">
        <v>4722</v>
      </c>
      <c r="BF1773" s="251" t="s">
        <v>4723</v>
      </c>
      <c r="BG1773" s="399" t="s">
        <v>435</v>
      </c>
      <c r="BH1773" s="252" t="s">
        <v>436</v>
      </c>
      <c r="BI1773" s="251" t="s">
        <v>450</v>
      </c>
      <c r="BJ1773" s="251" t="s">
        <v>366</v>
      </c>
      <c r="BK1773" s="251" t="s">
        <v>4724</v>
      </c>
      <c r="BL1773" s="251" t="s">
        <v>439</v>
      </c>
    </row>
    <row r="1774" spans="2:64" ht="15">
      <c r="B1774" s="84"/>
      <c r="D1774" s="84"/>
      <c r="E1774" s="84"/>
      <c r="F1774" s="84"/>
      <c r="G1774" s="84"/>
      <c r="R1774" s="251"/>
      <c r="S1774" s="251"/>
      <c r="BD1774" s="399">
        <v>1771</v>
      </c>
      <c r="BE1774" s="399" t="s">
        <v>3186</v>
      </c>
      <c r="BF1774" s="251" t="s">
        <v>4725</v>
      </c>
      <c r="BG1774" s="399" t="s">
        <v>590</v>
      </c>
      <c r="BH1774" s="252">
        <v>44</v>
      </c>
      <c r="BI1774" s="251" t="s">
        <v>357</v>
      </c>
      <c r="BJ1774" s="251" t="s">
        <v>413</v>
      </c>
      <c r="BK1774" s="251" t="s">
        <v>3187</v>
      </c>
      <c r="BL1774" s="251" t="s">
        <v>592</v>
      </c>
    </row>
    <row r="1775" spans="2:64" ht="15">
      <c r="B1775" s="84"/>
      <c r="D1775" s="84"/>
      <c r="E1775" s="84"/>
      <c r="F1775" s="84"/>
      <c r="G1775" s="84"/>
      <c r="R1775" s="251"/>
      <c r="S1775" s="251"/>
      <c r="BD1775" s="399">
        <v>1772</v>
      </c>
      <c r="BE1775" s="399" t="s">
        <v>4726</v>
      </c>
      <c r="BF1775" s="251" t="s">
        <v>4727</v>
      </c>
      <c r="BG1775" s="399" t="s">
        <v>405</v>
      </c>
      <c r="BH1775" s="252" t="s">
        <v>830</v>
      </c>
      <c r="BI1775" s="251" t="s">
        <v>396</v>
      </c>
      <c r="BJ1775" s="251" t="s">
        <v>539</v>
      </c>
      <c r="BK1775" s="251" t="s">
        <v>4728</v>
      </c>
      <c r="BL1775" s="251" t="s">
        <v>409</v>
      </c>
    </row>
    <row r="1776" spans="2:64" ht="15">
      <c r="B1776" s="84"/>
      <c r="D1776" s="84"/>
      <c r="E1776" s="84"/>
      <c r="F1776" s="84"/>
      <c r="G1776" s="84"/>
      <c r="R1776" s="251"/>
      <c r="S1776" s="251"/>
      <c r="BD1776" s="399">
        <v>1773</v>
      </c>
      <c r="BE1776" s="399" t="s">
        <v>4729</v>
      </c>
      <c r="BF1776" s="251" t="s">
        <v>4730</v>
      </c>
      <c r="BG1776" s="399" t="s">
        <v>371</v>
      </c>
      <c r="BH1776" s="252">
        <v>28</v>
      </c>
      <c r="BI1776" s="251" t="s">
        <v>365</v>
      </c>
      <c r="BJ1776" s="251" t="s">
        <v>366</v>
      </c>
      <c r="BK1776" s="251" t="s">
        <v>4731</v>
      </c>
      <c r="BL1776" s="251" t="s">
        <v>375</v>
      </c>
    </row>
    <row r="1777" spans="2:64" ht="15">
      <c r="B1777" s="84"/>
      <c r="D1777" s="84"/>
      <c r="E1777" s="84"/>
      <c r="F1777" s="84"/>
      <c r="G1777" s="84"/>
      <c r="R1777" s="251"/>
      <c r="S1777" s="251"/>
      <c r="BD1777" s="399">
        <v>1774</v>
      </c>
      <c r="BE1777" s="399" t="s">
        <v>4732</v>
      </c>
      <c r="BF1777" s="251" t="s">
        <v>4733</v>
      </c>
      <c r="BG1777" s="399" t="s">
        <v>519</v>
      </c>
      <c r="BH1777" s="252">
        <v>30</v>
      </c>
      <c r="BI1777" s="251" t="s">
        <v>450</v>
      </c>
      <c r="BJ1777" s="251" t="s">
        <v>366</v>
      </c>
      <c r="BK1777" s="251" t="s">
        <v>4734</v>
      </c>
      <c r="BL1777" s="251" t="s">
        <v>521</v>
      </c>
    </row>
    <row r="1778" spans="2:64" ht="15">
      <c r="B1778" s="84"/>
      <c r="D1778" s="84"/>
      <c r="E1778" s="84"/>
      <c r="F1778" s="84"/>
      <c r="G1778" s="84"/>
      <c r="R1778" s="251"/>
      <c r="S1778" s="251"/>
      <c r="BD1778" s="399">
        <v>1775</v>
      </c>
      <c r="BE1778" s="399" t="s">
        <v>4735</v>
      </c>
      <c r="BF1778" s="251" t="s">
        <v>4736</v>
      </c>
      <c r="BG1778" s="399" t="s">
        <v>405</v>
      </c>
      <c r="BH1778" s="252" t="s">
        <v>406</v>
      </c>
      <c r="BI1778" s="251" t="s">
        <v>4737</v>
      </c>
      <c r="BJ1778" s="251" t="s">
        <v>4738</v>
      </c>
      <c r="BK1778" s="251" t="s">
        <v>4739</v>
      </c>
      <c r="BL1778" s="251" t="s">
        <v>409</v>
      </c>
    </row>
    <row r="1779" spans="2:64" ht="15">
      <c r="B1779" s="84"/>
      <c r="D1779" s="84"/>
      <c r="E1779" s="84"/>
      <c r="F1779" s="84"/>
      <c r="G1779" s="84"/>
      <c r="R1779" s="251"/>
      <c r="S1779" s="251"/>
      <c r="BD1779" s="399">
        <v>1776</v>
      </c>
      <c r="BE1779" s="399" t="s">
        <v>4740</v>
      </c>
      <c r="BF1779" s="251" t="s">
        <v>4741</v>
      </c>
      <c r="BG1779" s="399" t="s">
        <v>489</v>
      </c>
      <c r="BH1779" s="252" t="s">
        <v>490</v>
      </c>
      <c r="BI1779" s="251" t="s">
        <v>332</v>
      </c>
      <c r="BJ1779" s="251" t="s">
        <v>380</v>
      </c>
      <c r="BK1779" s="251" t="s">
        <v>4742</v>
      </c>
      <c r="BL1779" s="251" t="s">
        <v>493</v>
      </c>
    </row>
    <row r="1780" spans="2:64" ht="15">
      <c r="B1780" s="84"/>
      <c r="D1780" s="84"/>
      <c r="E1780" s="84"/>
      <c r="F1780" s="84"/>
      <c r="G1780" s="84"/>
      <c r="R1780" s="251"/>
      <c r="S1780" s="251"/>
      <c r="BD1780" s="399">
        <v>1777</v>
      </c>
      <c r="BE1780" s="399" t="s">
        <v>4743</v>
      </c>
      <c r="BF1780" s="251" t="s">
        <v>4744</v>
      </c>
      <c r="BG1780" s="399" t="s">
        <v>363</v>
      </c>
      <c r="BH1780" s="252" t="s">
        <v>364</v>
      </c>
      <c r="BI1780" s="251" t="s">
        <v>728</v>
      </c>
      <c r="BJ1780" s="251" t="s">
        <v>390</v>
      </c>
      <c r="BK1780" s="251" t="s">
        <v>4745</v>
      </c>
      <c r="BL1780" s="251" t="s">
        <v>368</v>
      </c>
    </row>
    <row r="1781" spans="2:64" ht="15">
      <c r="B1781" s="84"/>
      <c r="D1781" s="84"/>
      <c r="E1781" s="84"/>
      <c r="F1781" s="84"/>
      <c r="G1781" s="84"/>
      <c r="R1781" s="251"/>
      <c r="S1781" s="251"/>
      <c r="BD1781" s="399">
        <v>1778</v>
      </c>
      <c r="BE1781" s="399" t="s">
        <v>2534</v>
      </c>
      <c r="BF1781" s="251" t="s">
        <v>4746</v>
      </c>
      <c r="BG1781" s="399" t="s">
        <v>363</v>
      </c>
      <c r="BH1781" s="252" t="s">
        <v>575</v>
      </c>
      <c r="BI1781" s="251" t="s">
        <v>334</v>
      </c>
      <c r="BJ1781" s="251" t="s">
        <v>397</v>
      </c>
      <c r="BK1781" s="251" t="s">
        <v>4747</v>
      </c>
      <c r="BL1781" s="251" t="s">
        <v>368</v>
      </c>
    </row>
    <row r="1782" spans="2:64" ht="15">
      <c r="B1782" s="84"/>
      <c r="D1782" s="84"/>
      <c r="E1782" s="84"/>
      <c r="F1782" s="84"/>
      <c r="G1782" s="84"/>
      <c r="R1782" s="251"/>
      <c r="S1782" s="251"/>
      <c r="BD1782" s="399">
        <v>1779</v>
      </c>
      <c r="BE1782" s="399" t="s">
        <v>4748</v>
      </c>
      <c r="BF1782" s="251" t="s">
        <v>4749</v>
      </c>
      <c r="BG1782" s="399" t="s">
        <v>405</v>
      </c>
      <c r="BH1782" s="252" t="s">
        <v>528</v>
      </c>
      <c r="BI1782" s="251" t="s">
        <v>365</v>
      </c>
      <c r="BJ1782" s="251" t="s">
        <v>380</v>
      </c>
      <c r="BK1782" s="251" t="s">
        <v>4750</v>
      </c>
      <c r="BL1782" s="251" t="s">
        <v>409</v>
      </c>
    </row>
    <row r="1783" spans="2:64" ht="15">
      <c r="B1783" s="84"/>
      <c r="D1783" s="84"/>
      <c r="E1783" s="84"/>
      <c r="F1783" s="84"/>
      <c r="G1783" s="84"/>
      <c r="R1783" s="251"/>
      <c r="S1783" s="251"/>
      <c r="BD1783" s="399">
        <v>1780</v>
      </c>
      <c r="BE1783" s="399" t="s">
        <v>4751</v>
      </c>
      <c r="BF1783" s="251" t="s">
        <v>4752</v>
      </c>
      <c r="BG1783" s="399" t="s">
        <v>435</v>
      </c>
      <c r="BH1783" s="252" t="s">
        <v>436</v>
      </c>
      <c r="BI1783" s="251" t="s">
        <v>445</v>
      </c>
      <c r="BJ1783" s="251" t="s">
        <v>366</v>
      </c>
      <c r="BK1783" s="251" t="s">
        <v>4753</v>
      </c>
      <c r="BL1783" s="251" t="s">
        <v>439</v>
      </c>
    </row>
    <row r="1784" spans="2:64" ht="15">
      <c r="B1784" s="84"/>
      <c r="D1784" s="84"/>
      <c r="E1784" s="84"/>
      <c r="F1784" s="84"/>
      <c r="G1784" s="84"/>
      <c r="R1784" s="251"/>
      <c r="S1784" s="251"/>
      <c r="BD1784" s="399">
        <v>1781</v>
      </c>
      <c r="BE1784" s="399" t="s">
        <v>2691</v>
      </c>
      <c r="BF1784" s="251" t="s">
        <v>4754</v>
      </c>
      <c r="BG1784" s="399" t="s">
        <v>435</v>
      </c>
      <c r="BH1784" s="252" t="s">
        <v>436</v>
      </c>
      <c r="BI1784" s="251" t="s">
        <v>491</v>
      </c>
      <c r="BJ1784" s="251" t="s">
        <v>407</v>
      </c>
      <c r="BK1784" s="251" t="s">
        <v>2692</v>
      </c>
      <c r="BL1784" s="251" t="s">
        <v>439</v>
      </c>
    </row>
    <row r="1785" spans="2:64" ht="15">
      <c r="B1785" s="84"/>
      <c r="D1785" s="84"/>
      <c r="E1785" s="84"/>
      <c r="F1785" s="84"/>
      <c r="G1785" s="84"/>
      <c r="R1785" s="251"/>
      <c r="S1785" s="251"/>
      <c r="BD1785" s="399">
        <v>1782</v>
      </c>
      <c r="BE1785" s="399" t="s">
        <v>2094</v>
      </c>
      <c r="BF1785" s="251" t="s">
        <v>4755</v>
      </c>
      <c r="BG1785" s="399" t="s">
        <v>363</v>
      </c>
      <c r="BH1785" s="252" t="s">
        <v>364</v>
      </c>
      <c r="BI1785" s="251" t="s">
        <v>563</v>
      </c>
      <c r="BJ1785" s="251" t="s">
        <v>385</v>
      </c>
      <c r="BK1785" s="251" t="s">
        <v>4756</v>
      </c>
      <c r="BL1785" s="251" t="s">
        <v>368</v>
      </c>
    </row>
    <row r="1786" spans="2:64" ht="15">
      <c r="B1786" s="84"/>
      <c r="D1786" s="84"/>
      <c r="E1786" s="84"/>
      <c r="F1786" s="84"/>
      <c r="G1786" s="84"/>
      <c r="R1786" s="251"/>
      <c r="S1786" s="251"/>
      <c r="BD1786" s="399">
        <v>1783</v>
      </c>
      <c r="BE1786" s="399" t="s">
        <v>4757</v>
      </c>
      <c r="BF1786" s="251" t="s">
        <v>4758</v>
      </c>
      <c r="BG1786" s="399" t="s">
        <v>349</v>
      </c>
      <c r="BH1786" s="252">
        <v>17</v>
      </c>
      <c r="BI1786" s="251" t="s">
        <v>615</v>
      </c>
      <c r="BJ1786" s="251" t="s">
        <v>539</v>
      </c>
      <c r="BK1786" s="251" t="s">
        <v>4759</v>
      </c>
      <c r="BL1786" s="251" t="s">
        <v>353</v>
      </c>
    </row>
    <row r="1787" spans="2:64" ht="15">
      <c r="B1787" s="84"/>
      <c r="D1787" s="84"/>
      <c r="E1787" s="84"/>
      <c r="F1787" s="84"/>
      <c r="G1787" s="84"/>
      <c r="R1787" s="251"/>
      <c r="S1787" s="251"/>
      <c r="BD1787" s="399">
        <v>1784</v>
      </c>
      <c r="BE1787" s="399" t="s">
        <v>4760</v>
      </c>
      <c r="BF1787" s="251" t="s">
        <v>4761</v>
      </c>
      <c r="BG1787" s="399" t="s">
        <v>549</v>
      </c>
      <c r="BH1787" s="252">
        <v>41</v>
      </c>
      <c r="BI1787" s="251" t="s">
        <v>450</v>
      </c>
      <c r="BJ1787" s="251" t="s">
        <v>351</v>
      </c>
      <c r="BK1787" s="251" t="s">
        <v>4762</v>
      </c>
      <c r="BL1787" s="251" t="s">
        <v>551</v>
      </c>
    </row>
    <row r="1788" spans="2:64" ht="15">
      <c r="B1788" s="84"/>
      <c r="D1788" s="84"/>
      <c r="E1788" s="84"/>
      <c r="F1788" s="84"/>
      <c r="G1788" s="84"/>
      <c r="R1788" s="251"/>
      <c r="S1788" s="251"/>
      <c r="BD1788" s="399">
        <v>1785</v>
      </c>
      <c r="BE1788" s="399" t="s">
        <v>4763</v>
      </c>
      <c r="BF1788" s="251" t="s">
        <v>4764</v>
      </c>
      <c r="BG1788" s="399" t="s">
        <v>519</v>
      </c>
      <c r="BH1788" s="252">
        <v>30</v>
      </c>
      <c r="BI1788" s="251" t="s">
        <v>365</v>
      </c>
      <c r="BJ1788" s="251" t="s">
        <v>385</v>
      </c>
      <c r="BK1788" s="251" t="s">
        <v>4765</v>
      </c>
      <c r="BL1788" s="251" t="s">
        <v>521</v>
      </c>
    </row>
    <row r="1789" spans="2:64" ht="15">
      <c r="B1789" s="84"/>
      <c r="D1789" s="84"/>
      <c r="E1789" s="84"/>
      <c r="F1789" s="84"/>
      <c r="G1789" s="84"/>
      <c r="R1789" s="251"/>
      <c r="S1789" s="251"/>
      <c r="BD1789" s="399">
        <v>1786</v>
      </c>
      <c r="BE1789" s="399" t="s">
        <v>4766</v>
      </c>
      <c r="BF1789" s="251" t="s">
        <v>4767</v>
      </c>
      <c r="BG1789" s="399" t="s">
        <v>435</v>
      </c>
      <c r="BH1789" s="252" t="s">
        <v>436</v>
      </c>
      <c r="BI1789" s="251" t="s">
        <v>728</v>
      </c>
      <c r="BJ1789" s="251" t="s">
        <v>397</v>
      </c>
      <c r="BK1789" s="251" t="s">
        <v>4768</v>
      </c>
      <c r="BL1789" s="251" t="s">
        <v>439</v>
      </c>
    </row>
    <row r="1790" spans="2:64" ht="15">
      <c r="B1790" s="84"/>
      <c r="D1790" s="84"/>
      <c r="E1790" s="84"/>
      <c r="F1790" s="84"/>
      <c r="G1790" s="84"/>
      <c r="R1790" s="251"/>
      <c r="S1790" s="251"/>
      <c r="BD1790" s="399">
        <v>1787</v>
      </c>
      <c r="BE1790" s="399" t="s">
        <v>4769</v>
      </c>
      <c r="BF1790" s="251" t="s">
        <v>4770</v>
      </c>
      <c r="BG1790" s="399" t="s">
        <v>356</v>
      </c>
      <c r="BH1790" s="252">
        <v>18</v>
      </c>
      <c r="BI1790" s="251" t="s">
        <v>740</v>
      </c>
      <c r="BJ1790" s="251" t="s">
        <v>413</v>
      </c>
      <c r="BK1790" s="251" t="s">
        <v>4771</v>
      </c>
      <c r="BL1790" s="251" t="s">
        <v>360</v>
      </c>
    </row>
    <row r="1791" spans="2:64" ht="15">
      <c r="B1791" s="84"/>
      <c r="D1791" s="84"/>
      <c r="E1791" s="84"/>
      <c r="F1791" s="84"/>
      <c r="G1791" s="84"/>
      <c r="R1791" s="251"/>
      <c r="S1791" s="251"/>
      <c r="BD1791" s="399">
        <v>1788</v>
      </c>
      <c r="BE1791" s="399" t="s">
        <v>4772</v>
      </c>
      <c r="BF1791" s="251" t="s">
        <v>4773</v>
      </c>
      <c r="BG1791" s="399" t="s">
        <v>435</v>
      </c>
      <c r="BH1791" s="252" t="s">
        <v>436</v>
      </c>
      <c r="BI1791" s="251" t="s">
        <v>563</v>
      </c>
      <c r="BJ1791" s="251" t="s">
        <v>390</v>
      </c>
      <c r="BK1791" s="251" t="s">
        <v>4774</v>
      </c>
      <c r="BL1791" s="251" t="s">
        <v>439</v>
      </c>
    </row>
    <row r="1792" spans="2:64" ht="15">
      <c r="B1792" s="84"/>
      <c r="D1792" s="84"/>
      <c r="E1792" s="84"/>
      <c r="F1792" s="84"/>
      <c r="G1792" s="84"/>
      <c r="R1792" s="251"/>
      <c r="S1792" s="251"/>
      <c r="BD1792" s="399">
        <v>1789</v>
      </c>
      <c r="BE1792" s="399" t="s">
        <v>4775</v>
      </c>
      <c r="BF1792" s="251" t="s">
        <v>4776</v>
      </c>
      <c r="BG1792" s="399" t="s">
        <v>469</v>
      </c>
      <c r="BH1792" s="252" t="s">
        <v>470</v>
      </c>
      <c r="BI1792" s="251" t="s">
        <v>390</v>
      </c>
      <c r="BJ1792" s="251" t="s">
        <v>366</v>
      </c>
      <c r="BK1792" s="251" t="s">
        <v>4777</v>
      </c>
      <c r="BL1792" s="251" t="s">
        <v>472</v>
      </c>
    </row>
    <row r="1793" spans="2:64" ht="15">
      <c r="B1793" s="84"/>
      <c r="D1793" s="84"/>
      <c r="E1793" s="84"/>
      <c r="F1793" s="84"/>
      <c r="G1793" s="84"/>
      <c r="R1793" s="251"/>
      <c r="S1793" s="251"/>
      <c r="BD1793" s="399">
        <v>1790</v>
      </c>
      <c r="BE1793" s="399" t="s">
        <v>4778</v>
      </c>
      <c r="BF1793" s="251" t="s">
        <v>4779</v>
      </c>
      <c r="BG1793" s="399" t="s">
        <v>371</v>
      </c>
      <c r="BH1793" s="252">
        <v>28</v>
      </c>
      <c r="BI1793" s="251" t="s">
        <v>332</v>
      </c>
      <c r="BJ1793" s="251" t="s">
        <v>366</v>
      </c>
      <c r="BK1793" s="251" t="s">
        <v>4780</v>
      </c>
      <c r="BL1793" s="251" t="s">
        <v>375</v>
      </c>
    </row>
    <row r="1794" spans="2:64" ht="15">
      <c r="B1794" s="84"/>
      <c r="D1794" s="84"/>
      <c r="E1794" s="84"/>
      <c r="F1794" s="84"/>
      <c r="G1794" s="84"/>
      <c r="R1794" s="251"/>
      <c r="S1794" s="251"/>
      <c r="BD1794" s="399">
        <v>1791</v>
      </c>
      <c r="BE1794" s="399" t="s">
        <v>4781</v>
      </c>
      <c r="BF1794" s="251" t="s">
        <v>4782</v>
      </c>
      <c r="BG1794" s="399" t="s">
        <v>614</v>
      </c>
      <c r="BH1794" s="252">
        <v>38</v>
      </c>
      <c r="BI1794" s="251" t="s">
        <v>365</v>
      </c>
      <c r="BJ1794" s="251" t="s">
        <v>380</v>
      </c>
      <c r="BK1794" s="251" t="s">
        <v>4783</v>
      </c>
      <c r="BL1794" s="251" t="s">
        <v>617</v>
      </c>
    </row>
    <row r="1795" spans="2:64" ht="15">
      <c r="B1795" s="84"/>
      <c r="D1795" s="84"/>
      <c r="E1795" s="84"/>
      <c r="F1795" s="84"/>
      <c r="G1795" s="84"/>
      <c r="R1795" s="251"/>
      <c r="S1795" s="251"/>
      <c r="BD1795" s="399">
        <v>1792</v>
      </c>
      <c r="BE1795" s="399" t="s">
        <v>4784</v>
      </c>
      <c r="BF1795" s="251" t="s">
        <v>4785</v>
      </c>
      <c r="BG1795" s="399" t="s">
        <v>489</v>
      </c>
      <c r="BH1795" s="252" t="s">
        <v>490</v>
      </c>
      <c r="BI1795" s="251" t="s">
        <v>450</v>
      </c>
      <c r="BJ1795" s="251" t="s">
        <v>351</v>
      </c>
      <c r="BK1795" s="251" t="s">
        <v>4786</v>
      </c>
      <c r="BL1795" s="251" t="s">
        <v>493</v>
      </c>
    </row>
    <row r="1796" spans="2:64" ht="15">
      <c r="B1796" s="84"/>
      <c r="D1796" s="84"/>
      <c r="E1796" s="84"/>
      <c r="F1796" s="84"/>
      <c r="G1796" s="84"/>
      <c r="R1796" s="251"/>
      <c r="S1796" s="251"/>
      <c r="BD1796" s="399">
        <v>1793</v>
      </c>
      <c r="BE1796" s="399" t="s">
        <v>4787</v>
      </c>
      <c r="BF1796" s="251" t="s">
        <v>4788</v>
      </c>
      <c r="BG1796" s="399" t="s">
        <v>469</v>
      </c>
      <c r="BH1796" s="252" t="s">
        <v>470</v>
      </c>
      <c r="BI1796" s="251" t="s">
        <v>445</v>
      </c>
      <c r="BJ1796" s="251" t="s">
        <v>385</v>
      </c>
      <c r="BK1796" s="251" t="s">
        <v>4789</v>
      </c>
      <c r="BL1796" s="251" t="s">
        <v>472</v>
      </c>
    </row>
    <row r="1797" spans="2:64" ht="15">
      <c r="B1797" s="84"/>
      <c r="D1797" s="84"/>
      <c r="E1797" s="84"/>
      <c r="F1797" s="84"/>
      <c r="G1797" s="84"/>
      <c r="R1797" s="251"/>
      <c r="S1797" s="251"/>
      <c r="BD1797" s="399">
        <v>1794</v>
      </c>
      <c r="BE1797" s="399" t="s">
        <v>4790</v>
      </c>
      <c r="BF1797" s="251" t="s">
        <v>4791</v>
      </c>
      <c r="BG1797" s="399" t="s">
        <v>469</v>
      </c>
      <c r="BH1797" s="252" t="s">
        <v>470</v>
      </c>
      <c r="BI1797" s="251" t="s">
        <v>579</v>
      </c>
      <c r="BJ1797" s="251" t="s">
        <v>366</v>
      </c>
      <c r="BK1797" s="251" t="s">
        <v>4792</v>
      </c>
      <c r="BL1797" s="251" t="s">
        <v>472</v>
      </c>
    </row>
    <row r="1798" spans="2:64" ht="15">
      <c r="B1798" s="84"/>
      <c r="D1798" s="84"/>
      <c r="E1798" s="84"/>
      <c r="F1798" s="84"/>
      <c r="G1798" s="84"/>
      <c r="R1798" s="251"/>
      <c r="S1798" s="251"/>
      <c r="BD1798" s="399">
        <v>1795</v>
      </c>
      <c r="BE1798" s="399" t="s">
        <v>4793</v>
      </c>
      <c r="BF1798" s="251" t="s">
        <v>4794</v>
      </c>
      <c r="BG1798" s="399" t="s">
        <v>739</v>
      </c>
      <c r="BH1798" s="252">
        <v>45</v>
      </c>
      <c r="BI1798" s="251" t="s">
        <v>350</v>
      </c>
      <c r="BJ1798" s="251" t="s">
        <v>380</v>
      </c>
      <c r="BK1798" s="251" t="s">
        <v>4795</v>
      </c>
      <c r="BL1798" s="251" t="s">
        <v>742</v>
      </c>
    </row>
    <row r="1799" spans="2:64" ht="15">
      <c r="B1799" s="84"/>
      <c r="D1799" s="84"/>
      <c r="E1799" s="84"/>
      <c r="F1799" s="84"/>
      <c r="G1799" s="84"/>
      <c r="R1799" s="251"/>
      <c r="S1799" s="251"/>
      <c r="BD1799" s="399">
        <v>1796</v>
      </c>
      <c r="BE1799" s="399" t="s">
        <v>4796</v>
      </c>
      <c r="BF1799" s="251" t="s">
        <v>4797</v>
      </c>
      <c r="BG1799" s="399" t="s">
        <v>566</v>
      </c>
      <c r="BH1799" s="252" t="s">
        <v>1004</v>
      </c>
      <c r="BI1799" s="251" t="s">
        <v>728</v>
      </c>
      <c r="BJ1799" s="251" t="s">
        <v>380</v>
      </c>
      <c r="BK1799" s="251" t="s">
        <v>4798</v>
      </c>
      <c r="BL1799" s="251" t="s">
        <v>569</v>
      </c>
    </row>
    <row r="1800" spans="2:64" ht="15">
      <c r="B1800" s="84"/>
      <c r="D1800" s="84"/>
      <c r="E1800" s="84"/>
      <c r="F1800" s="84"/>
      <c r="G1800" s="84"/>
      <c r="R1800" s="251"/>
      <c r="S1800" s="251"/>
      <c r="BD1800" s="399">
        <v>1797</v>
      </c>
      <c r="BE1800" s="399" t="s">
        <v>4799</v>
      </c>
      <c r="BF1800" s="251" t="s">
        <v>4800</v>
      </c>
      <c r="BG1800" s="399" t="s">
        <v>590</v>
      </c>
      <c r="BH1800" s="252">
        <v>44</v>
      </c>
      <c r="BI1800" s="251" t="s">
        <v>379</v>
      </c>
      <c r="BJ1800" s="251" t="s">
        <v>366</v>
      </c>
      <c r="BK1800" s="251" t="s">
        <v>4801</v>
      </c>
      <c r="BL1800" s="251" t="s">
        <v>592</v>
      </c>
    </row>
    <row r="1801" spans="2:64" ht="15">
      <c r="B1801" s="84"/>
      <c r="D1801" s="84"/>
      <c r="E1801" s="84"/>
      <c r="F1801" s="84"/>
      <c r="G1801" s="84"/>
      <c r="R1801" s="251"/>
      <c r="S1801" s="251"/>
      <c r="BD1801" s="399">
        <v>1798</v>
      </c>
      <c r="BE1801" s="399" t="s">
        <v>4802</v>
      </c>
      <c r="BF1801" s="251" t="s">
        <v>4803</v>
      </c>
      <c r="BG1801" s="399" t="s">
        <v>549</v>
      </c>
      <c r="BH1801" s="252">
        <v>41</v>
      </c>
      <c r="BI1801" s="251" t="s">
        <v>740</v>
      </c>
      <c r="BJ1801" s="251" t="s">
        <v>351</v>
      </c>
      <c r="BK1801" s="251" t="s">
        <v>4804</v>
      </c>
      <c r="BL1801" s="251" t="s">
        <v>551</v>
      </c>
    </row>
    <row r="1802" spans="2:64" ht="15">
      <c r="B1802" s="84"/>
      <c r="D1802" s="84"/>
      <c r="E1802" s="84"/>
      <c r="F1802" s="84"/>
      <c r="G1802" s="84"/>
      <c r="R1802" s="251"/>
      <c r="S1802" s="251"/>
      <c r="BD1802" s="399">
        <v>1799</v>
      </c>
      <c r="BE1802" s="399" t="s">
        <v>4805</v>
      </c>
      <c r="BF1802" s="251" t="s">
        <v>4806</v>
      </c>
      <c r="BG1802" s="399">
        <v>51</v>
      </c>
      <c r="BH1802" s="252">
        <v>51</v>
      </c>
      <c r="BI1802" s="251" t="s">
        <v>728</v>
      </c>
      <c r="BJ1802" s="251" t="s">
        <v>366</v>
      </c>
      <c r="BK1802" s="251" t="s">
        <v>4807</v>
      </c>
      <c r="BL1802" s="251" t="s">
        <v>730</v>
      </c>
    </row>
    <row r="1803" spans="2:64" ht="15">
      <c r="B1803" s="84"/>
      <c r="D1803" s="84"/>
      <c r="E1803" s="84"/>
      <c r="F1803" s="84"/>
      <c r="G1803" s="84"/>
      <c r="R1803" s="251"/>
      <c r="S1803" s="251"/>
      <c r="BD1803" s="399">
        <v>1800</v>
      </c>
      <c r="BE1803" s="399" t="s">
        <v>4808</v>
      </c>
      <c r="BF1803" s="251" t="s">
        <v>4809</v>
      </c>
      <c r="BG1803" s="399">
        <v>53</v>
      </c>
      <c r="BH1803" s="252">
        <v>53</v>
      </c>
      <c r="BI1803" s="251" t="s">
        <v>413</v>
      </c>
      <c r="BJ1803" s="251" t="s">
        <v>351</v>
      </c>
      <c r="BK1803" s="251" t="s">
        <v>4810</v>
      </c>
      <c r="BL1803" s="251" t="s">
        <v>3323</v>
      </c>
    </row>
    <row r="1804" spans="2:64" ht="15">
      <c r="B1804" s="84"/>
      <c r="D1804" s="84"/>
      <c r="E1804" s="84"/>
      <c r="F1804" s="84"/>
      <c r="G1804" s="84"/>
      <c r="R1804" s="251"/>
      <c r="S1804" s="251"/>
      <c r="BD1804" s="399">
        <v>1801</v>
      </c>
      <c r="BE1804" s="399" t="s">
        <v>4811</v>
      </c>
      <c r="BF1804" s="251" t="s">
        <v>4812</v>
      </c>
      <c r="BG1804" s="399" t="s">
        <v>356</v>
      </c>
      <c r="BH1804" s="252">
        <v>18</v>
      </c>
      <c r="BI1804" s="251" t="s">
        <v>450</v>
      </c>
      <c r="BJ1804" s="251" t="s">
        <v>380</v>
      </c>
      <c r="BK1804" s="251" t="s">
        <v>4813</v>
      </c>
      <c r="BL1804" s="251" t="s">
        <v>360</v>
      </c>
    </row>
    <row r="1805" spans="2:64" ht="15">
      <c r="B1805" s="84"/>
      <c r="D1805" s="84"/>
      <c r="E1805" s="84"/>
      <c r="F1805" s="84"/>
      <c r="G1805" s="84"/>
      <c r="R1805" s="251"/>
      <c r="S1805" s="251"/>
      <c r="BD1805" s="399">
        <v>1802</v>
      </c>
      <c r="BE1805" s="399" t="s">
        <v>4814</v>
      </c>
      <c r="BF1805" s="251" t="s">
        <v>4815</v>
      </c>
      <c r="BG1805" s="399" t="s">
        <v>378</v>
      </c>
      <c r="BH1805" s="252">
        <v>11</v>
      </c>
      <c r="BI1805" s="251" t="s">
        <v>332</v>
      </c>
      <c r="BJ1805" s="251" t="s">
        <v>380</v>
      </c>
      <c r="BK1805" s="251" t="s">
        <v>4816</v>
      </c>
      <c r="BL1805" s="251" t="s">
        <v>382</v>
      </c>
    </row>
    <row r="1806" spans="2:64" ht="15">
      <c r="B1806" s="84"/>
      <c r="D1806" s="84"/>
      <c r="E1806" s="84"/>
      <c r="F1806" s="84"/>
      <c r="G1806" s="84"/>
      <c r="R1806" s="251"/>
      <c r="S1806" s="251"/>
      <c r="BD1806" s="399">
        <v>1803</v>
      </c>
      <c r="BE1806" s="399" t="s">
        <v>4817</v>
      </c>
      <c r="BF1806" s="251" t="s">
        <v>4818</v>
      </c>
      <c r="BG1806" s="399" t="s">
        <v>405</v>
      </c>
      <c r="BH1806" s="252" t="s">
        <v>1241</v>
      </c>
      <c r="BI1806" s="251" t="s">
        <v>333</v>
      </c>
      <c r="BJ1806" s="251" t="s">
        <v>380</v>
      </c>
      <c r="BK1806" s="251" t="s">
        <v>4819</v>
      </c>
      <c r="BL1806" s="251" t="s">
        <v>409</v>
      </c>
    </row>
    <row r="1807" spans="2:64" ht="15">
      <c r="B1807" s="84"/>
      <c r="D1807" s="84"/>
      <c r="E1807" s="84"/>
      <c r="F1807" s="84"/>
      <c r="G1807" s="84"/>
      <c r="R1807" s="251"/>
      <c r="S1807" s="251"/>
      <c r="BD1807" s="399">
        <v>1804</v>
      </c>
      <c r="BE1807" s="399" t="s">
        <v>4820</v>
      </c>
      <c r="BF1807" s="251" t="s">
        <v>4821</v>
      </c>
      <c r="BG1807" s="399" t="s">
        <v>395</v>
      </c>
      <c r="BH1807" s="252">
        <v>16</v>
      </c>
      <c r="BI1807" s="251" t="s">
        <v>477</v>
      </c>
      <c r="BJ1807" s="251" t="s">
        <v>397</v>
      </c>
      <c r="BK1807" s="251" t="s">
        <v>4822</v>
      </c>
      <c r="BL1807" s="251" t="s">
        <v>399</v>
      </c>
    </row>
    <row r="1808" spans="2:64" ht="15">
      <c r="B1808" s="84"/>
      <c r="D1808" s="84"/>
      <c r="E1808" s="84"/>
      <c r="F1808" s="84"/>
      <c r="G1808" s="84"/>
      <c r="R1808" s="251"/>
      <c r="S1808" s="251"/>
      <c r="BD1808" s="399">
        <v>1805</v>
      </c>
      <c r="BE1808" s="399" t="s">
        <v>1884</v>
      </c>
      <c r="BF1808" s="251" t="s">
        <v>4823</v>
      </c>
      <c r="BG1808" s="399" t="s">
        <v>475</v>
      </c>
      <c r="BH1808" s="252" t="s">
        <v>534</v>
      </c>
      <c r="BI1808" s="251" t="s">
        <v>465</v>
      </c>
      <c r="BJ1808" s="251" t="s">
        <v>413</v>
      </c>
      <c r="BK1808" s="251" t="s">
        <v>4824</v>
      </c>
      <c r="BL1808" s="251" t="s">
        <v>479</v>
      </c>
    </row>
    <row r="1809" spans="2:64" ht="15">
      <c r="B1809" s="84"/>
      <c r="D1809" s="84"/>
      <c r="E1809" s="84"/>
      <c r="F1809" s="84"/>
      <c r="G1809" s="84"/>
      <c r="R1809" s="251"/>
      <c r="S1809" s="251"/>
      <c r="BD1809" s="399">
        <v>1806</v>
      </c>
      <c r="BE1809" s="399" t="s">
        <v>4825</v>
      </c>
      <c r="BF1809" s="251" t="s">
        <v>4826</v>
      </c>
      <c r="BG1809" s="399" t="s">
        <v>549</v>
      </c>
      <c r="BH1809" s="252">
        <v>41</v>
      </c>
      <c r="BI1809" s="251" t="s">
        <v>450</v>
      </c>
      <c r="BJ1809" s="251" t="s">
        <v>380</v>
      </c>
      <c r="BK1809" s="251" t="s">
        <v>4827</v>
      </c>
      <c r="BL1809" s="251" t="s">
        <v>551</v>
      </c>
    </row>
    <row r="1810" spans="2:64" ht="15">
      <c r="B1810" s="84"/>
      <c r="D1810" s="84"/>
      <c r="E1810" s="84"/>
      <c r="F1810" s="84"/>
      <c r="G1810" s="84"/>
      <c r="R1810" s="251"/>
      <c r="S1810" s="251"/>
      <c r="BD1810" s="399">
        <v>1807</v>
      </c>
      <c r="BE1810" s="399" t="s">
        <v>4828</v>
      </c>
      <c r="BF1810" s="251" t="s">
        <v>4829</v>
      </c>
      <c r="BG1810" s="399" t="s">
        <v>363</v>
      </c>
      <c r="BH1810" s="252" t="s">
        <v>364</v>
      </c>
      <c r="BI1810" s="251" t="s">
        <v>331</v>
      </c>
      <c r="BJ1810" s="251" t="s">
        <v>366</v>
      </c>
      <c r="BK1810" s="251" t="s">
        <v>4830</v>
      </c>
      <c r="BL1810" s="251" t="s">
        <v>368</v>
      </c>
    </row>
    <row r="1811" spans="2:64" ht="15">
      <c r="B1811" s="84"/>
      <c r="D1811" s="84"/>
      <c r="E1811" s="84"/>
      <c r="F1811" s="84"/>
      <c r="G1811" s="84"/>
      <c r="R1811" s="251"/>
      <c r="S1811" s="251"/>
      <c r="BD1811" s="399">
        <v>1808</v>
      </c>
      <c r="BE1811" s="399" t="s">
        <v>4831</v>
      </c>
      <c r="BF1811" s="251" t="s">
        <v>4832</v>
      </c>
      <c r="BG1811" s="399" t="s">
        <v>435</v>
      </c>
      <c r="BH1811" s="252" t="s">
        <v>436</v>
      </c>
      <c r="BI1811" s="251" t="s">
        <v>334</v>
      </c>
      <c r="BJ1811" s="251" t="s">
        <v>351</v>
      </c>
      <c r="BK1811" s="251" t="s">
        <v>4833</v>
      </c>
      <c r="BL1811" s="251" t="s">
        <v>439</v>
      </c>
    </row>
    <row r="1812" spans="2:64" ht="15">
      <c r="B1812" s="84"/>
      <c r="D1812" s="84"/>
      <c r="E1812" s="84"/>
      <c r="F1812" s="84"/>
      <c r="G1812" s="84"/>
      <c r="R1812" s="251"/>
      <c r="S1812" s="251"/>
      <c r="BD1812" s="399">
        <v>1809</v>
      </c>
      <c r="BE1812" s="399" t="s">
        <v>4834</v>
      </c>
      <c r="BF1812" s="251" t="s">
        <v>4835</v>
      </c>
      <c r="BG1812" s="399" t="s">
        <v>378</v>
      </c>
      <c r="BH1812" s="252">
        <v>11</v>
      </c>
      <c r="BI1812" s="251" t="s">
        <v>465</v>
      </c>
      <c r="BJ1812" s="251" t="s">
        <v>413</v>
      </c>
      <c r="BK1812" s="251" t="s">
        <v>4836</v>
      </c>
      <c r="BL1812" s="251" t="s">
        <v>382</v>
      </c>
    </row>
    <row r="1813" spans="2:64" ht="15">
      <c r="B1813" s="84"/>
      <c r="D1813" s="84"/>
      <c r="E1813" s="84"/>
      <c r="F1813" s="84"/>
      <c r="G1813" s="84"/>
      <c r="R1813" s="251"/>
      <c r="S1813" s="251"/>
      <c r="BD1813" s="399">
        <v>1810</v>
      </c>
      <c r="BE1813" s="399" t="s">
        <v>4837</v>
      </c>
      <c r="BF1813" s="251" t="s">
        <v>4838</v>
      </c>
      <c r="BG1813" s="399" t="s">
        <v>371</v>
      </c>
      <c r="BH1813" s="252">
        <v>28</v>
      </c>
      <c r="BI1813" s="251" t="s">
        <v>615</v>
      </c>
      <c r="BJ1813" s="251" t="s">
        <v>380</v>
      </c>
      <c r="BK1813" s="251" t="s">
        <v>4839</v>
      </c>
      <c r="BL1813" s="251" t="s">
        <v>375</v>
      </c>
    </row>
    <row r="1814" spans="2:64" ht="15">
      <c r="B1814" s="84"/>
      <c r="D1814" s="84"/>
      <c r="E1814" s="84"/>
      <c r="F1814" s="84"/>
      <c r="G1814" s="84"/>
      <c r="R1814" s="251"/>
      <c r="S1814" s="251"/>
      <c r="BD1814" s="399">
        <v>1811</v>
      </c>
      <c r="BE1814" s="399" t="s">
        <v>4840</v>
      </c>
      <c r="BF1814" s="251" t="s">
        <v>4841</v>
      </c>
      <c r="BG1814" s="399" t="s">
        <v>469</v>
      </c>
      <c r="BH1814" s="252" t="s">
        <v>662</v>
      </c>
      <c r="BI1814" s="251" t="s">
        <v>332</v>
      </c>
      <c r="BJ1814" s="251" t="s">
        <v>397</v>
      </c>
      <c r="BK1814" s="251" t="s">
        <v>4842</v>
      </c>
      <c r="BL1814" s="251" t="s">
        <v>472</v>
      </c>
    </row>
    <row r="1815" spans="2:64" ht="15">
      <c r="B1815" s="84"/>
      <c r="D1815" s="84"/>
      <c r="E1815" s="84"/>
      <c r="F1815" s="84"/>
      <c r="G1815" s="84"/>
      <c r="R1815" s="251"/>
      <c r="S1815" s="251"/>
      <c r="BD1815" s="399">
        <v>1812</v>
      </c>
      <c r="BE1815" s="399" t="s">
        <v>4843</v>
      </c>
      <c r="BF1815" s="251" t="s">
        <v>4844</v>
      </c>
      <c r="BG1815" s="399" t="s">
        <v>423</v>
      </c>
      <c r="BH1815" s="252" t="s">
        <v>424</v>
      </c>
      <c r="BI1815" s="251" t="s">
        <v>728</v>
      </c>
      <c r="BJ1815" s="251" t="s">
        <v>539</v>
      </c>
      <c r="BK1815" s="251" t="s">
        <v>4845</v>
      </c>
      <c r="BL1815" s="251" t="s">
        <v>426</v>
      </c>
    </row>
    <row r="1816" spans="2:64" ht="15">
      <c r="B1816" s="84"/>
      <c r="D1816" s="84"/>
      <c r="E1816" s="84"/>
      <c r="F1816" s="84"/>
      <c r="G1816" s="84"/>
      <c r="R1816" s="251"/>
      <c r="S1816" s="251"/>
      <c r="BD1816" s="399">
        <v>1813</v>
      </c>
      <c r="BE1816" s="399" t="s">
        <v>4846</v>
      </c>
      <c r="BF1816" s="251" t="s">
        <v>4847</v>
      </c>
      <c r="BG1816" s="399" t="s">
        <v>435</v>
      </c>
      <c r="BH1816" s="252" t="s">
        <v>681</v>
      </c>
      <c r="BI1816" s="251" t="s">
        <v>2256</v>
      </c>
      <c r="BJ1816" s="251" t="s">
        <v>380</v>
      </c>
      <c r="BK1816" s="251" t="s">
        <v>4848</v>
      </c>
      <c r="BL1816" s="251" t="s">
        <v>439</v>
      </c>
    </row>
    <row r="1817" spans="2:64" ht="15">
      <c r="B1817" s="84"/>
      <c r="D1817" s="84"/>
      <c r="E1817" s="84"/>
      <c r="F1817" s="84"/>
      <c r="G1817" s="84"/>
      <c r="R1817" s="251"/>
      <c r="S1817" s="251"/>
      <c r="BD1817" s="399">
        <v>1814</v>
      </c>
      <c r="BE1817" s="399" t="s">
        <v>969</v>
      </c>
      <c r="BF1817" s="251" t="s">
        <v>4849</v>
      </c>
      <c r="BG1817" s="399" t="s">
        <v>363</v>
      </c>
      <c r="BH1817" s="252" t="s">
        <v>364</v>
      </c>
      <c r="BI1817" s="251" t="s">
        <v>357</v>
      </c>
      <c r="BJ1817" s="251" t="s">
        <v>539</v>
      </c>
      <c r="BK1817" s="251" t="s">
        <v>4850</v>
      </c>
      <c r="BL1817" s="251" t="s">
        <v>368</v>
      </c>
    </row>
    <row r="1818" spans="2:64" ht="15">
      <c r="B1818" s="84"/>
      <c r="D1818" s="84"/>
      <c r="E1818" s="84"/>
      <c r="F1818" s="84"/>
      <c r="G1818" s="84"/>
      <c r="R1818" s="251"/>
      <c r="S1818" s="251"/>
      <c r="BD1818" s="399">
        <v>1815</v>
      </c>
      <c r="BE1818" s="399" t="s">
        <v>4851</v>
      </c>
      <c r="BF1818" s="251" t="s">
        <v>4852</v>
      </c>
      <c r="BG1818" s="399" t="s">
        <v>371</v>
      </c>
      <c r="BH1818" s="252">
        <v>28</v>
      </c>
      <c r="BI1818" s="251" t="s">
        <v>450</v>
      </c>
      <c r="BJ1818" s="251" t="s">
        <v>351</v>
      </c>
      <c r="BK1818" s="251" t="s">
        <v>4853</v>
      </c>
      <c r="BL1818" s="251" t="s">
        <v>375</v>
      </c>
    </row>
    <row r="1819" spans="2:64" ht="15">
      <c r="B1819" s="84"/>
      <c r="D1819" s="84"/>
      <c r="E1819" s="84"/>
      <c r="F1819" s="84"/>
      <c r="G1819" s="84"/>
      <c r="R1819" s="251"/>
      <c r="S1819" s="251"/>
      <c r="BD1819" s="399">
        <v>1816</v>
      </c>
      <c r="BE1819" s="399" t="s">
        <v>4854</v>
      </c>
      <c r="BF1819" s="251" t="s">
        <v>4855</v>
      </c>
      <c r="BG1819" s="399" t="s">
        <v>519</v>
      </c>
      <c r="BH1819" s="252">
        <v>30</v>
      </c>
      <c r="BI1819" s="251" t="s">
        <v>615</v>
      </c>
      <c r="BJ1819" s="251" t="s">
        <v>385</v>
      </c>
      <c r="BK1819" s="251" t="s">
        <v>4856</v>
      </c>
      <c r="BL1819" s="251" t="s">
        <v>521</v>
      </c>
    </row>
    <row r="1820" spans="2:64" ht="15">
      <c r="B1820" s="84"/>
      <c r="D1820" s="84"/>
      <c r="E1820" s="84"/>
      <c r="F1820" s="84"/>
      <c r="G1820" s="84"/>
      <c r="R1820" s="251"/>
      <c r="S1820" s="251"/>
      <c r="BD1820" s="399">
        <v>1817</v>
      </c>
      <c r="BE1820" s="399" t="s">
        <v>4857</v>
      </c>
      <c r="BF1820" s="251" t="s">
        <v>4858</v>
      </c>
      <c r="BG1820" s="399" t="s">
        <v>455</v>
      </c>
      <c r="BH1820" s="252">
        <v>35</v>
      </c>
      <c r="BI1820" s="251" t="s">
        <v>450</v>
      </c>
      <c r="BJ1820" s="251" t="s">
        <v>397</v>
      </c>
      <c r="BK1820" s="251" t="s">
        <v>4859</v>
      </c>
      <c r="BL1820" s="251" t="s">
        <v>458</v>
      </c>
    </row>
    <row r="1821" spans="2:64" ht="15">
      <c r="B1821" s="84"/>
      <c r="D1821" s="84"/>
      <c r="E1821" s="84"/>
      <c r="F1821" s="84"/>
      <c r="G1821" s="84"/>
      <c r="R1821" s="251"/>
      <c r="S1821" s="251"/>
      <c r="BD1821" s="399">
        <v>1818</v>
      </c>
      <c r="BE1821" s="399" t="s">
        <v>4860</v>
      </c>
      <c r="BF1821" s="251" t="s">
        <v>4861</v>
      </c>
      <c r="BG1821" s="399" t="s">
        <v>469</v>
      </c>
      <c r="BH1821" s="252" t="s">
        <v>470</v>
      </c>
      <c r="BI1821" s="251" t="s">
        <v>365</v>
      </c>
      <c r="BJ1821" s="251" t="s">
        <v>539</v>
      </c>
      <c r="BK1821" s="251" t="s">
        <v>4862</v>
      </c>
      <c r="BL1821" s="251" t="s">
        <v>472</v>
      </c>
    </row>
    <row r="1822" spans="2:64" ht="15">
      <c r="B1822" s="84"/>
      <c r="D1822" s="84"/>
      <c r="E1822" s="84"/>
      <c r="F1822" s="84"/>
      <c r="G1822" s="84"/>
      <c r="R1822" s="251"/>
      <c r="S1822" s="251"/>
      <c r="BD1822" s="399">
        <v>1819</v>
      </c>
      <c r="BE1822" s="399" t="s">
        <v>4863</v>
      </c>
      <c r="BF1822" s="251" t="s">
        <v>4864</v>
      </c>
      <c r="BG1822" s="399" t="s">
        <v>469</v>
      </c>
      <c r="BH1822" s="252" t="s">
        <v>662</v>
      </c>
      <c r="BI1822" s="251" t="s">
        <v>465</v>
      </c>
      <c r="BJ1822" s="251" t="s">
        <v>413</v>
      </c>
      <c r="BK1822" s="251" t="s">
        <v>4865</v>
      </c>
      <c r="BL1822" s="251" t="s">
        <v>472</v>
      </c>
    </row>
    <row r="1823" spans="2:64" ht="15">
      <c r="B1823" s="84"/>
      <c r="D1823" s="84"/>
      <c r="E1823" s="84"/>
      <c r="F1823" s="84"/>
      <c r="G1823" s="84"/>
      <c r="R1823" s="251"/>
      <c r="S1823" s="251"/>
      <c r="BD1823" s="399">
        <v>1820</v>
      </c>
      <c r="BE1823" s="399" t="s">
        <v>2407</v>
      </c>
      <c r="BF1823" s="251" t="s">
        <v>4866</v>
      </c>
      <c r="BG1823" s="399" t="s">
        <v>405</v>
      </c>
      <c r="BH1823" s="252" t="s">
        <v>1241</v>
      </c>
      <c r="BI1823" s="251" t="s">
        <v>332</v>
      </c>
      <c r="BJ1823" s="251" t="s">
        <v>380</v>
      </c>
      <c r="BK1823" s="251" t="s">
        <v>4867</v>
      </c>
      <c r="BL1823" s="251" t="s">
        <v>409</v>
      </c>
    </row>
    <row r="1824" spans="2:64" ht="15">
      <c r="B1824" s="84"/>
      <c r="D1824" s="84"/>
      <c r="E1824" s="84"/>
      <c r="F1824" s="84"/>
      <c r="G1824" s="84"/>
      <c r="R1824" s="251"/>
      <c r="S1824" s="251"/>
      <c r="BD1824" s="399">
        <v>1821</v>
      </c>
      <c r="BE1824" s="399" t="s">
        <v>4868</v>
      </c>
      <c r="BF1824" s="251" t="s">
        <v>4869</v>
      </c>
      <c r="BG1824" s="399" t="s">
        <v>363</v>
      </c>
      <c r="BH1824" s="252" t="s">
        <v>364</v>
      </c>
      <c r="BI1824" s="251" t="s">
        <v>365</v>
      </c>
      <c r="BJ1824" s="251" t="s">
        <v>385</v>
      </c>
      <c r="BK1824" s="251" t="s">
        <v>4870</v>
      </c>
      <c r="BL1824" s="251" t="s">
        <v>368</v>
      </c>
    </row>
    <row r="1825" spans="2:64" ht="15">
      <c r="B1825" s="84"/>
      <c r="D1825" s="84"/>
      <c r="E1825" s="84"/>
      <c r="F1825" s="84"/>
      <c r="G1825" s="84"/>
      <c r="R1825" s="251"/>
      <c r="S1825" s="251"/>
      <c r="BD1825" s="399">
        <v>1822</v>
      </c>
      <c r="BE1825" s="399" t="s">
        <v>1387</v>
      </c>
      <c r="BF1825" s="251" t="s">
        <v>4871</v>
      </c>
      <c r="BG1825" s="399" t="s">
        <v>489</v>
      </c>
      <c r="BH1825" s="252" t="s">
        <v>860</v>
      </c>
      <c r="BI1825" s="251" t="s">
        <v>334</v>
      </c>
      <c r="BJ1825" s="251" t="s">
        <v>407</v>
      </c>
      <c r="BK1825" s="251" t="s">
        <v>4872</v>
      </c>
      <c r="BL1825" s="251" t="s">
        <v>493</v>
      </c>
    </row>
    <row r="1826" spans="2:64" ht="15">
      <c r="B1826" s="84"/>
      <c r="D1826" s="84"/>
      <c r="E1826" s="84"/>
      <c r="F1826" s="84"/>
      <c r="G1826" s="84"/>
      <c r="R1826" s="251"/>
      <c r="S1826" s="251"/>
      <c r="BD1826" s="399">
        <v>1823</v>
      </c>
      <c r="BE1826" s="399" t="s">
        <v>4873</v>
      </c>
      <c r="BF1826" s="251" t="s">
        <v>4874</v>
      </c>
      <c r="BG1826" s="399" t="s">
        <v>614</v>
      </c>
      <c r="BH1826" s="252">
        <v>38</v>
      </c>
      <c r="BI1826" s="251" t="s">
        <v>477</v>
      </c>
      <c r="BJ1826" s="251" t="s">
        <v>380</v>
      </c>
      <c r="BK1826" s="251" t="s">
        <v>4875</v>
      </c>
      <c r="BL1826" s="251" t="s">
        <v>617</v>
      </c>
    </row>
    <row r="1827" spans="2:64" ht="15">
      <c r="B1827" s="84"/>
      <c r="D1827" s="84"/>
      <c r="E1827" s="84"/>
      <c r="F1827" s="84"/>
      <c r="G1827" s="84"/>
      <c r="R1827" s="251"/>
      <c r="S1827" s="251"/>
      <c r="BD1827" s="399">
        <v>1824</v>
      </c>
      <c r="BE1827" s="399" t="s">
        <v>4876</v>
      </c>
      <c r="BF1827" s="251" t="s">
        <v>4877</v>
      </c>
      <c r="BG1827" s="399" t="s">
        <v>429</v>
      </c>
      <c r="BH1827" s="252" t="s">
        <v>430</v>
      </c>
      <c r="BI1827" s="251" t="s">
        <v>332</v>
      </c>
      <c r="BJ1827" s="251" t="s">
        <v>397</v>
      </c>
      <c r="BK1827" s="251" t="s">
        <v>4878</v>
      </c>
      <c r="BL1827" s="251" t="s">
        <v>432</v>
      </c>
    </row>
    <row r="1828" spans="2:64" ht="15">
      <c r="B1828" s="84"/>
      <c r="D1828" s="84"/>
      <c r="E1828" s="84"/>
      <c r="F1828" s="84"/>
      <c r="G1828" s="84"/>
      <c r="R1828" s="251"/>
      <c r="S1828" s="251"/>
      <c r="BD1828" s="399">
        <v>1825</v>
      </c>
      <c r="BE1828" s="399" t="s">
        <v>4879</v>
      </c>
      <c r="BF1828" s="251" t="s">
        <v>4880</v>
      </c>
      <c r="BG1828" s="399" t="s">
        <v>395</v>
      </c>
      <c r="BH1828" s="252">
        <v>16</v>
      </c>
      <c r="BI1828" s="251" t="s">
        <v>728</v>
      </c>
      <c r="BJ1828" s="251" t="s">
        <v>539</v>
      </c>
      <c r="BK1828" s="251" t="s">
        <v>4881</v>
      </c>
      <c r="BL1828" s="251" t="s">
        <v>399</v>
      </c>
    </row>
    <row r="1829" spans="2:64" ht="15">
      <c r="B1829" s="84"/>
      <c r="D1829" s="84"/>
      <c r="E1829" s="84"/>
      <c r="F1829" s="84"/>
      <c r="G1829" s="84"/>
      <c r="R1829" s="251"/>
      <c r="S1829" s="251"/>
      <c r="BD1829" s="399">
        <v>1826</v>
      </c>
      <c r="BE1829" s="399" t="s">
        <v>4882</v>
      </c>
      <c r="BF1829" s="251" t="s">
        <v>4883</v>
      </c>
      <c r="BG1829" s="399" t="s">
        <v>475</v>
      </c>
      <c r="BH1829" s="252" t="s">
        <v>476</v>
      </c>
      <c r="BI1829" s="251" t="s">
        <v>477</v>
      </c>
      <c r="BJ1829" s="251" t="s">
        <v>366</v>
      </c>
      <c r="BK1829" s="251" t="s">
        <v>4884</v>
      </c>
      <c r="BL1829" s="251" t="s">
        <v>479</v>
      </c>
    </row>
    <row r="1830" spans="2:64" ht="15">
      <c r="B1830" s="84"/>
      <c r="D1830" s="84"/>
      <c r="E1830" s="84"/>
      <c r="F1830" s="84"/>
      <c r="G1830" s="84"/>
      <c r="R1830" s="251"/>
      <c r="S1830" s="251"/>
      <c r="BD1830" s="399">
        <v>1827</v>
      </c>
      <c r="BE1830" s="399" t="s">
        <v>4885</v>
      </c>
      <c r="BF1830" s="251" t="s">
        <v>4886</v>
      </c>
      <c r="BG1830" s="399" t="s">
        <v>395</v>
      </c>
      <c r="BH1830" s="252">
        <v>16</v>
      </c>
      <c r="BI1830" s="251" t="s">
        <v>450</v>
      </c>
      <c r="BJ1830" s="251" t="s">
        <v>351</v>
      </c>
      <c r="BK1830" s="251" t="s">
        <v>4887</v>
      </c>
      <c r="BL1830" s="251" t="s">
        <v>399</v>
      </c>
    </row>
    <row r="1831" spans="2:64" ht="15">
      <c r="B1831" s="84"/>
      <c r="D1831" s="84"/>
      <c r="E1831" s="84"/>
      <c r="F1831" s="84"/>
      <c r="G1831" s="84"/>
      <c r="R1831" s="251"/>
      <c r="S1831" s="251"/>
      <c r="BD1831" s="399">
        <v>1828</v>
      </c>
      <c r="BE1831" s="399" t="s">
        <v>4888</v>
      </c>
      <c r="BF1831" s="251" t="s">
        <v>4889</v>
      </c>
      <c r="BG1831" s="399" t="s">
        <v>429</v>
      </c>
      <c r="BH1831" s="252" t="s">
        <v>430</v>
      </c>
      <c r="BI1831" s="251" t="s">
        <v>450</v>
      </c>
      <c r="BJ1831" s="251" t="s">
        <v>539</v>
      </c>
      <c r="BK1831" s="251" t="s">
        <v>4890</v>
      </c>
      <c r="BL1831" s="251" t="s">
        <v>432</v>
      </c>
    </row>
    <row r="1832" spans="2:64" ht="15">
      <c r="B1832" s="84"/>
      <c r="D1832" s="84"/>
      <c r="E1832" s="84"/>
      <c r="F1832" s="84"/>
      <c r="G1832" s="84"/>
      <c r="R1832" s="251"/>
      <c r="S1832" s="251"/>
      <c r="BD1832" s="399">
        <v>1829</v>
      </c>
      <c r="BE1832" s="399" t="s">
        <v>4891</v>
      </c>
      <c r="BF1832" s="251" t="s">
        <v>4892</v>
      </c>
      <c r="BG1832" s="399" t="s">
        <v>363</v>
      </c>
      <c r="BH1832" s="252" t="s">
        <v>364</v>
      </c>
      <c r="BI1832" s="251" t="s">
        <v>615</v>
      </c>
      <c r="BJ1832" s="251" t="s">
        <v>385</v>
      </c>
      <c r="BK1832" s="251" t="s">
        <v>4893</v>
      </c>
      <c r="BL1832" s="251" t="s">
        <v>368</v>
      </c>
    </row>
    <row r="1833" spans="2:64" ht="15">
      <c r="B1833" s="84"/>
      <c r="D1833" s="84"/>
      <c r="E1833" s="84"/>
      <c r="F1833" s="84"/>
      <c r="G1833" s="84"/>
      <c r="R1833" s="251"/>
      <c r="S1833" s="251"/>
      <c r="BD1833" s="399">
        <v>1830</v>
      </c>
      <c r="BE1833" s="399" t="s">
        <v>4894</v>
      </c>
      <c r="BF1833" s="251" t="s">
        <v>4895</v>
      </c>
      <c r="BG1833" s="399" t="s">
        <v>423</v>
      </c>
      <c r="BH1833" s="252" t="s">
        <v>424</v>
      </c>
      <c r="BI1833" s="251" t="s">
        <v>334</v>
      </c>
      <c r="BJ1833" s="251" t="s">
        <v>366</v>
      </c>
      <c r="BK1833" s="251" t="s">
        <v>4896</v>
      </c>
      <c r="BL1833" s="251" t="s">
        <v>426</v>
      </c>
    </row>
    <row r="1834" spans="2:64" ht="15">
      <c r="B1834" s="84"/>
      <c r="D1834" s="84"/>
      <c r="E1834" s="84"/>
      <c r="F1834" s="84"/>
      <c r="G1834" s="84"/>
      <c r="R1834" s="251"/>
      <c r="S1834" s="251"/>
      <c r="BD1834" s="399">
        <v>1831</v>
      </c>
      <c r="BE1834" s="399" t="s">
        <v>4897</v>
      </c>
      <c r="BF1834" s="251" t="s">
        <v>4898</v>
      </c>
      <c r="BG1834" s="399" t="s">
        <v>469</v>
      </c>
      <c r="BH1834" s="252" t="s">
        <v>662</v>
      </c>
      <c r="BI1834" s="251" t="s">
        <v>334</v>
      </c>
      <c r="BJ1834" s="251" t="s">
        <v>390</v>
      </c>
      <c r="BK1834" s="251" t="s">
        <v>4899</v>
      </c>
      <c r="BL1834" s="251" t="s">
        <v>472</v>
      </c>
    </row>
    <row r="1835" spans="2:64" ht="15">
      <c r="B1835" s="84"/>
      <c r="D1835" s="84"/>
      <c r="E1835" s="84"/>
      <c r="F1835" s="84"/>
      <c r="G1835" s="84"/>
      <c r="R1835" s="251"/>
      <c r="S1835" s="251"/>
      <c r="BD1835" s="399">
        <v>1832</v>
      </c>
      <c r="BE1835" s="399" t="s">
        <v>4900</v>
      </c>
      <c r="BF1835" s="251" t="s">
        <v>4901</v>
      </c>
      <c r="BG1835" s="399" t="s">
        <v>519</v>
      </c>
      <c r="BH1835" s="252">
        <v>30</v>
      </c>
      <c r="BI1835" s="251" t="s">
        <v>445</v>
      </c>
      <c r="BJ1835" s="251" t="s">
        <v>385</v>
      </c>
      <c r="BK1835" s="251" t="s">
        <v>4902</v>
      </c>
      <c r="BL1835" s="251" t="s">
        <v>521</v>
      </c>
    </row>
    <row r="1836" spans="2:64" ht="15">
      <c r="B1836" s="84"/>
      <c r="D1836" s="84"/>
      <c r="E1836" s="84"/>
      <c r="F1836" s="84"/>
      <c r="G1836" s="84"/>
      <c r="R1836" s="251"/>
      <c r="S1836" s="251"/>
      <c r="BD1836" s="399">
        <v>1833</v>
      </c>
      <c r="BE1836" s="399" t="s">
        <v>4903</v>
      </c>
      <c r="BF1836" s="251" t="s">
        <v>4904</v>
      </c>
      <c r="BG1836" s="399" t="s">
        <v>405</v>
      </c>
      <c r="BH1836" s="252" t="s">
        <v>1267</v>
      </c>
      <c r="BI1836" s="251" t="s">
        <v>379</v>
      </c>
      <c r="BJ1836" s="251" t="s">
        <v>407</v>
      </c>
      <c r="BK1836" s="251" t="s">
        <v>4905</v>
      </c>
      <c r="BL1836" s="251" t="s">
        <v>409</v>
      </c>
    </row>
    <row r="1837" spans="2:64" ht="15">
      <c r="B1837" s="84"/>
      <c r="D1837" s="84"/>
      <c r="E1837" s="84"/>
      <c r="F1837" s="84"/>
      <c r="G1837" s="84"/>
      <c r="R1837" s="251"/>
      <c r="S1837" s="251"/>
      <c r="BD1837" s="399">
        <v>1834</v>
      </c>
      <c r="BE1837" s="399" t="s">
        <v>4906</v>
      </c>
      <c r="BF1837" s="251" t="s">
        <v>4907</v>
      </c>
      <c r="BG1837" s="399" t="s">
        <v>423</v>
      </c>
      <c r="BH1837" s="252" t="s">
        <v>424</v>
      </c>
      <c r="BI1837" s="251" t="s">
        <v>535</v>
      </c>
      <c r="BJ1837" s="251" t="s">
        <v>954</v>
      </c>
      <c r="BK1837" s="251" t="s">
        <v>4908</v>
      </c>
      <c r="BL1837" s="251" t="s">
        <v>426</v>
      </c>
    </row>
    <row r="1838" spans="2:64" ht="15">
      <c r="B1838" s="84"/>
      <c r="D1838" s="84"/>
      <c r="E1838" s="84"/>
      <c r="F1838" s="84"/>
      <c r="G1838" s="84"/>
      <c r="R1838" s="251"/>
      <c r="S1838" s="251"/>
      <c r="BD1838" s="399">
        <v>1835</v>
      </c>
      <c r="BE1838" s="399" t="s">
        <v>4909</v>
      </c>
      <c r="BF1838" s="251" t="s">
        <v>4910</v>
      </c>
      <c r="BG1838" s="399" t="s">
        <v>590</v>
      </c>
      <c r="BH1838" s="252" t="s">
        <v>2031</v>
      </c>
      <c r="BI1838" s="251" t="s">
        <v>450</v>
      </c>
      <c r="BJ1838" s="251" t="s">
        <v>407</v>
      </c>
      <c r="BK1838" s="251" t="s">
        <v>4911</v>
      </c>
      <c r="BL1838" s="251" t="s">
        <v>592</v>
      </c>
    </row>
    <row r="1839" spans="2:64" ht="15">
      <c r="B1839" s="84"/>
      <c r="D1839" s="84"/>
      <c r="E1839" s="84"/>
      <c r="F1839" s="84"/>
      <c r="G1839" s="84"/>
      <c r="R1839" s="251"/>
      <c r="S1839" s="251"/>
      <c r="BD1839" s="399">
        <v>1836</v>
      </c>
      <c r="BE1839" s="399" t="s">
        <v>4912</v>
      </c>
      <c r="BF1839" s="251" t="s">
        <v>4913</v>
      </c>
      <c r="BG1839" s="399" t="s">
        <v>363</v>
      </c>
      <c r="BH1839" s="252" t="s">
        <v>364</v>
      </c>
      <c r="BI1839" s="251" t="s">
        <v>615</v>
      </c>
      <c r="BJ1839" s="251" t="s">
        <v>380</v>
      </c>
      <c r="BK1839" s="251" t="s">
        <v>4914</v>
      </c>
      <c r="BL1839" s="251" t="s">
        <v>368</v>
      </c>
    </row>
    <row r="1840" spans="2:64" ht="15">
      <c r="B1840" s="84"/>
      <c r="D1840" s="84"/>
      <c r="E1840" s="84"/>
      <c r="F1840" s="84"/>
      <c r="G1840" s="84"/>
      <c r="R1840" s="251"/>
      <c r="S1840" s="251"/>
      <c r="BD1840" s="399">
        <v>1837</v>
      </c>
      <c r="BE1840" s="399" t="s">
        <v>4915</v>
      </c>
      <c r="BF1840" s="251" t="s">
        <v>4916</v>
      </c>
      <c r="BG1840" s="399" t="s">
        <v>469</v>
      </c>
      <c r="BH1840" s="252" t="s">
        <v>662</v>
      </c>
      <c r="BI1840" s="251" t="s">
        <v>332</v>
      </c>
      <c r="BJ1840" s="251" t="s">
        <v>407</v>
      </c>
      <c r="BK1840" s="251" t="s">
        <v>4917</v>
      </c>
      <c r="BL1840" s="251" t="s">
        <v>472</v>
      </c>
    </row>
    <row r="1841" spans="2:64" ht="15">
      <c r="B1841" s="84"/>
      <c r="D1841" s="84"/>
      <c r="E1841" s="84"/>
      <c r="F1841" s="84"/>
      <c r="G1841" s="84"/>
      <c r="R1841" s="251"/>
      <c r="S1841" s="251"/>
      <c r="BD1841" s="399">
        <v>1838</v>
      </c>
      <c r="BE1841" s="399" t="s">
        <v>4918</v>
      </c>
      <c r="BF1841" s="251" t="s">
        <v>4919</v>
      </c>
      <c r="BG1841" s="399" t="s">
        <v>349</v>
      </c>
      <c r="BH1841" s="252">
        <v>17</v>
      </c>
      <c r="BI1841" s="251" t="s">
        <v>477</v>
      </c>
      <c r="BJ1841" s="251" t="s">
        <v>385</v>
      </c>
      <c r="BK1841" s="251" t="s">
        <v>4920</v>
      </c>
      <c r="BL1841" s="251" t="s">
        <v>353</v>
      </c>
    </row>
    <row r="1842" spans="2:64" ht="15">
      <c r="B1842" s="84"/>
      <c r="D1842" s="84"/>
      <c r="E1842" s="84"/>
      <c r="F1842" s="84"/>
      <c r="G1842" s="84"/>
      <c r="R1842" s="251"/>
      <c r="S1842" s="251"/>
      <c r="BD1842" s="399">
        <v>1839</v>
      </c>
      <c r="BE1842" s="399" t="s">
        <v>3489</v>
      </c>
      <c r="BF1842" s="251" t="s">
        <v>4921</v>
      </c>
      <c r="BG1842" s="399" t="s">
        <v>549</v>
      </c>
      <c r="BH1842" s="252">
        <v>41</v>
      </c>
      <c r="BI1842" s="251" t="s">
        <v>535</v>
      </c>
      <c r="BJ1842" s="251" t="s">
        <v>413</v>
      </c>
      <c r="BK1842" s="251" t="s">
        <v>3490</v>
      </c>
      <c r="BL1842" s="251" t="s">
        <v>551</v>
      </c>
    </row>
    <row r="1843" spans="2:64" ht="15">
      <c r="B1843" s="84"/>
      <c r="D1843" s="84"/>
      <c r="E1843" s="84"/>
      <c r="F1843" s="84"/>
      <c r="G1843" s="84"/>
      <c r="R1843" s="251"/>
      <c r="S1843" s="251"/>
      <c r="BD1843" s="399">
        <v>1840</v>
      </c>
      <c r="BE1843" s="399" t="s">
        <v>3144</v>
      </c>
      <c r="BF1843" s="251" t="s">
        <v>4922</v>
      </c>
      <c r="BG1843" s="399" t="s">
        <v>733</v>
      </c>
      <c r="BH1843" s="252" t="s">
        <v>734</v>
      </c>
      <c r="BI1843" s="251" t="s">
        <v>450</v>
      </c>
      <c r="BJ1843" s="251" t="s">
        <v>397</v>
      </c>
      <c r="BK1843" s="251" t="s">
        <v>4923</v>
      </c>
      <c r="BL1843" s="251" t="s">
        <v>736</v>
      </c>
    </row>
    <row r="1844" spans="2:64" ht="15">
      <c r="B1844" s="84"/>
      <c r="D1844" s="84"/>
      <c r="E1844" s="84"/>
      <c r="F1844" s="84"/>
      <c r="G1844" s="84"/>
      <c r="R1844" s="251"/>
      <c r="S1844" s="251"/>
      <c r="BD1844" s="399">
        <v>1841</v>
      </c>
      <c r="BE1844" s="399" t="s">
        <v>4924</v>
      </c>
      <c r="BF1844" s="251" t="s">
        <v>4925</v>
      </c>
      <c r="BG1844" s="399" t="s">
        <v>389</v>
      </c>
      <c r="BH1844" s="252">
        <v>39</v>
      </c>
      <c r="BI1844" s="251" t="s">
        <v>334</v>
      </c>
      <c r="BJ1844" s="251" t="s">
        <v>380</v>
      </c>
      <c r="BK1844" s="251" t="s">
        <v>4926</v>
      </c>
      <c r="BL1844" s="251" t="s">
        <v>392</v>
      </c>
    </row>
    <row r="1845" spans="2:64" ht="15">
      <c r="B1845" s="84"/>
      <c r="D1845" s="84"/>
      <c r="E1845" s="84"/>
      <c r="F1845" s="84"/>
      <c r="G1845" s="84"/>
      <c r="R1845" s="251"/>
      <c r="S1845" s="251"/>
      <c r="BD1845" s="399">
        <v>1842</v>
      </c>
      <c r="BE1845" s="399" t="s">
        <v>4927</v>
      </c>
      <c r="BF1845" s="251" t="s">
        <v>4928</v>
      </c>
      <c r="BG1845" s="399" t="s">
        <v>349</v>
      </c>
      <c r="BH1845" s="252">
        <v>17</v>
      </c>
      <c r="BI1845" s="251" t="s">
        <v>563</v>
      </c>
      <c r="BJ1845" s="251" t="s">
        <v>390</v>
      </c>
      <c r="BK1845" s="251" t="s">
        <v>4929</v>
      </c>
      <c r="BL1845" s="251" t="s">
        <v>353</v>
      </c>
    </row>
    <row r="1846" spans="2:64" ht="15">
      <c r="B1846" s="84"/>
      <c r="D1846" s="84"/>
      <c r="E1846" s="84"/>
      <c r="F1846" s="84"/>
      <c r="G1846" s="84"/>
      <c r="R1846" s="251"/>
      <c r="S1846" s="251"/>
      <c r="BD1846" s="399">
        <v>1843</v>
      </c>
      <c r="BE1846" s="399" t="s">
        <v>4930</v>
      </c>
      <c r="BF1846" s="251" t="s">
        <v>4931</v>
      </c>
      <c r="BG1846" s="399" t="s">
        <v>423</v>
      </c>
      <c r="BH1846" s="252" t="s">
        <v>424</v>
      </c>
      <c r="BI1846" s="251" t="s">
        <v>396</v>
      </c>
      <c r="BJ1846" s="251" t="s">
        <v>385</v>
      </c>
      <c r="BK1846" s="251" t="s">
        <v>4932</v>
      </c>
      <c r="BL1846" s="251" t="s">
        <v>426</v>
      </c>
    </row>
    <row r="1847" spans="2:64" ht="15">
      <c r="B1847" s="84"/>
      <c r="D1847" s="84"/>
      <c r="E1847" s="84"/>
      <c r="F1847" s="84"/>
      <c r="G1847" s="84"/>
      <c r="R1847" s="251"/>
      <c r="S1847" s="251"/>
      <c r="BD1847" s="399">
        <v>1844</v>
      </c>
      <c r="BE1847" s="399" t="s">
        <v>2557</v>
      </c>
      <c r="BF1847" s="251" t="s">
        <v>4933</v>
      </c>
      <c r="BG1847" s="399" t="s">
        <v>566</v>
      </c>
      <c r="BH1847" s="252" t="s">
        <v>1004</v>
      </c>
      <c r="BI1847" s="251" t="s">
        <v>331</v>
      </c>
      <c r="BJ1847" s="251" t="s">
        <v>407</v>
      </c>
      <c r="BK1847" s="251" t="s">
        <v>2558</v>
      </c>
      <c r="BL1847" s="251" t="s">
        <v>569</v>
      </c>
    </row>
    <row r="1848" spans="2:64" ht="15">
      <c r="B1848" s="84"/>
      <c r="D1848" s="84"/>
      <c r="E1848" s="84"/>
      <c r="F1848" s="84"/>
      <c r="G1848" s="84"/>
      <c r="R1848" s="251"/>
      <c r="S1848" s="251"/>
      <c r="BD1848" s="399">
        <v>1845</v>
      </c>
      <c r="BE1848" s="399" t="s">
        <v>4934</v>
      </c>
      <c r="BF1848" s="251" t="s">
        <v>4935</v>
      </c>
      <c r="BG1848" s="399" t="s">
        <v>566</v>
      </c>
      <c r="BH1848" s="252" t="s">
        <v>567</v>
      </c>
      <c r="BI1848" s="251" t="s">
        <v>477</v>
      </c>
      <c r="BJ1848" s="251" t="s">
        <v>397</v>
      </c>
      <c r="BK1848" s="251" t="s">
        <v>4936</v>
      </c>
      <c r="BL1848" s="251" t="s">
        <v>569</v>
      </c>
    </row>
    <row r="1849" spans="2:64" ht="15">
      <c r="B1849" s="84"/>
      <c r="D1849" s="84"/>
      <c r="E1849" s="84"/>
      <c r="F1849" s="84"/>
      <c r="G1849" s="84"/>
      <c r="R1849" s="251"/>
      <c r="S1849" s="251"/>
      <c r="BD1849" s="399">
        <v>1846</v>
      </c>
      <c r="BE1849" s="399" t="s">
        <v>4937</v>
      </c>
      <c r="BF1849" s="251" t="s">
        <v>4938</v>
      </c>
      <c r="BG1849" s="399" t="s">
        <v>469</v>
      </c>
      <c r="BH1849" s="252" t="s">
        <v>470</v>
      </c>
      <c r="BI1849" s="251" t="s">
        <v>445</v>
      </c>
      <c r="BJ1849" s="251" t="s">
        <v>380</v>
      </c>
      <c r="BK1849" s="251" t="s">
        <v>4939</v>
      </c>
      <c r="BL1849" s="251" t="s">
        <v>472</v>
      </c>
    </row>
    <row r="1850" spans="2:64" ht="15">
      <c r="B1850" s="84"/>
      <c r="D1850" s="84"/>
      <c r="E1850" s="84"/>
      <c r="F1850" s="84"/>
      <c r="G1850" s="84"/>
      <c r="R1850" s="251"/>
      <c r="S1850" s="251"/>
      <c r="BD1850" s="399">
        <v>1847</v>
      </c>
      <c r="BE1850" s="399" t="s">
        <v>4940</v>
      </c>
      <c r="BF1850" s="251" t="s">
        <v>4941</v>
      </c>
      <c r="BG1850" s="399" t="s">
        <v>395</v>
      </c>
      <c r="BH1850" s="252">
        <v>16</v>
      </c>
      <c r="BI1850" s="251" t="s">
        <v>390</v>
      </c>
      <c r="BJ1850" s="251" t="s">
        <v>366</v>
      </c>
      <c r="BK1850" s="251" t="s">
        <v>4942</v>
      </c>
      <c r="BL1850" s="251" t="s">
        <v>399</v>
      </c>
    </row>
    <row r="1851" spans="2:64" ht="15">
      <c r="B1851" s="84"/>
      <c r="D1851" s="84"/>
      <c r="E1851" s="84"/>
      <c r="F1851" s="84"/>
      <c r="G1851" s="84"/>
      <c r="R1851" s="251"/>
      <c r="S1851" s="251"/>
      <c r="BD1851" s="399">
        <v>1848</v>
      </c>
      <c r="BE1851" s="399" t="s">
        <v>4943</v>
      </c>
      <c r="BF1851" s="251" t="s">
        <v>4944</v>
      </c>
      <c r="BG1851" s="399" t="s">
        <v>435</v>
      </c>
      <c r="BH1851" s="252" t="s">
        <v>651</v>
      </c>
      <c r="BI1851" s="251" t="s">
        <v>615</v>
      </c>
      <c r="BJ1851" s="251" t="s">
        <v>351</v>
      </c>
      <c r="BK1851" s="251" t="s">
        <v>4945</v>
      </c>
      <c r="BL1851" s="251" t="s">
        <v>439</v>
      </c>
    </row>
    <row r="1852" spans="2:64" ht="15">
      <c r="B1852" s="84"/>
      <c r="D1852" s="84"/>
      <c r="E1852" s="84"/>
      <c r="F1852" s="84"/>
      <c r="G1852" s="84"/>
      <c r="R1852" s="251"/>
      <c r="S1852" s="251"/>
      <c r="BD1852" s="399">
        <v>1849</v>
      </c>
      <c r="BE1852" s="399" t="s">
        <v>4946</v>
      </c>
      <c r="BF1852" s="251" t="s">
        <v>4947</v>
      </c>
      <c r="BG1852" s="399" t="s">
        <v>549</v>
      </c>
      <c r="BH1852" s="252">
        <v>41</v>
      </c>
      <c r="BI1852" s="251" t="s">
        <v>333</v>
      </c>
      <c r="BJ1852" s="251" t="s">
        <v>413</v>
      </c>
      <c r="BK1852" s="251" t="s">
        <v>4948</v>
      </c>
      <c r="BL1852" s="251" t="s">
        <v>551</v>
      </c>
    </row>
    <row r="1853" spans="2:64" ht="15">
      <c r="B1853" s="84"/>
      <c r="D1853" s="84"/>
      <c r="E1853" s="84"/>
      <c r="F1853" s="84"/>
      <c r="G1853" s="84"/>
      <c r="R1853" s="251"/>
      <c r="S1853" s="251"/>
      <c r="BD1853" s="399">
        <v>1850</v>
      </c>
      <c r="BE1853" s="399" t="s">
        <v>4949</v>
      </c>
      <c r="BF1853" s="251" t="s">
        <v>4950</v>
      </c>
      <c r="BG1853" s="399" t="s">
        <v>395</v>
      </c>
      <c r="BH1853" s="252">
        <v>16</v>
      </c>
      <c r="BI1853" s="251" t="s">
        <v>615</v>
      </c>
      <c r="BJ1853" s="251" t="s">
        <v>397</v>
      </c>
      <c r="BK1853" s="251" t="s">
        <v>4951</v>
      </c>
      <c r="BL1853" s="251" t="s">
        <v>399</v>
      </c>
    </row>
    <row r="1854" spans="2:64" ht="15">
      <c r="B1854" s="84"/>
      <c r="D1854" s="84"/>
      <c r="E1854" s="84"/>
      <c r="F1854" s="84"/>
      <c r="G1854" s="84"/>
      <c r="R1854" s="251"/>
      <c r="S1854" s="251"/>
      <c r="BD1854" s="399">
        <v>1851</v>
      </c>
      <c r="BE1854" s="399" t="s">
        <v>4952</v>
      </c>
      <c r="BF1854" s="251" t="s">
        <v>4953</v>
      </c>
      <c r="BG1854" s="399" t="s">
        <v>405</v>
      </c>
      <c r="BH1854" s="252" t="s">
        <v>412</v>
      </c>
      <c r="BI1854" s="251" t="s">
        <v>728</v>
      </c>
      <c r="BJ1854" s="251" t="s">
        <v>351</v>
      </c>
      <c r="BK1854" s="251" t="s">
        <v>4954</v>
      </c>
      <c r="BL1854" s="251" t="s">
        <v>409</v>
      </c>
    </row>
    <row r="1855" spans="2:64" ht="15">
      <c r="B1855" s="84"/>
      <c r="D1855" s="84"/>
      <c r="E1855" s="84"/>
      <c r="F1855" s="84"/>
      <c r="G1855" s="84"/>
      <c r="R1855" s="251"/>
      <c r="S1855" s="251"/>
      <c r="BD1855" s="399">
        <v>1852</v>
      </c>
      <c r="BE1855" s="399" t="s">
        <v>4955</v>
      </c>
      <c r="BF1855" s="251" t="s">
        <v>4956</v>
      </c>
      <c r="BG1855" s="399" t="s">
        <v>519</v>
      </c>
      <c r="BH1855" s="252">
        <v>30</v>
      </c>
      <c r="BI1855" s="251" t="s">
        <v>332</v>
      </c>
      <c r="BJ1855" s="251" t="s">
        <v>385</v>
      </c>
      <c r="BK1855" s="251" t="s">
        <v>4957</v>
      </c>
      <c r="BL1855" s="251" t="s">
        <v>521</v>
      </c>
    </row>
    <row r="1856" spans="2:64" ht="15">
      <c r="B1856" s="84"/>
      <c r="D1856" s="84"/>
      <c r="E1856" s="84"/>
      <c r="F1856" s="84"/>
      <c r="G1856" s="84"/>
      <c r="R1856" s="251"/>
      <c r="S1856" s="251"/>
      <c r="BD1856" s="399">
        <v>1853</v>
      </c>
      <c r="BE1856" s="399" t="s">
        <v>2637</v>
      </c>
      <c r="BF1856" s="251" t="s">
        <v>150</v>
      </c>
      <c r="BG1856" s="399" t="s">
        <v>429</v>
      </c>
      <c r="BH1856" s="252" t="s">
        <v>430</v>
      </c>
      <c r="BI1856" s="251" t="s">
        <v>450</v>
      </c>
      <c r="BJ1856" s="251" t="s">
        <v>397</v>
      </c>
      <c r="BK1856" s="251" t="s">
        <v>2638</v>
      </c>
      <c r="BL1856" s="251" t="s">
        <v>432</v>
      </c>
    </row>
    <row r="1857" spans="2:64" ht="15">
      <c r="B1857" s="84"/>
      <c r="D1857" s="84"/>
      <c r="E1857" s="84"/>
      <c r="F1857" s="84"/>
      <c r="G1857" s="84"/>
      <c r="R1857" s="251"/>
      <c r="S1857" s="251"/>
      <c r="BD1857" s="399">
        <v>1854</v>
      </c>
      <c r="BE1857" s="399" t="s">
        <v>4958</v>
      </c>
      <c r="BF1857" s="251" t="s">
        <v>4959</v>
      </c>
      <c r="BG1857" s="399" t="s">
        <v>475</v>
      </c>
      <c r="BH1857" s="252" t="s">
        <v>534</v>
      </c>
      <c r="BI1857" s="251" t="s">
        <v>615</v>
      </c>
      <c r="BJ1857" s="251" t="s">
        <v>380</v>
      </c>
      <c r="BK1857" s="251" t="s">
        <v>4960</v>
      </c>
      <c r="BL1857" s="251" t="s">
        <v>479</v>
      </c>
    </row>
    <row r="1858" spans="2:64" ht="15">
      <c r="B1858" s="84"/>
      <c r="D1858" s="84"/>
      <c r="E1858" s="84"/>
      <c r="F1858" s="84"/>
      <c r="G1858" s="84"/>
      <c r="R1858" s="251"/>
      <c r="S1858" s="251"/>
      <c r="BD1858" s="399">
        <v>1855</v>
      </c>
      <c r="BE1858" s="399" t="s">
        <v>4961</v>
      </c>
      <c r="BF1858" s="251" t="s">
        <v>4962</v>
      </c>
      <c r="BG1858" s="399" t="s">
        <v>349</v>
      </c>
      <c r="BH1858" s="252">
        <v>17</v>
      </c>
      <c r="BI1858" s="251" t="s">
        <v>635</v>
      </c>
      <c r="BJ1858" s="251" t="s">
        <v>413</v>
      </c>
      <c r="BK1858" s="251" t="s">
        <v>4963</v>
      </c>
      <c r="BL1858" s="251" t="s">
        <v>353</v>
      </c>
    </row>
    <row r="1859" spans="2:64" ht="15">
      <c r="B1859" s="84"/>
      <c r="D1859" s="84"/>
      <c r="E1859" s="84"/>
      <c r="F1859" s="84"/>
      <c r="G1859" s="84"/>
      <c r="R1859" s="251"/>
      <c r="S1859" s="251"/>
      <c r="BD1859" s="399">
        <v>1856</v>
      </c>
      <c r="BE1859" s="399" t="s">
        <v>4964</v>
      </c>
      <c r="BF1859" s="251" t="s">
        <v>4965</v>
      </c>
      <c r="BG1859" s="399" t="s">
        <v>549</v>
      </c>
      <c r="BH1859" s="252">
        <v>41</v>
      </c>
      <c r="BI1859" s="251" t="s">
        <v>477</v>
      </c>
      <c r="BJ1859" s="251" t="s">
        <v>380</v>
      </c>
      <c r="BK1859" s="251" t="s">
        <v>4966</v>
      </c>
      <c r="BL1859" s="251" t="s">
        <v>551</v>
      </c>
    </row>
    <row r="1860" spans="2:64" ht="15">
      <c r="B1860" s="84"/>
      <c r="D1860" s="84"/>
      <c r="E1860" s="84"/>
      <c r="F1860" s="84"/>
      <c r="G1860" s="84"/>
      <c r="R1860" s="251"/>
      <c r="S1860" s="251"/>
      <c r="BD1860" s="399">
        <v>1857</v>
      </c>
      <c r="BE1860" s="399" t="s">
        <v>2708</v>
      </c>
      <c r="BF1860" s="251" t="s">
        <v>4967</v>
      </c>
      <c r="BG1860" s="399" t="s">
        <v>378</v>
      </c>
      <c r="BH1860" s="252">
        <v>11</v>
      </c>
      <c r="BI1860" s="251" t="s">
        <v>331</v>
      </c>
      <c r="BJ1860" s="251" t="s">
        <v>366</v>
      </c>
      <c r="BK1860" s="251" t="s">
        <v>2709</v>
      </c>
      <c r="BL1860" s="251" t="s">
        <v>382</v>
      </c>
    </row>
    <row r="1861" spans="2:64" ht="15">
      <c r="B1861" s="84"/>
      <c r="D1861" s="84"/>
      <c r="E1861" s="84"/>
      <c r="F1861" s="84"/>
      <c r="G1861" s="84"/>
      <c r="R1861" s="251"/>
      <c r="S1861" s="251"/>
      <c r="BD1861" s="399">
        <v>1858</v>
      </c>
      <c r="BE1861" s="399" t="s">
        <v>4968</v>
      </c>
      <c r="BF1861" s="251" t="s">
        <v>4969</v>
      </c>
      <c r="BG1861" s="399" t="s">
        <v>371</v>
      </c>
      <c r="BH1861" s="252">
        <v>28</v>
      </c>
      <c r="BI1861" s="251" t="s">
        <v>450</v>
      </c>
      <c r="BJ1861" s="251" t="s">
        <v>366</v>
      </c>
      <c r="BK1861" s="251" t="s">
        <v>4970</v>
      </c>
      <c r="BL1861" s="251" t="s">
        <v>375</v>
      </c>
    </row>
    <row r="1862" spans="2:64" ht="15">
      <c r="B1862" s="84"/>
      <c r="D1862" s="84"/>
      <c r="E1862" s="84"/>
      <c r="F1862" s="84"/>
      <c r="G1862" s="84"/>
      <c r="R1862" s="251"/>
      <c r="S1862" s="251"/>
      <c r="BD1862" s="399">
        <v>1859</v>
      </c>
      <c r="BE1862" s="399" t="s">
        <v>4971</v>
      </c>
      <c r="BF1862" s="251" t="s">
        <v>4972</v>
      </c>
      <c r="BG1862" s="399" t="s">
        <v>349</v>
      </c>
      <c r="BH1862" s="252">
        <v>17</v>
      </c>
      <c r="BI1862" s="251" t="s">
        <v>333</v>
      </c>
      <c r="BJ1862" s="251" t="s">
        <v>380</v>
      </c>
      <c r="BK1862" s="251" t="s">
        <v>4973</v>
      </c>
      <c r="BL1862" s="251" t="s">
        <v>353</v>
      </c>
    </row>
    <row r="1863" spans="2:64" ht="15">
      <c r="B1863" s="84"/>
      <c r="D1863" s="84"/>
      <c r="E1863" s="84"/>
      <c r="F1863" s="84"/>
      <c r="G1863" s="84"/>
      <c r="R1863" s="251"/>
      <c r="S1863" s="251"/>
      <c r="BD1863" s="399">
        <v>1860</v>
      </c>
      <c r="BE1863" s="399" t="s">
        <v>4974</v>
      </c>
      <c r="BF1863" s="251" t="s">
        <v>4975</v>
      </c>
      <c r="BG1863" s="399" t="s">
        <v>602</v>
      </c>
      <c r="BH1863" s="252" t="s">
        <v>4976</v>
      </c>
      <c r="BI1863" s="251" t="s">
        <v>372</v>
      </c>
      <c r="BJ1863" s="251" t="s">
        <v>413</v>
      </c>
      <c r="BK1863" s="251" t="s">
        <v>4977</v>
      </c>
      <c r="BL1863" s="251" t="s">
        <v>604</v>
      </c>
    </row>
    <row r="1864" spans="2:64" ht="15">
      <c r="B1864" s="84"/>
      <c r="D1864" s="84"/>
      <c r="E1864" s="84"/>
      <c r="F1864" s="84"/>
      <c r="G1864" s="84"/>
      <c r="R1864" s="251"/>
      <c r="S1864" s="251"/>
      <c r="BD1864" s="399">
        <v>1861</v>
      </c>
      <c r="BE1864" s="399" t="s">
        <v>4978</v>
      </c>
      <c r="BF1864" s="251" t="s">
        <v>4979</v>
      </c>
      <c r="BG1864" s="399" t="s">
        <v>363</v>
      </c>
      <c r="BH1864" s="252" t="s">
        <v>364</v>
      </c>
      <c r="BI1864" s="251" t="s">
        <v>615</v>
      </c>
      <c r="BJ1864" s="251" t="s">
        <v>397</v>
      </c>
      <c r="BK1864" s="251" t="s">
        <v>4980</v>
      </c>
      <c r="BL1864" s="251" t="s">
        <v>368</v>
      </c>
    </row>
    <row r="1865" spans="2:64" ht="15">
      <c r="B1865" s="84"/>
      <c r="D1865" s="84"/>
      <c r="E1865" s="84"/>
      <c r="F1865" s="84"/>
      <c r="G1865" s="84"/>
      <c r="R1865" s="251"/>
      <c r="S1865" s="251"/>
      <c r="BD1865" s="399">
        <v>1862</v>
      </c>
      <c r="BE1865" s="399" t="s">
        <v>4981</v>
      </c>
      <c r="BF1865" s="251" t="s">
        <v>4982</v>
      </c>
      <c r="BG1865" s="399">
        <v>51</v>
      </c>
      <c r="BH1865" s="252">
        <v>51</v>
      </c>
      <c r="BI1865" s="251" t="s">
        <v>496</v>
      </c>
      <c r="BJ1865" s="251" t="s">
        <v>396</v>
      </c>
      <c r="BK1865" s="251" t="s">
        <v>4983</v>
      </c>
      <c r="BL1865" s="251" t="s">
        <v>730</v>
      </c>
    </row>
    <row r="1866" spans="2:64" ht="15">
      <c r="B1866" s="84"/>
      <c r="D1866" s="84"/>
      <c r="E1866" s="84"/>
      <c r="F1866" s="84"/>
      <c r="G1866" s="84"/>
      <c r="R1866" s="251"/>
      <c r="S1866" s="251"/>
      <c r="BD1866" s="399">
        <v>1863</v>
      </c>
      <c r="BE1866" s="399" t="s">
        <v>4984</v>
      </c>
      <c r="BF1866" s="251" t="s">
        <v>4985</v>
      </c>
      <c r="BG1866" s="399" t="s">
        <v>602</v>
      </c>
      <c r="BH1866" s="252">
        <v>47</v>
      </c>
      <c r="BI1866" s="251" t="s">
        <v>379</v>
      </c>
      <c r="BJ1866" s="251" t="s">
        <v>366</v>
      </c>
      <c r="BK1866" s="251" t="s">
        <v>4986</v>
      </c>
      <c r="BL1866" s="251" t="s">
        <v>604</v>
      </c>
    </row>
    <row r="1867" spans="2:64" ht="15">
      <c r="B1867" s="84"/>
      <c r="D1867" s="84"/>
      <c r="E1867" s="84"/>
      <c r="F1867" s="84"/>
      <c r="G1867" s="84"/>
      <c r="R1867" s="251"/>
      <c r="S1867" s="251"/>
      <c r="BD1867" s="399">
        <v>1864</v>
      </c>
      <c r="BE1867" s="399" t="s">
        <v>4987</v>
      </c>
      <c r="BF1867" s="251" t="s">
        <v>4988</v>
      </c>
      <c r="BG1867" s="399" t="s">
        <v>378</v>
      </c>
      <c r="BH1867" s="252">
        <v>11</v>
      </c>
      <c r="BI1867" s="251" t="s">
        <v>1638</v>
      </c>
      <c r="BJ1867" s="251" t="s">
        <v>385</v>
      </c>
      <c r="BK1867" s="251" t="s">
        <v>4989</v>
      </c>
      <c r="BL1867" s="251" t="s">
        <v>382</v>
      </c>
    </row>
    <row r="1868" spans="2:64" ht="15">
      <c r="B1868" s="84"/>
      <c r="D1868" s="84"/>
      <c r="E1868" s="84"/>
      <c r="F1868" s="84"/>
      <c r="G1868" s="84"/>
      <c r="R1868" s="251"/>
      <c r="S1868" s="251"/>
      <c r="BD1868" s="399">
        <v>1865</v>
      </c>
      <c r="BE1868" s="399" t="s">
        <v>4990</v>
      </c>
      <c r="BF1868" s="251" t="s">
        <v>4991</v>
      </c>
      <c r="BG1868" s="399" t="s">
        <v>435</v>
      </c>
      <c r="BH1868" s="252" t="s">
        <v>436</v>
      </c>
      <c r="BI1868" s="251" t="s">
        <v>873</v>
      </c>
      <c r="BJ1868" s="251" t="s">
        <v>413</v>
      </c>
      <c r="BK1868" s="251" t="s">
        <v>4992</v>
      </c>
      <c r="BL1868" s="251" t="s">
        <v>439</v>
      </c>
    </row>
    <row r="1869" spans="2:64" ht="15">
      <c r="B1869" s="84"/>
      <c r="D1869" s="84"/>
      <c r="E1869" s="84"/>
      <c r="F1869" s="84"/>
      <c r="G1869" s="84"/>
      <c r="R1869" s="251"/>
      <c r="S1869" s="251"/>
      <c r="BD1869" s="399">
        <v>1866</v>
      </c>
      <c r="BE1869" s="399" t="s">
        <v>4993</v>
      </c>
      <c r="BF1869" s="251" t="s">
        <v>4994</v>
      </c>
      <c r="BG1869" s="399" t="s">
        <v>429</v>
      </c>
      <c r="BH1869" s="252" t="s">
        <v>430</v>
      </c>
      <c r="BI1869" s="251" t="s">
        <v>798</v>
      </c>
      <c r="BJ1869" s="251" t="s">
        <v>1774</v>
      </c>
      <c r="BK1869" s="251" t="s">
        <v>4995</v>
      </c>
      <c r="BL1869" s="251" t="s">
        <v>432</v>
      </c>
    </row>
    <row r="1870" spans="2:64" ht="15">
      <c r="B1870" s="84"/>
      <c r="D1870" s="84"/>
      <c r="E1870" s="84"/>
      <c r="F1870" s="84"/>
      <c r="G1870" s="84"/>
      <c r="R1870" s="251"/>
      <c r="S1870" s="251"/>
      <c r="BD1870" s="399">
        <v>1867</v>
      </c>
      <c r="BE1870" s="399" t="s">
        <v>4996</v>
      </c>
      <c r="BF1870" s="251" t="s">
        <v>4997</v>
      </c>
      <c r="BG1870" s="399" t="s">
        <v>423</v>
      </c>
      <c r="BH1870" s="252" t="s">
        <v>424</v>
      </c>
      <c r="BI1870" s="251" t="s">
        <v>365</v>
      </c>
      <c r="BJ1870" s="251" t="s">
        <v>407</v>
      </c>
      <c r="BK1870" s="251" t="s">
        <v>4998</v>
      </c>
      <c r="BL1870" s="251" t="s">
        <v>426</v>
      </c>
    </row>
    <row r="1871" spans="2:64" ht="15">
      <c r="B1871" s="84"/>
      <c r="D1871" s="84"/>
      <c r="E1871" s="84"/>
      <c r="F1871" s="84"/>
      <c r="G1871" s="84"/>
      <c r="R1871" s="251"/>
      <c r="S1871" s="251"/>
      <c r="BD1871" s="399">
        <v>1868</v>
      </c>
      <c r="BE1871" s="399" t="s">
        <v>1344</v>
      </c>
      <c r="BF1871" s="251" t="s">
        <v>4999</v>
      </c>
      <c r="BG1871" s="399" t="s">
        <v>489</v>
      </c>
      <c r="BH1871" s="252" t="s">
        <v>490</v>
      </c>
      <c r="BI1871" s="251" t="s">
        <v>563</v>
      </c>
      <c r="BJ1871" s="251" t="s">
        <v>539</v>
      </c>
      <c r="BK1871" s="251" t="s">
        <v>5000</v>
      </c>
      <c r="BL1871" s="251" t="s">
        <v>493</v>
      </c>
    </row>
    <row r="1872" spans="2:64" ht="15">
      <c r="B1872" s="84"/>
      <c r="D1872" s="84"/>
      <c r="E1872" s="84"/>
      <c r="F1872" s="84"/>
      <c r="G1872" s="84"/>
      <c r="R1872" s="251"/>
      <c r="S1872" s="251"/>
      <c r="BD1872" s="399">
        <v>1869</v>
      </c>
      <c r="BE1872" s="399" t="s">
        <v>5001</v>
      </c>
      <c r="BF1872" s="251" t="s">
        <v>5002</v>
      </c>
      <c r="BG1872" s="399" t="s">
        <v>423</v>
      </c>
      <c r="BH1872" s="252" t="s">
        <v>424</v>
      </c>
      <c r="BI1872" s="251" t="s">
        <v>333</v>
      </c>
      <c r="BJ1872" s="251" t="s">
        <v>539</v>
      </c>
      <c r="BK1872" s="251" t="s">
        <v>5003</v>
      </c>
      <c r="BL1872" s="251" t="s">
        <v>426</v>
      </c>
    </row>
    <row r="1873" spans="2:64" ht="15">
      <c r="B1873" s="84"/>
      <c r="D1873" s="84"/>
      <c r="E1873" s="84"/>
      <c r="F1873" s="84"/>
      <c r="G1873" s="84"/>
      <c r="R1873" s="251"/>
      <c r="S1873" s="251"/>
      <c r="BD1873" s="399">
        <v>1870</v>
      </c>
      <c r="BE1873" s="399" t="s">
        <v>5004</v>
      </c>
      <c r="BF1873" s="251" t="s">
        <v>5005</v>
      </c>
      <c r="BG1873" s="399" t="s">
        <v>590</v>
      </c>
      <c r="BH1873" s="252">
        <v>44</v>
      </c>
      <c r="BI1873" s="251" t="s">
        <v>333</v>
      </c>
      <c r="BJ1873" s="251" t="s">
        <v>380</v>
      </c>
      <c r="BK1873" s="251" t="s">
        <v>5006</v>
      </c>
      <c r="BL1873" s="251" t="s">
        <v>592</v>
      </c>
    </row>
    <row r="1874" spans="2:64" ht="15">
      <c r="B1874" s="84"/>
      <c r="D1874" s="84"/>
      <c r="E1874" s="84"/>
      <c r="F1874" s="84"/>
      <c r="G1874" s="84"/>
      <c r="R1874" s="251"/>
      <c r="S1874" s="251"/>
      <c r="BD1874" s="399">
        <v>1871</v>
      </c>
      <c r="BE1874" s="399" t="s">
        <v>5007</v>
      </c>
      <c r="BF1874" s="251" t="s">
        <v>5008</v>
      </c>
      <c r="BG1874" s="399" t="s">
        <v>777</v>
      </c>
      <c r="BH1874" s="252">
        <v>21</v>
      </c>
      <c r="BI1874" s="251" t="s">
        <v>334</v>
      </c>
      <c r="BJ1874" s="251" t="s">
        <v>397</v>
      </c>
      <c r="BK1874" s="251" t="s">
        <v>5009</v>
      </c>
      <c r="BL1874" s="251" t="s">
        <v>780</v>
      </c>
    </row>
    <row r="1875" spans="2:64" ht="15">
      <c r="B1875" s="84"/>
      <c r="D1875" s="84"/>
      <c r="E1875" s="84"/>
      <c r="F1875" s="84"/>
      <c r="G1875" s="84"/>
      <c r="R1875" s="251"/>
      <c r="S1875" s="251"/>
      <c r="BD1875" s="399">
        <v>1872</v>
      </c>
      <c r="BE1875" s="399" t="s">
        <v>5010</v>
      </c>
      <c r="BF1875" s="251" t="s">
        <v>5011</v>
      </c>
      <c r="BG1875" s="399" t="s">
        <v>435</v>
      </c>
      <c r="BH1875" s="252" t="s">
        <v>436</v>
      </c>
      <c r="BI1875" s="251" t="s">
        <v>334</v>
      </c>
      <c r="BJ1875" s="251" t="s">
        <v>366</v>
      </c>
      <c r="BK1875" s="251" t="s">
        <v>5012</v>
      </c>
      <c r="BL1875" s="251" t="s">
        <v>439</v>
      </c>
    </row>
    <row r="1876" spans="2:64" ht="15">
      <c r="B1876" s="84"/>
      <c r="D1876" s="84"/>
      <c r="E1876" s="84"/>
      <c r="F1876" s="84"/>
      <c r="G1876" s="84"/>
      <c r="R1876" s="251"/>
      <c r="S1876" s="251"/>
      <c r="BD1876" s="399">
        <v>1873</v>
      </c>
      <c r="BE1876" s="399" t="s">
        <v>5013</v>
      </c>
      <c r="BF1876" s="251" t="s">
        <v>5014</v>
      </c>
      <c r="BG1876" s="399" t="s">
        <v>405</v>
      </c>
      <c r="BH1876" s="252" t="s">
        <v>760</v>
      </c>
      <c r="BI1876" s="251" t="s">
        <v>740</v>
      </c>
      <c r="BJ1876" s="251" t="s">
        <v>366</v>
      </c>
      <c r="BK1876" s="251" t="s">
        <v>5015</v>
      </c>
      <c r="BL1876" s="251" t="s">
        <v>409</v>
      </c>
    </row>
    <row r="1877" spans="2:64" ht="15">
      <c r="B1877" s="84"/>
      <c r="D1877" s="84"/>
      <c r="E1877" s="84"/>
      <c r="F1877" s="84"/>
      <c r="G1877" s="84"/>
      <c r="R1877" s="251"/>
      <c r="S1877" s="251"/>
      <c r="BD1877" s="399">
        <v>1874</v>
      </c>
      <c r="BE1877" s="399" t="s">
        <v>1537</v>
      </c>
      <c r="BF1877" s="251" t="s">
        <v>5016</v>
      </c>
      <c r="BG1877" s="399" t="s">
        <v>363</v>
      </c>
      <c r="BH1877" s="252" t="s">
        <v>575</v>
      </c>
      <c r="BI1877" s="251" t="s">
        <v>365</v>
      </c>
      <c r="BJ1877" s="251" t="s">
        <v>390</v>
      </c>
      <c r="BK1877" s="251" t="s">
        <v>5017</v>
      </c>
      <c r="BL1877" s="251" t="s">
        <v>368</v>
      </c>
    </row>
    <row r="1878" spans="2:64" ht="15">
      <c r="B1878" s="84"/>
      <c r="D1878" s="84"/>
      <c r="E1878" s="84"/>
      <c r="F1878" s="84"/>
      <c r="G1878" s="84"/>
      <c r="R1878" s="251"/>
      <c r="S1878" s="251"/>
      <c r="BD1878" s="399">
        <v>1875</v>
      </c>
      <c r="BE1878" s="399" t="s">
        <v>5018</v>
      </c>
      <c r="BF1878" s="251" t="s">
        <v>5019</v>
      </c>
      <c r="BG1878" s="399" t="s">
        <v>489</v>
      </c>
      <c r="BH1878" s="252" t="s">
        <v>490</v>
      </c>
      <c r="BI1878" s="251" t="s">
        <v>445</v>
      </c>
      <c r="BJ1878" s="251" t="s">
        <v>351</v>
      </c>
      <c r="BK1878" s="251" t="s">
        <v>5020</v>
      </c>
      <c r="BL1878" s="251" t="s">
        <v>493</v>
      </c>
    </row>
    <row r="1879" spans="2:64" ht="15">
      <c r="B1879" s="84"/>
      <c r="D1879" s="84"/>
      <c r="E1879" s="84"/>
      <c r="F1879" s="84"/>
      <c r="G1879" s="84"/>
      <c r="R1879" s="251"/>
      <c r="S1879" s="251"/>
      <c r="BD1879" s="399">
        <v>1876</v>
      </c>
      <c r="BE1879" s="399" t="s">
        <v>5021</v>
      </c>
      <c r="BF1879" s="251" t="s">
        <v>5022</v>
      </c>
      <c r="BG1879" s="399" t="s">
        <v>777</v>
      </c>
      <c r="BH1879" s="252">
        <v>21</v>
      </c>
      <c r="BI1879" s="251" t="s">
        <v>334</v>
      </c>
      <c r="BJ1879" s="251" t="s">
        <v>407</v>
      </c>
      <c r="BK1879" s="251" t="s">
        <v>5023</v>
      </c>
      <c r="BL1879" s="251" t="s">
        <v>780</v>
      </c>
    </row>
    <row r="1880" spans="2:64" ht="15">
      <c r="B1880" s="84"/>
      <c r="D1880" s="84"/>
      <c r="E1880" s="84"/>
      <c r="F1880" s="84"/>
      <c r="G1880" s="84"/>
      <c r="R1880" s="251"/>
      <c r="S1880" s="251"/>
      <c r="BD1880" s="399">
        <v>1877</v>
      </c>
      <c r="BE1880" s="399" t="s">
        <v>5024</v>
      </c>
      <c r="BF1880" s="251" t="s">
        <v>5025</v>
      </c>
      <c r="BG1880" s="399" t="s">
        <v>429</v>
      </c>
      <c r="BH1880" s="252" t="s">
        <v>430</v>
      </c>
      <c r="BI1880" s="251" t="s">
        <v>450</v>
      </c>
      <c r="BJ1880" s="251" t="s">
        <v>366</v>
      </c>
      <c r="BK1880" s="251" t="s">
        <v>5026</v>
      </c>
      <c r="BL1880" s="251" t="s">
        <v>432</v>
      </c>
    </row>
    <row r="1881" spans="2:64" ht="15">
      <c r="B1881" s="84"/>
      <c r="D1881" s="84"/>
      <c r="E1881" s="84"/>
      <c r="F1881" s="84"/>
      <c r="G1881" s="84"/>
      <c r="R1881" s="251"/>
      <c r="S1881" s="251"/>
      <c r="BD1881" s="399">
        <v>1878</v>
      </c>
      <c r="BE1881" s="399" t="s">
        <v>5027</v>
      </c>
      <c r="BF1881" s="251" t="s">
        <v>5028</v>
      </c>
      <c r="BG1881" s="399" t="s">
        <v>423</v>
      </c>
      <c r="BH1881" s="252" t="s">
        <v>424</v>
      </c>
      <c r="BI1881" s="251" t="s">
        <v>500</v>
      </c>
      <c r="BJ1881" s="251" t="s">
        <v>366</v>
      </c>
      <c r="BK1881" s="251" t="s">
        <v>5029</v>
      </c>
      <c r="BL1881" s="251" t="s">
        <v>426</v>
      </c>
    </row>
    <row r="1882" spans="2:64" ht="15">
      <c r="B1882" s="84"/>
      <c r="D1882" s="84"/>
      <c r="E1882" s="84"/>
      <c r="F1882" s="84"/>
      <c r="G1882" s="84"/>
      <c r="R1882" s="251"/>
      <c r="S1882" s="251"/>
      <c r="BD1882" s="399">
        <v>1879</v>
      </c>
      <c r="BE1882" s="399" t="s">
        <v>3503</v>
      </c>
      <c r="BF1882" s="251" t="s">
        <v>5030</v>
      </c>
      <c r="BG1882" s="399" t="s">
        <v>449</v>
      </c>
      <c r="BH1882" s="252">
        <v>43</v>
      </c>
      <c r="BI1882" s="251" t="s">
        <v>535</v>
      </c>
      <c r="BJ1882" s="251" t="s">
        <v>413</v>
      </c>
      <c r="BK1882" s="251" t="s">
        <v>3504</v>
      </c>
      <c r="BL1882" s="251" t="s">
        <v>452</v>
      </c>
    </row>
    <row r="1883" spans="2:64" ht="15">
      <c r="B1883" s="84"/>
      <c r="D1883" s="84"/>
      <c r="E1883" s="84"/>
      <c r="F1883" s="84"/>
      <c r="G1883" s="84"/>
      <c r="R1883" s="251"/>
      <c r="S1883" s="251"/>
      <c r="BD1883" s="399">
        <v>1880</v>
      </c>
      <c r="BE1883" s="399" t="s">
        <v>5031</v>
      </c>
      <c r="BF1883" s="251" t="s">
        <v>5032</v>
      </c>
      <c r="BG1883" s="399" t="s">
        <v>469</v>
      </c>
      <c r="BH1883" s="252" t="s">
        <v>470</v>
      </c>
      <c r="BI1883" s="251" t="s">
        <v>396</v>
      </c>
      <c r="BJ1883" s="251" t="s">
        <v>397</v>
      </c>
      <c r="BK1883" s="251" t="s">
        <v>5033</v>
      </c>
      <c r="BL1883" s="251" t="s">
        <v>472</v>
      </c>
    </row>
    <row r="1884" spans="2:64" ht="15">
      <c r="B1884" s="84"/>
      <c r="D1884" s="84"/>
      <c r="E1884" s="84"/>
      <c r="F1884" s="84"/>
      <c r="G1884" s="84"/>
      <c r="R1884" s="251"/>
      <c r="S1884" s="251"/>
      <c r="BD1884" s="399">
        <v>1881</v>
      </c>
      <c r="BE1884" s="399" t="s">
        <v>5034</v>
      </c>
      <c r="BF1884" s="251" t="s">
        <v>5035</v>
      </c>
      <c r="BG1884" s="399" t="s">
        <v>395</v>
      </c>
      <c r="BH1884" s="252">
        <v>16</v>
      </c>
      <c r="BI1884" s="251" t="s">
        <v>445</v>
      </c>
      <c r="BJ1884" s="251" t="s">
        <v>385</v>
      </c>
      <c r="BK1884" s="251" t="s">
        <v>5036</v>
      </c>
      <c r="BL1884" s="251" t="s">
        <v>399</v>
      </c>
    </row>
    <row r="1885" spans="2:64" ht="15">
      <c r="B1885" s="84"/>
      <c r="D1885" s="84"/>
      <c r="E1885" s="84"/>
      <c r="F1885" s="84"/>
      <c r="G1885" s="84"/>
      <c r="R1885" s="251"/>
      <c r="S1885" s="251"/>
      <c r="BD1885" s="399">
        <v>1882</v>
      </c>
      <c r="BE1885" s="399" t="s">
        <v>5037</v>
      </c>
      <c r="BF1885" s="251" t="s">
        <v>5038</v>
      </c>
      <c r="BG1885" s="399" t="s">
        <v>371</v>
      </c>
      <c r="BH1885" s="252">
        <v>28</v>
      </c>
      <c r="BI1885" s="251" t="s">
        <v>450</v>
      </c>
      <c r="BJ1885" s="251" t="s">
        <v>539</v>
      </c>
      <c r="BK1885" s="251" t="s">
        <v>5039</v>
      </c>
      <c r="BL1885" s="251" t="s">
        <v>375</v>
      </c>
    </row>
    <row r="1886" spans="2:64" ht="15">
      <c r="B1886" s="84"/>
      <c r="D1886" s="84"/>
      <c r="E1886" s="84"/>
      <c r="F1886" s="84"/>
      <c r="G1886" s="84"/>
      <c r="R1886" s="251"/>
      <c r="S1886" s="251"/>
      <c r="BD1886" s="399">
        <v>1883</v>
      </c>
      <c r="BE1886" s="399" t="s">
        <v>5040</v>
      </c>
      <c r="BF1886" s="251" t="s">
        <v>5041</v>
      </c>
      <c r="BG1886" s="399" t="s">
        <v>590</v>
      </c>
      <c r="BH1886" s="252">
        <v>44</v>
      </c>
      <c r="BI1886" s="251" t="s">
        <v>491</v>
      </c>
      <c r="BJ1886" s="251" t="s">
        <v>380</v>
      </c>
      <c r="BK1886" s="251" t="s">
        <v>5042</v>
      </c>
      <c r="BL1886" s="251" t="s">
        <v>592</v>
      </c>
    </row>
    <row r="1887" spans="2:64" ht="15">
      <c r="B1887" s="84"/>
      <c r="D1887" s="84"/>
      <c r="E1887" s="84"/>
      <c r="F1887" s="84"/>
      <c r="G1887" s="84"/>
      <c r="R1887" s="251"/>
      <c r="S1887" s="251"/>
      <c r="BD1887" s="399">
        <v>1884</v>
      </c>
      <c r="BE1887" s="399" t="s">
        <v>5043</v>
      </c>
      <c r="BF1887" s="251" t="s">
        <v>5044</v>
      </c>
      <c r="BG1887" s="399" t="s">
        <v>363</v>
      </c>
      <c r="BH1887" s="252" t="s">
        <v>364</v>
      </c>
      <c r="BI1887" s="251" t="s">
        <v>365</v>
      </c>
      <c r="BJ1887" s="251" t="s">
        <v>539</v>
      </c>
      <c r="BK1887" s="251" t="s">
        <v>5045</v>
      </c>
      <c r="BL1887" s="251" t="s">
        <v>368</v>
      </c>
    </row>
    <row r="1888" spans="2:64" ht="15">
      <c r="B1888" s="84"/>
      <c r="D1888" s="84"/>
      <c r="E1888" s="84"/>
      <c r="F1888" s="84"/>
      <c r="G1888" s="84"/>
      <c r="R1888" s="251"/>
      <c r="S1888" s="251"/>
      <c r="BD1888" s="399">
        <v>1885</v>
      </c>
      <c r="BE1888" s="399" t="s">
        <v>5046</v>
      </c>
      <c r="BF1888" s="251" t="s">
        <v>5047</v>
      </c>
      <c r="BG1888" s="399" t="s">
        <v>395</v>
      </c>
      <c r="BH1888" s="252">
        <v>16</v>
      </c>
      <c r="BI1888" s="251" t="s">
        <v>332</v>
      </c>
      <c r="BJ1888" s="251" t="s">
        <v>397</v>
      </c>
      <c r="BK1888" s="251" t="s">
        <v>5048</v>
      </c>
      <c r="BL1888" s="251" t="s">
        <v>399</v>
      </c>
    </row>
    <row r="1889" spans="2:64" ht="15">
      <c r="B1889" s="84"/>
      <c r="D1889" s="84"/>
      <c r="E1889" s="84"/>
      <c r="F1889" s="84"/>
      <c r="G1889" s="84"/>
      <c r="R1889" s="251"/>
      <c r="S1889" s="251"/>
      <c r="BD1889" s="399">
        <v>1886</v>
      </c>
      <c r="BE1889" s="399" t="s">
        <v>5049</v>
      </c>
      <c r="BF1889" s="251" t="s">
        <v>5050</v>
      </c>
      <c r="BG1889" s="399" t="s">
        <v>489</v>
      </c>
      <c r="BH1889" s="252" t="s">
        <v>490</v>
      </c>
      <c r="BI1889" s="251" t="s">
        <v>365</v>
      </c>
      <c r="BJ1889" s="251" t="s">
        <v>380</v>
      </c>
      <c r="BK1889" s="251" t="s">
        <v>5051</v>
      </c>
      <c r="BL1889" s="251" t="s">
        <v>493</v>
      </c>
    </row>
    <row r="1890" spans="2:64" ht="15">
      <c r="B1890" s="84"/>
      <c r="D1890" s="84"/>
      <c r="E1890" s="84"/>
      <c r="F1890" s="84"/>
      <c r="G1890" s="84"/>
      <c r="R1890" s="251"/>
      <c r="S1890" s="251"/>
      <c r="BD1890" s="399">
        <v>1887</v>
      </c>
      <c r="BE1890" s="399" t="s">
        <v>5052</v>
      </c>
      <c r="BF1890" s="251" t="s">
        <v>5053</v>
      </c>
      <c r="BG1890" s="399" t="s">
        <v>475</v>
      </c>
      <c r="BH1890" s="252" t="s">
        <v>534</v>
      </c>
      <c r="BI1890" s="251" t="s">
        <v>350</v>
      </c>
      <c r="BJ1890" s="251" t="s">
        <v>351</v>
      </c>
      <c r="BK1890" s="251" t="s">
        <v>5054</v>
      </c>
      <c r="BL1890" s="251" t="s">
        <v>479</v>
      </c>
    </row>
    <row r="1891" spans="2:64" ht="15">
      <c r="B1891" s="84"/>
      <c r="D1891" s="84"/>
      <c r="E1891" s="84"/>
      <c r="F1891" s="84"/>
      <c r="G1891" s="84"/>
      <c r="R1891" s="251"/>
      <c r="S1891" s="251"/>
      <c r="BD1891" s="399">
        <v>1888</v>
      </c>
      <c r="BE1891" s="399" t="s">
        <v>5055</v>
      </c>
      <c r="BF1891" s="251" t="s">
        <v>5056</v>
      </c>
      <c r="BG1891" s="399" t="s">
        <v>566</v>
      </c>
      <c r="BH1891" s="252" t="s">
        <v>567</v>
      </c>
      <c r="BI1891" s="251" t="s">
        <v>332</v>
      </c>
      <c r="BJ1891" s="251" t="s">
        <v>366</v>
      </c>
      <c r="BK1891" s="251" t="s">
        <v>5057</v>
      </c>
      <c r="BL1891" s="251" t="s">
        <v>569</v>
      </c>
    </row>
    <row r="1892" spans="2:64" ht="15">
      <c r="B1892" s="84"/>
      <c r="D1892" s="84"/>
      <c r="E1892" s="84"/>
      <c r="F1892" s="84"/>
      <c r="G1892" s="84"/>
      <c r="R1892" s="251"/>
      <c r="S1892" s="251"/>
      <c r="BD1892" s="399">
        <v>1889</v>
      </c>
      <c r="BE1892" s="399" t="s">
        <v>5058</v>
      </c>
      <c r="BF1892" s="251" t="s">
        <v>5059</v>
      </c>
      <c r="BG1892" s="399" t="s">
        <v>363</v>
      </c>
      <c r="BH1892" s="252" t="s">
        <v>364</v>
      </c>
      <c r="BI1892" s="251" t="s">
        <v>615</v>
      </c>
      <c r="BJ1892" s="251" t="s">
        <v>539</v>
      </c>
      <c r="BK1892" s="251" t="s">
        <v>5060</v>
      </c>
      <c r="BL1892" s="251" t="s">
        <v>368</v>
      </c>
    </row>
    <row r="1893" spans="2:64" ht="15">
      <c r="B1893" s="84"/>
      <c r="D1893" s="84"/>
      <c r="E1893" s="84"/>
      <c r="F1893" s="84"/>
      <c r="G1893" s="84"/>
      <c r="R1893" s="251"/>
      <c r="S1893" s="251"/>
      <c r="BD1893" s="399">
        <v>1890</v>
      </c>
      <c r="BE1893" s="399" t="s">
        <v>5061</v>
      </c>
      <c r="BF1893" s="251" t="s">
        <v>5062</v>
      </c>
      <c r="BG1893" s="399" t="s">
        <v>395</v>
      </c>
      <c r="BH1893" s="252">
        <v>16</v>
      </c>
      <c r="BI1893" s="251" t="s">
        <v>1982</v>
      </c>
      <c r="BJ1893" s="251" t="s">
        <v>366</v>
      </c>
      <c r="BK1893" s="251" t="s">
        <v>5063</v>
      </c>
      <c r="BL1893" s="251" t="s">
        <v>399</v>
      </c>
    </row>
    <row r="1894" spans="2:64" ht="15">
      <c r="B1894" s="84"/>
      <c r="D1894" s="84"/>
      <c r="E1894" s="84"/>
      <c r="F1894" s="84"/>
      <c r="G1894" s="84"/>
      <c r="R1894" s="251"/>
      <c r="S1894" s="251"/>
      <c r="BD1894" s="399">
        <v>1891</v>
      </c>
      <c r="BE1894" s="399" t="s">
        <v>5064</v>
      </c>
      <c r="BF1894" s="251" t="s">
        <v>5065</v>
      </c>
      <c r="BG1894" s="399" t="s">
        <v>614</v>
      </c>
      <c r="BH1894" s="252">
        <v>38</v>
      </c>
      <c r="BI1894" s="251" t="s">
        <v>379</v>
      </c>
      <c r="BJ1894" s="251" t="s">
        <v>380</v>
      </c>
      <c r="BK1894" s="251" t="s">
        <v>5066</v>
      </c>
      <c r="BL1894" s="251" t="s">
        <v>617</v>
      </c>
    </row>
    <row r="1895" spans="2:64" ht="15">
      <c r="B1895" s="84"/>
      <c r="D1895" s="84"/>
      <c r="E1895" s="84"/>
      <c r="F1895" s="84"/>
      <c r="G1895" s="84"/>
      <c r="R1895" s="251"/>
      <c r="S1895" s="251"/>
      <c r="BD1895" s="399">
        <v>1892</v>
      </c>
      <c r="BE1895" s="399" t="s">
        <v>5067</v>
      </c>
      <c r="BF1895" s="251" t="s">
        <v>5068</v>
      </c>
      <c r="BG1895" s="399" t="s">
        <v>363</v>
      </c>
      <c r="BH1895" s="252" t="s">
        <v>364</v>
      </c>
      <c r="BI1895" s="251" t="s">
        <v>334</v>
      </c>
      <c r="BJ1895" s="251" t="s">
        <v>380</v>
      </c>
      <c r="BK1895" s="251" t="s">
        <v>5069</v>
      </c>
      <c r="BL1895" s="251" t="s">
        <v>368</v>
      </c>
    </row>
    <row r="1896" spans="2:64" ht="15">
      <c r="B1896" s="84"/>
      <c r="D1896" s="84"/>
      <c r="E1896" s="84"/>
      <c r="F1896" s="84"/>
      <c r="G1896" s="84"/>
      <c r="R1896" s="251"/>
      <c r="S1896" s="251"/>
      <c r="BD1896" s="399">
        <v>1893</v>
      </c>
      <c r="BE1896" s="399" t="s">
        <v>5070</v>
      </c>
      <c r="BF1896" s="251" t="s">
        <v>5071</v>
      </c>
      <c r="BG1896" s="399" t="s">
        <v>378</v>
      </c>
      <c r="BH1896" s="252">
        <v>11</v>
      </c>
      <c r="BI1896" s="251" t="s">
        <v>379</v>
      </c>
      <c r="BJ1896" s="251" t="s">
        <v>390</v>
      </c>
      <c r="BK1896" s="251" t="s">
        <v>5072</v>
      </c>
      <c r="BL1896" s="251" t="s">
        <v>382</v>
      </c>
    </row>
    <row r="1897" spans="2:64" ht="15">
      <c r="B1897" s="84"/>
      <c r="D1897" s="84"/>
      <c r="E1897" s="84"/>
      <c r="F1897" s="84"/>
      <c r="G1897" s="84"/>
      <c r="R1897" s="251"/>
      <c r="S1897" s="251"/>
      <c r="BD1897" s="399">
        <v>1894</v>
      </c>
      <c r="BE1897" s="399" t="s">
        <v>5073</v>
      </c>
      <c r="BF1897" s="251" t="s">
        <v>5074</v>
      </c>
      <c r="BG1897" s="399" t="s">
        <v>363</v>
      </c>
      <c r="BH1897" s="252" t="s">
        <v>364</v>
      </c>
      <c r="BI1897" s="251" t="s">
        <v>450</v>
      </c>
      <c r="BJ1897" s="251" t="s">
        <v>380</v>
      </c>
      <c r="BK1897" s="251" t="s">
        <v>5075</v>
      </c>
      <c r="BL1897" s="251" t="s">
        <v>368</v>
      </c>
    </row>
    <row r="1898" spans="2:64" ht="15">
      <c r="B1898" s="84"/>
      <c r="D1898" s="84"/>
      <c r="E1898" s="84"/>
      <c r="F1898" s="84"/>
      <c r="G1898" s="84"/>
      <c r="R1898" s="251"/>
      <c r="S1898" s="251"/>
      <c r="BD1898" s="399">
        <v>1895</v>
      </c>
      <c r="BE1898" s="399" t="s">
        <v>5076</v>
      </c>
      <c r="BF1898" s="251" t="s">
        <v>5077</v>
      </c>
      <c r="BG1898" s="399" t="s">
        <v>389</v>
      </c>
      <c r="BH1898" s="252">
        <v>39</v>
      </c>
      <c r="BI1898" s="251" t="s">
        <v>445</v>
      </c>
      <c r="BJ1898" s="251" t="s">
        <v>380</v>
      </c>
      <c r="BK1898" s="251" t="s">
        <v>5078</v>
      </c>
      <c r="BL1898" s="251" t="s">
        <v>392</v>
      </c>
    </row>
    <row r="1899" spans="2:64" ht="15">
      <c r="B1899" s="84"/>
      <c r="D1899" s="84"/>
      <c r="E1899" s="84"/>
      <c r="F1899" s="84"/>
      <c r="G1899" s="84"/>
      <c r="R1899" s="251"/>
      <c r="S1899" s="251"/>
      <c r="BD1899" s="399">
        <v>1896</v>
      </c>
      <c r="BE1899" s="399" t="s">
        <v>5079</v>
      </c>
      <c r="BF1899" s="251" t="s">
        <v>5080</v>
      </c>
      <c r="BG1899" s="399" t="s">
        <v>378</v>
      </c>
      <c r="BH1899" s="252">
        <v>11</v>
      </c>
      <c r="BI1899" s="251" t="s">
        <v>615</v>
      </c>
      <c r="BJ1899" s="251" t="s">
        <v>380</v>
      </c>
      <c r="BK1899" s="251" t="s">
        <v>5081</v>
      </c>
      <c r="BL1899" s="251" t="s">
        <v>382</v>
      </c>
    </row>
    <row r="1900" spans="2:64" ht="15">
      <c r="B1900" s="84"/>
      <c r="D1900" s="84"/>
      <c r="E1900" s="84"/>
      <c r="F1900" s="84"/>
      <c r="G1900" s="84"/>
      <c r="R1900" s="251"/>
      <c r="S1900" s="251"/>
      <c r="BD1900" s="399">
        <v>1897</v>
      </c>
      <c r="BE1900" s="399" t="s">
        <v>5082</v>
      </c>
      <c r="BF1900" s="251" t="s">
        <v>5083</v>
      </c>
      <c r="BG1900" s="399" t="s">
        <v>475</v>
      </c>
      <c r="BH1900" s="252" t="s">
        <v>476</v>
      </c>
      <c r="BI1900" s="251" t="s">
        <v>379</v>
      </c>
      <c r="BJ1900" s="251" t="s">
        <v>413</v>
      </c>
      <c r="BK1900" s="251" t="s">
        <v>5084</v>
      </c>
      <c r="BL1900" s="251" t="s">
        <v>479</v>
      </c>
    </row>
    <row r="1901" spans="2:64" ht="15">
      <c r="B1901" s="84"/>
      <c r="D1901" s="84"/>
      <c r="E1901" s="84"/>
      <c r="F1901" s="84"/>
      <c r="G1901" s="84"/>
      <c r="R1901" s="251"/>
      <c r="S1901" s="251"/>
      <c r="BD1901" s="399">
        <v>1898</v>
      </c>
      <c r="BE1901" s="399" t="s">
        <v>5085</v>
      </c>
      <c r="BF1901" s="251" t="s">
        <v>5086</v>
      </c>
      <c r="BG1901" s="399" t="s">
        <v>733</v>
      </c>
      <c r="BH1901" s="252" t="s">
        <v>734</v>
      </c>
      <c r="BI1901" s="251" t="s">
        <v>579</v>
      </c>
      <c r="BJ1901" s="251" t="s">
        <v>380</v>
      </c>
      <c r="BK1901" s="251" t="s">
        <v>5087</v>
      </c>
      <c r="BL1901" s="251" t="s">
        <v>736</v>
      </c>
    </row>
    <row r="1902" spans="2:64" ht="15">
      <c r="B1902" s="84"/>
      <c r="D1902" s="84"/>
      <c r="E1902" s="84"/>
      <c r="F1902" s="84"/>
      <c r="G1902" s="84"/>
      <c r="R1902" s="251"/>
      <c r="S1902" s="251"/>
      <c r="BD1902" s="399">
        <v>1899</v>
      </c>
      <c r="BE1902" s="399" t="s">
        <v>5088</v>
      </c>
      <c r="BF1902" s="251" t="s">
        <v>5089</v>
      </c>
      <c r="BG1902" s="399" t="s">
        <v>435</v>
      </c>
      <c r="BH1902" s="252" t="s">
        <v>436</v>
      </c>
      <c r="BI1902" s="251" t="s">
        <v>379</v>
      </c>
      <c r="BJ1902" s="251" t="s">
        <v>366</v>
      </c>
      <c r="BK1902" s="251" t="s">
        <v>5090</v>
      </c>
      <c r="BL1902" s="251" t="s">
        <v>439</v>
      </c>
    </row>
    <row r="1903" spans="2:64" ht="15">
      <c r="B1903" s="84"/>
      <c r="D1903" s="84"/>
      <c r="E1903" s="84"/>
      <c r="F1903" s="84"/>
      <c r="G1903" s="84"/>
      <c r="R1903" s="251"/>
      <c r="S1903" s="251"/>
      <c r="BD1903" s="399">
        <v>1900</v>
      </c>
      <c r="BE1903" s="399" t="s">
        <v>5091</v>
      </c>
      <c r="BF1903" s="251" t="s">
        <v>5092</v>
      </c>
      <c r="BG1903" s="399" t="s">
        <v>590</v>
      </c>
      <c r="BH1903" s="252" t="s">
        <v>2031</v>
      </c>
      <c r="BI1903" s="251" t="s">
        <v>365</v>
      </c>
      <c r="BJ1903" s="251" t="s">
        <v>366</v>
      </c>
      <c r="BK1903" s="251" t="s">
        <v>5093</v>
      </c>
      <c r="BL1903" s="251" t="s">
        <v>592</v>
      </c>
    </row>
    <row r="1904" spans="2:64" ht="15">
      <c r="B1904" s="84"/>
      <c r="D1904" s="84"/>
      <c r="E1904" s="84"/>
      <c r="F1904" s="84"/>
      <c r="G1904" s="84"/>
      <c r="R1904" s="251"/>
      <c r="S1904" s="251"/>
      <c r="BD1904" s="399">
        <v>1901</v>
      </c>
      <c r="BE1904" s="399" t="s">
        <v>5094</v>
      </c>
      <c r="BF1904" s="251" t="s">
        <v>5095</v>
      </c>
      <c r="BG1904" s="399" t="s">
        <v>363</v>
      </c>
      <c r="BH1904" s="252" t="s">
        <v>364</v>
      </c>
      <c r="BI1904" s="251" t="s">
        <v>728</v>
      </c>
      <c r="BJ1904" s="251" t="s">
        <v>539</v>
      </c>
      <c r="BK1904" s="251" t="s">
        <v>5096</v>
      </c>
      <c r="BL1904" s="251" t="s">
        <v>368</v>
      </c>
    </row>
    <row r="1905" spans="2:64" ht="15">
      <c r="B1905" s="84"/>
      <c r="D1905" s="84"/>
      <c r="E1905" s="84"/>
      <c r="F1905" s="84"/>
      <c r="G1905" s="84"/>
      <c r="R1905" s="251"/>
      <c r="S1905" s="251"/>
      <c r="BD1905" s="399">
        <v>1902</v>
      </c>
      <c r="BE1905" s="399" t="s">
        <v>5097</v>
      </c>
      <c r="BF1905" s="251" t="s">
        <v>5098</v>
      </c>
      <c r="BG1905" s="399" t="s">
        <v>435</v>
      </c>
      <c r="BH1905" s="252" t="s">
        <v>436</v>
      </c>
      <c r="BI1905" s="251" t="s">
        <v>334</v>
      </c>
      <c r="BJ1905" s="251" t="s">
        <v>350</v>
      </c>
      <c r="BK1905" s="251" t="s">
        <v>5099</v>
      </c>
      <c r="BL1905" s="251" t="s">
        <v>439</v>
      </c>
    </row>
    <row r="1906" spans="2:64" ht="15">
      <c r="B1906" s="84"/>
      <c r="D1906" s="84"/>
      <c r="E1906" s="84"/>
      <c r="F1906" s="84"/>
      <c r="G1906" s="84"/>
      <c r="R1906" s="251"/>
      <c r="S1906" s="251"/>
      <c r="BD1906" s="399">
        <v>1903</v>
      </c>
      <c r="BE1906" s="399" t="s">
        <v>5100</v>
      </c>
      <c r="BF1906" s="251" t="s">
        <v>5101</v>
      </c>
      <c r="BG1906" s="399" t="s">
        <v>378</v>
      </c>
      <c r="BH1906" s="252">
        <v>11</v>
      </c>
      <c r="BI1906" s="251" t="s">
        <v>728</v>
      </c>
      <c r="BJ1906" s="251" t="s">
        <v>539</v>
      </c>
      <c r="BK1906" s="251" t="s">
        <v>5102</v>
      </c>
      <c r="BL1906" s="251" t="s">
        <v>382</v>
      </c>
    </row>
    <row r="1907" spans="2:64" ht="15">
      <c r="B1907" s="84"/>
      <c r="D1907" s="84"/>
      <c r="E1907" s="84"/>
      <c r="F1907" s="84"/>
      <c r="G1907" s="84"/>
      <c r="R1907" s="251"/>
      <c r="S1907" s="251"/>
      <c r="BD1907" s="399">
        <v>1904</v>
      </c>
      <c r="BE1907" s="399" t="s">
        <v>5103</v>
      </c>
      <c r="BF1907" s="251" t="s">
        <v>5104</v>
      </c>
      <c r="BG1907" s="399">
        <v>52</v>
      </c>
      <c r="BH1907" s="252">
        <v>52</v>
      </c>
      <c r="BI1907" s="251" t="s">
        <v>390</v>
      </c>
      <c r="BJ1907" s="251" t="s">
        <v>380</v>
      </c>
      <c r="BK1907" s="251" t="s">
        <v>5105</v>
      </c>
      <c r="BL1907" s="251" t="s">
        <v>1121</v>
      </c>
    </row>
    <row r="1908" spans="2:64" ht="15">
      <c r="B1908" s="84"/>
      <c r="D1908" s="84"/>
      <c r="E1908" s="84"/>
      <c r="F1908" s="84"/>
      <c r="G1908" s="84"/>
      <c r="R1908" s="251"/>
      <c r="S1908" s="251"/>
      <c r="BD1908" s="399">
        <v>1905</v>
      </c>
      <c r="BE1908" s="399" t="s">
        <v>5106</v>
      </c>
      <c r="BF1908" s="251" t="s">
        <v>5107</v>
      </c>
      <c r="BG1908" s="399" t="s">
        <v>378</v>
      </c>
      <c r="BH1908" s="252">
        <v>11</v>
      </c>
      <c r="BI1908" s="251" t="s">
        <v>331</v>
      </c>
      <c r="BJ1908" s="251" t="s">
        <v>380</v>
      </c>
      <c r="BK1908" s="251" t="s">
        <v>5108</v>
      </c>
      <c r="BL1908" s="251" t="s">
        <v>382</v>
      </c>
    </row>
    <row r="1909" spans="2:64" ht="15">
      <c r="B1909" s="84"/>
      <c r="D1909" s="84"/>
      <c r="E1909" s="84"/>
      <c r="F1909" s="84"/>
      <c r="G1909" s="84"/>
      <c r="R1909" s="251"/>
      <c r="S1909" s="251"/>
      <c r="BD1909" s="399">
        <v>1906</v>
      </c>
      <c r="BE1909" s="399" t="s">
        <v>5109</v>
      </c>
      <c r="BF1909" s="251" t="s">
        <v>5110</v>
      </c>
      <c r="BG1909" s="399" t="s">
        <v>475</v>
      </c>
      <c r="BH1909" s="252" t="s">
        <v>534</v>
      </c>
      <c r="BI1909" s="251" t="s">
        <v>331</v>
      </c>
      <c r="BJ1909" s="251" t="s">
        <v>396</v>
      </c>
      <c r="BK1909" s="251" t="s">
        <v>5111</v>
      </c>
      <c r="BL1909" s="251" t="s">
        <v>479</v>
      </c>
    </row>
    <row r="1910" spans="2:64" ht="15">
      <c r="B1910" s="84"/>
      <c r="D1910" s="84"/>
      <c r="E1910" s="84"/>
      <c r="F1910" s="84"/>
      <c r="G1910" s="84"/>
      <c r="R1910" s="251"/>
      <c r="S1910" s="251"/>
      <c r="BD1910" s="399">
        <v>1907</v>
      </c>
      <c r="BE1910" s="399" t="s">
        <v>1929</v>
      </c>
      <c r="BF1910" s="251" t="s">
        <v>5112</v>
      </c>
      <c r="BG1910" s="399" t="s">
        <v>489</v>
      </c>
      <c r="BH1910" s="252" t="s">
        <v>658</v>
      </c>
      <c r="BI1910" s="251" t="s">
        <v>334</v>
      </c>
      <c r="BJ1910" s="251" t="s">
        <v>380</v>
      </c>
      <c r="BK1910" s="251" t="s">
        <v>5113</v>
      </c>
      <c r="BL1910" s="251" t="s">
        <v>493</v>
      </c>
    </row>
    <row r="1911" spans="2:64" ht="15">
      <c r="B1911" s="84"/>
      <c r="D1911" s="84"/>
      <c r="E1911" s="84"/>
      <c r="F1911" s="84"/>
      <c r="G1911" s="84"/>
      <c r="R1911" s="251"/>
      <c r="S1911" s="251"/>
      <c r="BD1911" s="399">
        <v>1908</v>
      </c>
      <c r="BE1911" s="399" t="s">
        <v>5114</v>
      </c>
      <c r="BF1911" s="251" t="s">
        <v>152</v>
      </c>
      <c r="BG1911" s="399">
        <v>57</v>
      </c>
      <c r="BH1911" s="252">
        <v>57</v>
      </c>
      <c r="BI1911" s="251" t="s">
        <v>332</v>
      </c>
      <c r="BJ1911" s="251" t="s">
        <v>539</v>
      </c>
      <c r="BK1911" s="251" t="s">
        <v>5115</v>
      </c>
      <c r="BL1911" s="251" t="s">
        <v>725</v>
      </c>
    </row>
    <row r="1912" spans="2:64" ht="15">
      <c r="B1912" s="84"/>
      <c r="D1912" s="84"/>
      <c r="E1912" s="84"/>
      <c r="F1912" s="84"/>
      <c r="G1912" s="84"/>
      <c r="R1912" s="251"/>
      <c r="S1912" s="251"/>
      <c r="BD1912" s="399">
        <v>1909</v>
      </c>
      <c r="BE1912" s="399" t="s">
        <v>5116</v>
      </c>
      <c r="BF1912" s="251" t="s">
        <v>5117</v>
      </c>
      <c r="BG1912" s="399" t="s">
        <v>429</v>
      </c>
      <c r="BH1912" s="252" t="s">
        <v>430</v>
      </c>
      <c r="BI1912" s="251" t="s">
        <v>379</v>
      </c>
      <c r="BJ1912" s="251" t="s">
        <v>385</v>
      </c>
      <c r="BK1912" s="251" t="s">
        <v>5118</v>
      </c>
      <c r="BL1912" s="251" t="s">
        <v>432</v>
      </c>
    </row>
    <row r="1913" spans="2:64" ht="15">
      <c r="B1913" s="84"/>
      <c r="D1913" s="84"/>
      <c r="E1913" s="84"/>
      <c r="F1913" s="84"/>
      <c r="G1913" s="84"/>
      <c r="R1913" s="251"/>
      <c r="S1913" s="251"/>
      <c r="BD1913" s="399">
        <v>1910</v>
      </c>
      <c r="BE1913" s="399" t="s">
        <v>2665</v>
      </c>
      <c r="BF1913" s="251" t="s">
        <v>5119</v>
      </c>
      <c r="BG1913" s="399" t="s">
        <v>435</v>
      </c>
      <c r="BH1913" s="252" t="s">
        <v>436</v>
      </c>
      <c r="BI1913" s="251" t="s">
        <v>331</v>
      </c>
      <c r="BJ1913" s="251" t="s">
        <v>407</v>
      </c>
      <c r="BK1913" s="251" t="s">
        <v>2666</v>
      </c>
      <c r="BL1913" s="251" t="s">
        <v>439</v>
      </c>
    </row>
    <row r="1914" spans="2:64" ht="15">
      <c r="B1914" s="84"/>
      <c r="D1914" s="84"/>
      <c r="E1914" s="84"/>
      <c r="F1914" s="84"/>
      <c r="G1914" s="84"/>
      <c r="R1914" s="251"/>
      <c r="S1914" s="251"/>
      <c r="BD1914" s="399">
        <v>1911</v>
      </c>
      <c r="BE1914" s="399" t="s">
        <v>5120</v>
      </c>
      <c r="BF1914" s="251" t="s">
        <v>5121</v>
      </c>
      <c r="BG1914" s="399" t="s">
        <v>405</v>
      </c>
      <c r="BH1914" s="252" t="s">
        <v>830</v>
      </c>
      <c r="BI1914" s="251" t="s">
        <v>1638</v>
      </c>
      <c r="BJ1914" s="251" t="s">
        <v>366</v>
      </c>
      <c r="BK1914" s="251" t="s">
        <v>5122</v>
      </c>
      <c r="BL1914" s="251" t="s">
        <v>409</v>
      </c>
    </row>
    <row r="1915" spans="2:64" ht="15">
      <c r="B1915" s="84"/>
      <c r="D1915" s="84"/>
      <c r="E1915" s="84"/>
      <c r="F1915" s="84"/>
      <c r="G1915" s="84"/>
      <c r="R1915" s="251"/>
      <c r="S1915" s="251"/>
      <c r="BD1915" s="399">
        <v>1912</v>
      </c>
      <c r="BE1915" s="399" t="s">
        <v>5123</v>
      </c>
      <c r="BF1915" s="251" t="s">
        <v>5124</v>
      </c>
      <c r="BG1915" s="399" t="s">
        <v>455</v>
      </c>
      <c r="BH1915" s="252">
        <v>35</v>
      </c>
      <c r="BI1915" s="251" t="s">
        <v>477</v>
      </c>
      <c r="BJ1915" s="251" t="s">
        <v>390</v>
      </c>
      <c r="BK1915" s="251" t="s">
        <v>5125</v>
      </c>
      <c r="BL1915" s="251" t="s">
        <v>458</v>
      </c>
    </row>
    <row r="1916" spans="2:64" ht="15">
      <c r="B1916" s="84"/>
      <c r="D1916" s="84"/>
      <c r="E1916" s="84"/>
      <c r="F1916" s="84"/>
      <c r="G1916" s="84"/>
      <c r="R1916" s="251"/>
      <c r="S1916" s="251"/>
      <c r="BD1916" s="399">
        <v>1913</v>
      </c>
      <c r="BE1916" s="399" t="s">
        <v>5126</v>
      </c>
      <c r="BF1916" s="251" t="s">
        <v>5127</v>
      </c>
      <c r="BG1916" s="399" t="s">
        <v>405</v>
      </c>
      <c r="BH1916" s="252" t="s">
        <v>830</v>
      </c>
      <c r="BI1916" s="251" t="s">
        <v>379</v>
      </c>
      <c r="BJ1916" s="251" t="s">
        <v>380</v>
      </c>
      <c r="BK1916" s="251" t="s">
        <v>5128</v>
      </c>
      <c r="BL1916" s="251" t="s">
        <v>409</v>
      </c>
    </row>
    <row r="1917" spans="2:64" ht="15">
      <c r="B1917" s="84"/>
      <c r="D1917" s="84"/>
      <c r="E1917" s="84"/>
      <c r="F1917" s="84"/>
      <c r="G1917" s="84"/>
      <c r="R1917" s="251"/>
      <c r="S1917" s="251"/>
      <c r="BD1917" s="399">
        <v>1914</v>
      </c>
      <c r="BE1917" s="399" t="s">
        <v>5129</v>
      </c>
      <c r="BF1917" s="251" t="s">
        <v>5130</v>
      </c>
      <c r="BG1917" s="399" t="s">
        <v>378</v>
      </c>
      <c r="BH1917" s="252">
        <v>11</v>
      </c>
      <c r="BI1917" s="251" t="s">
        <v>331</v>
      </c>
      <c r="BJ1917" s="251" t="s">
        <v>351</v>
      </c>
      <c r="BK1917" s="251" t="s">
        <v>5131</v>
      </c>
      <c r="BL1917" s="251" t="s">
        <v>382</v>
      </c>
    </row>
    <row r="1918" spans="2:64" ht="15">
      <c r="B1918" s="84"/>
      <c r="D1918" s="84"/>
      <c r="E1918" s="84"/>
      <c r="F1918" s="84"/>
      <c r="G1918" s="84"/>
      <c r="R1918" s="251"/>
      <c r="S1918" s="251"/>
      <c r="BD1918" s="399">
        <v>1915</v>
      </c>
      <c r="BE1918" s="399" t="s">
        <v>5132</v>
      </c>
      <c r="BF1918" s="251" t="s">
        <v>5133</v>
      </c>
      <c r="BG1918" s="399" t="s">
        <v>349</v>
      </c>
      <c r="BH1918" s="252">
        <v>17</v>
      </c>
      <c r="BI1918" s="251" t="s">
        <v>379</v>
      </c>
      <c r="BJ1918" s="251" t="s">
        <v>407</v>
      </c>
      <c r="BK1918" s="251" t="s">
        <v>5134</v>
      </c>
      <c r="BL1918" s="251" t="s">
        <v>353</v>
      </c>
    </row>
    <row r="1919" spans="2:64" ht="15">
      <c r="B1919" s="84"/>
      <c r="D1919" s="84"/>
      <c r="E1919" s="84"/>
      <c r="F1919" s="84"/>
      <c r="G1919" s="84"/>
      <c r="R1919" s="251"/>
      <c r="S1919" s="251"/>
      <c r="BD1919" s="399">
        <v>1916</v>
      </c>
      <c r="BE1919" s="399" t="s">
        <v>5135</v>
      </c>
      <c r="BF1919" s="251" t="s">
        <v>5136</v>
      </c>
      <c r="BG1919" s="399" t="s">
        <v>429</v>
      </c>
      <c r="BH1919" s="252" t="s">
        <v>430</v>
      </c>
      <c r="BI1919" s="251" t="s">
        <v>365</v>
      </c>
      <c r="BJ1919" s="251" t="s">
        <v>366</v>
      </c>
      <c r="BK1919" s="251" t="s">
        <v>5137</v>
      </c>
      <c r="BL1919" s="251" t="s">
        <v>432</v>
      </c>
    </row>
    <row r="1920" spans="2:64" ht="15">
      <c r="B1920" s="84"/>
      <c r="D1920" s="84"/>
      <c r="E1920" s="84"/>
      <c r="F1920" s="84"/>
      <c r="G1920" s="84"/>
      <c r="R1920" s="251"/>
      <c r="S1920" s="251"/>
      <c r="BD1920" s="399">
        <v>1917</v>
      </c>
      <c r="BE1920" s="399" t="s">
        <v>5138</v>
      </c>
      <c r="BF1920" s="251" t="s">
        <v>5139</v>
      </c>
      <c r="BG1920" s="399" t="s">
        <v>519</v>
      </c>
      <c r="BH1920" s="252">
        <v>30</v>
      </c>
      <c r="BI1920" s="251" t="s">
        <v>563</v>
      </c>
      <c r="BJ1920" s="251" t="s">
        <v>385</v>
      </c>
      <c r="BK1920" s="251" t="s">
        <v>5140</v>
      </c>
      <c r="BL1920" s="251" t="s">
        <v>521</v>
      </c>
    </row>
    <row r="1921" spans="2:64" ht="15">
      <c r="B1921" s="84"/>
      <c r="D1921" s="84"/>
      <c r="E1921" s="84"/>
      <c r="F1921" s="84"/>
      <c r="G1921" s="84"/>
      <c r="R1921" s="251"/>
      <c r="S1921" s="251"/>
      <c r="BD1921" s="399">
        <v>1918</v>
      </c>
      <c r="BE1921" s="399" t="s">
        <v>5141</v>
      </c>
      <c r="BF1921" s="251" t="s">
        <v>5142</v>
      </c>
      <c r="BG1921" s="399" t="s">
        <v>349</v>
      </c>
      <c r="BH1921" s="252">
        <v>17</v>
      </c>
      <c r="BI1921" s="251" t="s">
        <v>332</v>
      </c>
      <c r="BJ1921" s="251" t="s">
        <v>407</v>
      </c>
      <c r="BK1921" s="251" t="s">
        <v>5143</v>
      </c>
      <c r="BL1921" s="251" t="s">
        <v>353</v>
      </c>
    </row>
    <row r="1922" spans="2:64" ht="15">
      <c r="B1922" s="84"/>
      <c r="D1922" s="84"/>
      <c r="E1922" s="84"/>
      <c r="F1922" s="84"/>
      <c r="G1922" s="84"/>
      <c r="R1922" s="251"/>
      <c r="S1922" s="251"/>
      <c r="BD1922" s="399">
        <v>1919</v>
      </c>
      <c r="BE1922" s="399" t="s">
        <v>5144</v>
      </c>
      <c r="BF1922" s="251" t="s">
        <v>5145</v>
      </c>
      <c r="BG1922" s="399" t="s">
        <v>395</v>
      </c>
      <c r="BH1922" s="252">
        <v>16</v>
      </c>
      <c r="BI1922" s="251" t="s">
        <v>379</v>
      </c>
      <c r="BJ1922" s="251" t="s">
        <v>351</v>
      </c>
      <c r="BK1922" s="251" t="s">
        <v>5146</v>
      </c>
      <c r="BL1922" s="251" t="s">
        <v>399</v>
      </c>
    </row>
    <row r="1923" spans="2:64" ht="15">
      <c r="B1923" s="84"/>
      <c r="D1923" s="84"/>
      <c r="E1923" s="84"/>
      <c r="F1923" s="84"/>
      <c r="G1923" s="84"/>
      <c r="R1923" s="251"/>
      <c r="S1923" s="251"/>
      <c r="BD1923" s="399">
        <v>1920</v>
      </c>
      <c r="BE1923" s="399" t="s">
        <v>5147</v>
      </c>
      <c r="BF1923" s="251" t="s">
        <v>5148</v>
      </c>
      <c r="BG1923" s="399" t="s">
        <v>429</v>
      </c>
      <c r="BH1923" s="252" t="s">
        <v>430</v>
      </c>
      <c r="BI1923" s="251" t="s">
        <v>563</v>
      </c>
      <c r="BJ1923" s="251" t="s">
        <v>397</v>
      </c>
      <c r="BK1923" s="251" t="s">
        <v>5149</v>
      </c>
      <c r="BL1923" s="251" t="s">
        <v>432</v>
      </c>
    </row>
    <row r="1924" spans="2:64" ht="15">
      <c r="B1924" s="84"/>
      <c r="D1924" s="84"/>
      <c r="E1924" s="84"/>
      <c r="F1924" s="84"/>
      <c r="G1924" s="84"/>
      <c r="R1924" s="251"/>
      <c r="S1924" s="251"/>
      <c r="BD1924" s="399">
        <v>1921</v>
      </c>
      <c r="BE1924" s="399" t="s">
        <v>5150</v>
      </c>
      <c r="BF1924" s="251" t="s">
        <v>5151</v>
      </c>
      <c r="BG1924" s="399" t="s">
        <v>469</v>
      </c>
      <c r="BH1924" s="252" t="s">
        <v>662</v>
      </c>
      <c r="BI1924" s="251" t="s">
        <v>450</v>
      </c>
      <c r="BJ1924" s="251" t="s">
        <v>366</v>
      </c>
      <c r="BK1924" s="251" t="s">
        <v>5152</v>
      </c>
      <c r="BL1924" s="251" t="s">
        <v>472</v>
      </c>
    </row>
    <row r="1925" spans="2:64" ht="15">
      <c r="B1925" s="84"/>
      <c r="D1925" s="84"/>
      <c r="E1925" s="84"/>
      <c r="F1925" s="84"/>
      <c r="G1925" s="84"/>
      <c r="R1925" s="251"/>
      <c r="S1925" s="251"/>
      <c r="BD1925" s="399">
        <v>1922</v>
      </c>
      <c r="BE1925" s="399" t="s">
        <v>5153</v>
      </c>
      <c r="BF1925" s="251" t="s">
        <v>5154</v>
      </c>
      <c r="BG1925" s="399" t="s">
        <v>449</v>
      </c>
      <c r="BH1925" s="252">
        <v>43</v>
      </c>
      <c r="BI1925" s="251" t="s">
        <v>365</v>
      </c>
      <c r="BJ1925" s="251" t="s">
        <v>385</v>
      </c>
      <c r="BK1925" s="251" t="s">
        <v>5155</v>
      </c>
      <c r="BL1925" s="251" t="s">
        <v>452</v>
      </c>
    </row>
    <row r="1926" spans="2:64" ht="15">
      <c r="B1926" s="84"/>
      <c r="D1926" s="84"/>
      <c r="E1926" s="84"/>
      <c r="F1926" s="84"/>
      <c r="G1926" s="84"/>
      <c r="R1926" s="251"/>
      <c r="S1926" s="251"/>
      <c r="BD1926" s="399">
        <v>1923</v>
      </c>
      <c r="BE1926" s="399" t="s">
        <v>5156</v>
      </c>
      <c r="BF1926" s="251" t="s">
        <v>5157</v>
      </c>
      <c r="BG1926" s="399" t="s">
        <v>739</v>
      </c>
      <c r="BH1926" s="252">
        <v>45</v>
      </c>
      <c r="BI1926" s="251" t="s">
        <v>331</v>
      </c>
      <c r="BJ1926" s="251" t="s">
        <v>366</v>
      </c>
      <c r="BK1926" s="251" t="s">
        <v>5158</v>
      </c>
      <c r="BL1926" s="251" t="s">
        <v>742</v>
      </c>
    </row>
    <row r="1927" spans="2:64" ht="15">
      <c r="B1927" s="84"/>
      <c r="D1927" s="84"/>
      <c r="E1927" s="84"/>
      <c r="F1927" s="84"/>
      <c r="G1927" s="84"/>
      <c r="R1927" s="251"/>
      <c r="S1927" s="251"/>
      <c r="BD1927" s="399">
        <v>1924</v>
      </c>
      <c r="BE1927" s="399" t="s">
        <v>5159</v>
      </c>
      <c r="BF1927" s="251" t="s">
        <v>5160</v>
      </c>
      <c r="BG1927" s="399" t="s">
        <v>395</v>
      </c>
      <c r="BH1927" s="252">
        <v>16</v>
      </c>
      <c r="BI1927" s="251" t="s">
        <v>332</v>
      </c>
      <c r="BJ1927" s="251" t="s">
        <v>5161</v>
      </c>
      <c r="BK1927" s="251" t="s">
        <v>5162</v>
      </c>
      <c r="BL1927" s="251" t="s">
        <v>399</v>
      </c>
    </row>
    <row r="1928" spans="2:64" ht="15">
      <c r="B1928" s="84"/>
      <c r="D1928" s="84"/>
      <c r="E1928" s="84"/>
      <c r="F1928" s="84"/>
      <c r="G1928" s="84"/>
      <c r="R1928" s="251"/>
      <c r="S1928" s="251"/>
      <c r="BD1928" s="399">
        <v>1925</v>
      </c>
      <c r="BE1928" s="399" t="s">
        <v>5163</v>
      </c>
      <c r="BF1928" s="251" t="s">
        <v>5164</v>
      </c>
      <c r="BG1928" s="399" t="s">
        <v>733</v>
      </c>
      <c r="BH1928" s="252">
        <v>42</v>
      </c>
      <c r="BI1928" s="251" t="s">
        <v>728</v>
      </c>
      <c r="BJ1928" s="251" t="s">
        <v>366</v>
      </c>
      <c r="BK1928" s="251" t="s">
        <v>5165</v>
      </c>
      <c r="BL1928" s="251" t="s">
        <v>736</v>
      </c>
    </row>
    <row r="1929" spans="2:64" ht="15">
      <c r="B1929" s="84"/>
      <c r="D1929" s="84"/>
      <c r="E1929" s="84"/>
      <c r="F1929" s="84"/>
      <c r="G1929" s="84"/>
      <c r="R1929" s="251"/>
      <c r="S1929" s="251"/>
      <c r="BD1929" s="399">
        <v>1926</v>
      </c>
      <c r="BE1929" s="399" t="s">
        <v>5166</v>
      </c>
      <c r="BF1929" s="251" t="s">
        <v>5167</v>
      </c>
      <c r="BG1929" s="399" t="s">
        <v>435</v>
      </c>
      <c r="BH1929" s="252" t="s">
        <v>681</v>
      </c>
      <c r="BI1929" s="251" t="s">
        <v>689</v>
      </c>
      <c r="BJ1929" s="251" t="s">
        <v>390</v>
      </c>
      <c r="BK1929" s="251" t="s">
        <v>5168</v>
      </c>
      <c r="BL1929" s="251" t="s">
        <v>439</v>
      </c>
    </row>
    <row r="1930" spans="2:64" ht="15">
      <c r="B1930" s="84"/>
      <c r="D1930" s="84"/>
      <c r="E1930" s="84"/>
      <c r="F1930" s="84"/>
      <c r="G1930" s="84"/>
      <c r="R1930" s="251"/>
      <c r="S1930" s="251"/>
      <c r="BD1930" s="399">
        <v>1927</v>
      </c>
      <c r="BE1930" s="399" t="s">
        <v>5169</v>
      </c>
      <c r="BF1930" s="251" t="s">
        <v>5170</v>
      </c>
      <c r="BG1930" s="399" t="s">
        <v>356</v>
      </c>
      <c r="BH1930" s="252">
        <v>18</v>
      </c>
      <c r="BI1930" s="251" t="s">
        <v>379</v>
      </c>
      <c r="BJ1930" s="251" t="s">
        <v>380</v>
      </c>
      <c r="BK1930" s="251" t="s">
        <v>5171</v>
      </c>
      <c r="BL1930" s="251" t="s">
        <v>360</v>
      </c>
    </row>
    <row r="1931" spans="2:64" ht="15">
      <c r="B1931" s="84"/>
      <c r="D1931" s="84"/>
      <c r="E1931" s="84"/>
      <c r="F1931" s="84"/>
      <c r="G1931" s="84"/>
      <c r="R1931" s="251"/>
      <c r="S1931" s="251"/>
      <c r="BD1931" s="399">
        <v>1928</v>
      </c>
      <c r="BE1931" s="399" t="s">
        <v>5172</v>
      </c>
      <c r="BF1931" s="251" t="s">
        <v>5173</v>
      </c>
      <c r="BG1931" s="399" t="s">
        <v>469</v>
      </c>
      <c r="BH1931" s="252" t="s">
        <v>470</v>
      </c>
      <c r="BI1931" s="251" t="s">
        <v>450</v>
      </c>
      <c r="BJ1931" s="251" t="s">
        <v>385</v>
      </c>
      <c r="BK1931" s="251" t="s">
        <v>5174</v>
      </c>
      <c r="BL1931" s="251" t="s">
        <v>472</v>
      </c>
    </row>
    <row r="1932" spans="2:64" ht="15">
      <c r="B1932" s="84"/>
      <c r="D1932" s="84"/>
      <c r="E1932" s="84"/>
      <c r="F1932" s="84"/>
      <c r="G1932" s="84"/>
      <c r="R1932" s="251"/>
      <c r="S1932" s="251"/>
      <c r="BD1932" s="399">
        <v>1929</v>
      </c>
      <c r="BE1932" s="399" t="s">
        <v>5175</v>
      </c>
      <c r="BF1932" s="251" t="s">
        <v>5176</v>
      </c>
      <c r="BG1932" s="399" t="s">
        <v>566</v>
      </c>
      <c r="BH1932" s="252" t="s">
        <v>567</v>
      </c>
      <c r="BI1932" s="251" t="s">
        <v>615</v>
      </c>
      <c r="BJ1932" s="251" t="s">
        <v>385</v>
      </c>
      <c r="BK1932" s="251" t="s">
        <v>5177</v>
      </c>
      <c r="BL1932" s="251" t="s">
        <v>569</v>
      </c>
    </row>
    <row r="1933" spans="2:64" ht="15">
      <c r="B1933" s="84"/>
      <c r="D1933" s="84"/>
      <c r="E1933" s="84"/>
      <c r="F1933" s="84"/>
      <c r="G1933" s="84"/>
      <c r="R1933" s="251"/>
      <c r="S1933" s="251"/>
      <c r="BD1933" s="399">
        <v>1930</v>
      </c>
      <c r="BE1933" s="399" t="s">
        <v>5178</v>
      </c>
      <c r="BF1933" s="251" t="s">
        <v>5179</v>
      </c>
      <c r="BG1933" s="399" t="s">
        <v>469</v>
      </c>
      <c r="BH1933" s="252" t="s">
        <v>470</v>
      </c>
      <c r="BI1933" s="251" t="s">
        <v>5180</v>
      </c>
      <c r="BJ1933" s="251" t="s">
        <v>2032</v>
      </c>
      <c r="BK1933" s="251" t="s">
        <v>5181</v>
      </c>
      <c r="BL1933" s="251" t="s">
        <v>472</v>
      </c>
    </row>
    <row r="1934" spans="2:64" ht="15">
      <c r="B1934" s="84"/>
      <c r="D1934" s="84"/>
      <c r="E1934" s="84"/>
      <c r="F1934" s="84"/>
      <c r="G1934" s="84"/>
      <c r="R1934" s="251"/>
      <c r="S1934" s="251"/>
      <c r="BD1934" s="399">
        <v>1931</v>
      </c>
      <c r="BE1934" s="399" t="s">
        <v>5182</v>
      </c>
      <c r="BF1934" s="251" t="s">
        <v>5183</v>
      </c>
      <c r="BG1934" s="399" t="s">
        <v>602</v>
      </c>
      <c r="BH1934" s="252">
        <v>47</v>
      </c>
      <c r="BI1934" s="251" t="s">
        <v>740</v>
      </c>
      <c r="BJ1934" s="251" t="s">
        <v>366</v>
      </c>
      <c r="BK1934" s="251" t="s">
        <v>5184</v>
      </c>
      <c r="BL1934" s="251" t="s">
        <v>604</v>
      </c>
    </row>
    <row r="1935" spans="2:64" ht="15">
      <c r="B1935" s="84"/>
      <c r="D1935" s="84"/>
      <c r="E1935" s="84"/>
      <c r="F1935" s="84"/>
      <c r="G1935" s="84"/>
      <c r="R1935" s="251"/>
      <c r="S1935" s="251"/>
      <c r="BD1935" s="399">
        <v>1932</v>
      </c>
      <c r="BE1935" s="399" t="s">
        <v>5185</v>
      </c>
      <c r="BF1935" s="251" t="s">
        <v>5186</v>
      </c>
      <c r="BG1935" s="399">
        <v>51</v>
      </c>
      <c r="BH1935" s="252">
        <v>51</v>
      </c>
      <c r="BI1935" s="251" t="s">
        <v>445</v>
      </c>
      <c r="BJ1935" s="251" t="s">
        <v>385</v>
      </c>
      <c r="BK1935" s="251" t="s">
        <v>5187</v>
      </c>
      <c r="BL1935" s="251" t="s">
        <v>730</v>
      </c>
    </row>
    <row r="1936" spans="2:64" ht="15">
      <c r="B1936" s="84"/>
      <c r="D1936" s="84"/>
      <c r="E1936" s="84"/>
      <c r="F1936" s="84"/>
      <c r="G1936" s="84"/>
      <c r="R1936" s="251"/>
      <c r="S1936" s="251"/>
      <c r="BD1936" s="399">
        <v>1933</v>
      </c>
      <c r="BE1936" s="399" t="s">
        <v>5188</v>
      </c>
      <c r="BF1936" s="251" t="s">
        <v>5189</v>
      </c>
      <c r="BG1936" s="399" t="s">
        <v>519</v>
      </c>
      <c r="BH1936" s="252">
        <v>30</v>
      </c>
      <c r="BI1936" s="251" t="s">
        <v>334</v>
      </c>
      <c r="BJ1936" s="251" t="s">
        <v>380</v>
      </c>
      <c r="BK1936" s="251" t="s">
        <v>5190</v>
      </c>
      <c r="BL1936" s="251" t="s">
        <v>521</v>
      </c>
    </row>
    <row r="1937" spans="2:64" ht="15">
      <c r="B1937" s="84"/>
      <c r="D1937" s="84"/>
      <c r="E1937" s="84"/>
      <c r="F1937" s="84"/>
      <c r="G1937" s="84"/>
      <c r="R1937" s="251"/>
      <c r="S1937" s="251"/>
      <c r="BD1937" s="399">
        <v>1934</v>
      </c>
      <c r="BE1937" s="399" t="s">
        <v>5191</v>
      </c>
      <c r="BF1937" s="251" t="s">
        <v>5192</v>
      </c>
      <c r="BG1937" s="399" t="s">
        <v>614</v>
      </c>
      <c r="BH1937" s="252">
        <v>38</v>
      </c>
      <c r="BI1937" s="251" t="s">
        <v>365</v>
      </c>
      <c r="BJ1937" s="251" t="s">
        <v>385</v>
      </c>
      <c r="BK1937" s="251" t="s">
        <v>5193</v>
      </c>
      <c r="BL1937" s="251" t="s">
        <v>617</v>
      </c>
    </row>
    <row r="1938" spans="2:64" ht="15">
      <c r="B1938" s="84"/>
      <c r="D1938" s="84"/>
      <c r="E1938" s="84"/>
      <c r="F1938" s="84"/>
      <c r="G1938" s="84"/>
      <c r="R1938" s="251"/>
      <c r="S1938" s="251"/>
      <c r="BD1938" s="399">
        <v>1935</v>
      </c>
      <c r="BE1938" s="399" t="s">
        <v>2555</v>
      </c>
      <c r="BF1938" s="251" t="s">
        <v>5194</v>
      </c>
      <c r="BG1938" s="399" t="s">
        <v>566</v>
      </c>
      <c r="BH1938" s="252" t="s">
        <v>1004</v>
      </c>
      <c r="BI1938" s="251" t="s">
        <v>331</v>
      </c>
      <c r="BJ1938" s="251" t="s">
        <v>380</v>
      </c>
      <c r="BK1938" s="251" t="s">
        <v>5195</v>
      </c>
      <c r="BL1938" s="251" t="s">
        <v>569</v>
      </c>
    </row>
    <row r="1939" spans="2:64" ht="15">
      <c r="B1939" s="84"/>
      <c r="D1939" s="84"/>
      <c r="E1939" s="84"/>
      <c r="F1939" s="84"/>
      <c r="G1939" s="84"/>
      <c r="R1939" s="251"/>
      <c r="S1939" s="251"/>
      <c r="BD1939" s="399">
        <v>1936</v>
      </c>
      <c r="BE1939" s="399" t="s">
        <v>5196</v>
      </c>
      <c r="BF1939" s="251" t="s">
        <v>154</v>
      </c>
      <c r="BG1939" s="399" t="s">
        <v>349</v>
      </c>
      <c r="BH1939" s="252">
        <v>17</v>
      </c>
      <c r="BI1939" s="251" t="s">
        <v>615</v>
      </c>
      <c r="BJ1939" s="251" t="s">
        <v>380</v>
      </c>
      <c r="BK1939" s="251" t="s">
        <v>5197</v>
      </c>
      <c r="BL1939" s="251" t="s">
        <v>353</v>
      </c>
    </row>
    <row r="1940" spans="2:64" ht="15">
      <c r="B1940" s="84"/>
      <c r="D1940" s="84"/>
      <c r="E1940" s="84"/>
      <c r="F1940" s="84"/>
      <c r="G1940" s="84"/>
      <c r="R1940" s="251"/>
      <c r="S1940" s="251"/>
      <c r="BD1940" s="399">
        <v>1937</v>
      </c>
      <c r="BE1940" s="399" t="s">
        <v>5198</v>
      </c>
      <c r="BF1940" s="251" t="s">
        <v>5199</v>
      </c>
      <c r="BG1940" s="399" t="s">
        <v>733</v>
      </c>
      <c r="BH1940" s="252" t="s">
        <v>734</v>
      </c>
      <c r="BI1940" s="251" t="s">
        <v>365</v>
      </c>
      <c r="BJ1940" s="251" t="s">
        <v>397</v>
      </c>
      <c r="BK1940" s="251" t="s">
        <v>5200</v>
      </c>
      <c r="BL1940" s="251" t="s">
        <v>736</v>
      </c>
    </row>
    <row r="1941" spans="2:64" ht="15">
      <c r="B1941" s="84"/>
      <c r="D1941" s="84"/>
      <c r="E1941" s="84"/>
      <c r="F1941" s="84"/>
      <c r="G1941" s="84"/>
      <c r="R1941" s="251"/>
      <c r="S1941" s="251"/>
      <c r="BD1941" s="399">
        <v>1938</v>
      </c>
      <c r="BE1941" s="399" t="s">
        <v>1947</v>
      </c>
      <c r="BF1941" s="251" t="s">
        <v>5201</v>
      </c>
      <c r="BG1941" s="399" t="s">
        <v>489</v>
      </c>
      <c r="BH1941" s="252" t="s">
        <v>658</v>
      </c>
      <c r="BI1941" s="251" t="s">
        <v>334</v>
      </c>
      <c r="BJ1941" s="251" t="s">
        <v>539</v>
      </c>
      <c r="BK1941" s="251" t="s">
        <v>5202</v>
      </c>
      <c r="BL1941" s="251" t="s">
        <v>493</v>
      </c>
    </row>
    <row r="1942" spans="2:64" ht="15">
      <c r="B1942" s="84"/>
      <c r="D1942" s="84"/>
      <c r="E1942" s="84"/>
      <c r="F1942" s="84"/>
      <c r="G1942" s="84"/>
      <c r="R1942" s="251"/>
      <c r="S1942" s="251"/>
      <c r="BD1942" s="399">
        <v>1939</v>
      </c>
      <c r="BE1942" s="399" t="s">
        <v>5203</v>
      </c>
      <c r="BF1942" s="251" t="s">
        <v>5204</v>
      </c>
      <c r="BG1942" s="399" t="s">
        <v>469</v>
      </c>
      <c r="BH1942" s="252" t="s">
        <v>662</v>
      </c>
      <c r="BI1942" s="251" t="s">
        <v>563</v>
      </c>
      <c r="BJ1942" s="251" t="s">
        <v>366</v>
      </c>
      <c r="BK1942" s="251" t="s">
        <v>5205</v>
      </c>
      <c r="BL1942" s="251" t="s">
        <v>472</v>
      </c>
    </row>
    <row r="1943" spans="2:64" ht="15">
      <c r="B1943" s="84"/>
      <c r="D1943" s="84"/>
      <c r="E1943" s="84"/>
      <c r="F1943" s="84"/>
      <c r="G1943" s="84"/>
      <c r="R1943" s="251"/>
      <c r="S1943" s="251"/>
      <c r="BD1943" s="399">
        <v>1940</v>
      </c>
      <c r="BE1943" s="399" t="s">
        <v>5206</v>
      </c>
      <c r="BF1943" s="251" t="s">
        <v>5207</v>
      </c>
      <c r="BG1943" s="399" t="s">
        <v>623</v>
      </c>
      <c r="BH1943" s="252" t="s">
        <v>624</v>
      </c>
      <c r="BI1943" s="251" t="s">
        <v>615</v>
      </c>
      <c r="BJ1943" s="251" t="s">
        <v>385</v>
      </c>
      <c r="BK1943" s="251" t="s">
        <v>5208</v>
      </c>
      <c r="BL1943" s="251" t="s">
        <v>626</v>
      </c>
    </row>
    <row r="1944" spans="2:64" ht="15">
      <c r="B1944" s="84"/>
      <c r="D1944" s="84"/>
      <c r="E1944" s="84"/>
      <c r="F1944" s="84"/>
      <c r="G1944" s="84"/>
      <c r="R1944" s="251"/>
      <c r="S1944" s="251"/>
      <c r="BD1944" s="399">
        <v>1941</v>
      </c>
      <c r="BE1944" s="399" t="s">
        <v>5209</v>
      </c>
      <c r="BF1944" s="251" t="s">
        <v>5210</v>
      </c>
      <c r="BG1944" s="399" t="s">
        <v>449</v>
      </c>
      <c r="BH1944" s="252">
        <v>43</v>
      </c>
      <c r="BI1944" s="251" t="s">
        <v>5211</v>
      </c>
      <c r="BJ1944" s="251" t="s">
        <v>413</v>
      </c>
      <c r="BK1944" s="251" t="s">
        <v>5212</v>
      </c>
      <c r="BL1944" s="251" t="s">
        <v>452</v>
      </c>
    </row>
    <row r="1945" spans="2:64" ht="15">
      <c r="B1945" s="84"/>
      <c r="D1945" s="84"/>
      <c r="E1945" s="84"/>
      <c r="F1945" s="84"/>
      <c r="G1945" s="84"/>
      <c r="R1945" s="251"/>
      <c r="S1945" s="251"/>
      <c r="BD1945" s="399">
        <v>1942</v>
      </c>
      <c r="BE1945" s="399" t="s">
        <v>5213</v>
      </c>
      <c r="BF1945" s="251" t="s">
        <v>5214</v>
      </c>
      <c r="BG1945" s="399" t="s">
        <v>475</v>
      </c>
      <c r="BH1945" s="252" t="s">
        <v>534</v>
      </c>
      <c r="BI1945" s="251" t="s">
        <v>331</v>
      </c>
      <c r="BJ1945" s="251" t="s">
        <v>351</v>
      </c>
      <c r="BK1945" s="251" t="s">
        <v>5215</v>
      </c>
      <c r="BL1945" s="251" t="s">
        <v>479</v>
      </c>
    </row>
    <row r="1946" spans="2:64" ht="15">
      <c r="B1946" s="84"/>
      <c r="D1946" s="84"/>
      <c r="E1946" s="84"/>
      <c r="F1946" s="84"/>
      <c r="G1946" s="84"/>
      <c r="R1946" s="251"/>
      <c r="S1946" s="251"/>
      <c r="BD1946" s="399">
        <v>1943</v>
      </c>
      <c r="BE1946" s="399" t="s">
        <v>5216</v>
      </c>
      <c r="BF1946" s="251" t="s">
        <v>5217</v>
      </c>
      <c r="BG1946" s="399" t="s">
        <v>489</v>
      </c>
      <c r="BH1946" s="252" t="s">
        <v>490</v>
      </c>
      <c r="BI1946" s="251" t="s">
        <v>333</v>
      </c>
      <c r="BJ1946" s="251" t="s">
        <v>390</v>
      </c>
      <c r="BK1946" s="251" t="s">
        <v>5218</v>
      </c>
      <c r="BL1946" s="251" t="s">
        <v>493</v>
      </c>
    </row>
    <row r="1947" spans="2:64" ht="15">
      <c r="B1947" s="84"/>
      <c r="D1947" s="84"/>
      <c r="E1947" s="84"/>
      <c r="F1947" s="84"/>
      <c r="G1947" s="84"/>
      <c r="R1947" s="251"/>
      <c r="S1947" s="251"/>
      <c r="BD1947" s="399">
        <v>1944</v>
      </c>
      <c r="BE1947" s="399" t="s">
        <v>5219</v>
      </c>
      <c r="BF1947" s="251" t="s">
        <v>155</v>
      </c>
      <c r="BG1947" s="399" t="s">
        <v>777</v>
      </c>
      <c r="BH1947" s="252">
        <v>21</v>
      </c>
      <c r="BI1947" s="251" t="s">
        <v>332</v>
      </c>
      <c r="BJ1947" s="251" t="s">
        <v>407</v>
      </c>
      <c r="BK1947" s="251" t="s">
        <v>5220</v>
      </c>
      <c r="BL1947" s="251" t="s">
        <v>780</v>
      </c>
    </row>
    <row r="1948" spans="2:64" ht="15">
      <c r="B1948" s="84"/>
      <c r="D1948" s="84"/>
      <c r="E1948" s="84"/>
      <c r="F1948" s="84"/>
      <c r="G1948" s="84"/>
      <c r="R1948" s="251"/>
      <c r="S1948" s="251"/>
      <c r="BD1948" s="399">
        <v>1945</v>
      </c>
      <c r="BE1948" s="399" t="s">
        <v>2734</v>
      </c>
      <c r="BF1948" s="251" t="s">
        <v>5221</v>
      </c>
      <c r="BG1948" s="399" t="s">
        <v>475</v>
      </c>
      <c r="BH1948" s="252" t="s">
        <v>5222</v>
      </c>
      <c r="BI1948" s="251" t="s">
        <v>334</v>
      </c>
      <c r="BJ1948" s="251" t="s">
        <v>380</v>
      </c>
      <c r="BK1948" s="251" t="s">
        <v>5223</v>
      </c>
      <c r="BL1948" s="251" t="s">
        <v>479</v>
      </c>
    </row>
    <row r="1949" spans="2:64" ht="15">
      <c r="B1949" s="84"/>
      <c r="D1949" s="84"/>
      <c r="E1949" s="84"/>
      <c r="F1949" s="84"/>
      <c r="G1949" s="84"/>
      <c r="R1949" s="251"/>
      <c r="S1949" s="251"/>
      <c r="BD1949" s="399">
        <v>1946</v>
      </c>
      <c r="BE1949" s="399" t="s">
        <v>2391</v>
      </c>
      <c r="BF1949" s="251" t="s">
        <v>156</v>
      </c>
      <c r="BG1949" s="399" t="s">
        <v>475</v>
      </c>
      <c r="BH1949" s="252" t="s">
        <v>510</v>
      </c>
      <c r="BI1949" s="251" t="s">
        <v>332</v>
      </c>
      <c r="BJ1949" s="251" t="s">
        <v>380</v>
      </c>
      <c r="BK1949" s="251" t="s">
        <v>5224</v>
      </c>
      <c r="BL1949" s="251" t="s">
        <v>479</v>
      </c>
    </row>
    <row r="1950" spans="2:64" ht="15">
      <c r="B1950" s="84"/>
      <c r="D1950" s="84"/>
      <c r="E1950" s="84"/>
      <c r="F1950" s="84"/>
      <c r="G1950" s="84"/>
      <c r="R1950" s="251"/>
      <c r="S1950" s="251"/>
      <c r="BD1950" s="399">
        <v>1947</v>
      </c>
      <c r="BE1950" s="399" t="s">
        <v>5225</v>
      </c>
      <c r="BF1950" s="251" t="s">
        <v>157</v>
      </c>
      <c r="BG1950" s="399" t="s">
        <v>378</v>
      </c>
      <c r="BH1950" s="252">
        <v>11</v>
      </c>
      <c r="BI1950" s="251" t="s">
        <v>635</v>
      </c>
      <c r="BJ1950" s="251" t="s">
        <v>413</v>
      </c>
      <c r="BK1950" s="251" t="s">
        <v>5226</v>
      </c>
      <c r="BL1950" s="251" t="s">
        <v>382</v>
      </c>
    </row>
    <row r="1951" spans="2:64" ht="15">
      <c r="B1951" s="84"/>
      <c r="D1951" s="84"/>
      <c r="E1951" s="84"/>
      <c r="F1951" s="84"/>
      <c r="G1951" s="84"/>
      <c r="R1951" s="251"/>
      <c r="S1951" s="251"/>
      <c r="BD1951" s="399">
        <v>1948</v>
      </c>
      <c r="BE1951" s="399" t="s">
        <v>5227</v>
      </c>
      <c r="BF1951" s="251" t="s">
        <v>5228</v>
      </c>
      <c r="BG1951" s="399" t="s">
        <v>566</v>
      </c>
      <c r="BH1951" s="252" t="s">
        <v>567</v>
      </c>
      <c r="BI1951" s="251" t="s">
        <v>1982</v>
      </c>
      <c r="BJ1951" s="251" t="s">
        <v>539</v>
      </c>
      <c r="BK1951" s="251" t="s">
        <v>5229</v>
      </c>
      <c r="BL1951" s="251" t="s">
        <v>569</v>
      </c>
    </row>
    <row r="1952" spans="2:64" ht="15">
      <c r="B1952" s="84"/>
      <c r="D1952" s="84"/>
      <c r="E1952" s="84"/>
      <c r="F1952" s="84"/>
      <c r="G1952" s="84"/>
      <c r="R1952" s="251"/>
      <c r="S1952" s="251"/>
      <c r="BD1952" s="399">
        <v>1949</v>
      </c>
      <c r="BE1952" s="399" t="s">
        <v>5230</v>
      </c>
      <c r="BF1952" s="251" t="s">
        <v>5231</v>
      </c>
      <c r="BG1952" s="399" t="s">
        <v>519</v>
      </c>
      <c r="BH1952" s="252">
        <v>30</v>
      </c>
      <c r="BI1952" s="251" t="s">
        <v>365</v>
      </c>
      <c r="BJ1952" s="251" t="s">
        <v>366</v>
      </c>
      <c r="BK1952" s="251" t="s">
        <v>5232</v>
      </c>
      <c r="BL1952" s="251" t="s">
        <v>521</v>
      </c>
    </row>
    <row r="1953" spans="2:64" ht="15">
      <c r="B1953" s="84"/>
      <c r="D1953" s="84"/>
      <c r="E1953" s="84"/>
      <c r="F1953" s="84"/>
      <c r="G1953" s="84"/>
      <c r="R1953" s="251"/>
      <c r="S1953" s="251"/>
      <c r="BD1953" s="399">
        <v>1950</v>
      </c>
      <c r="BE1953" s="399" t="s">
        <v>5233</v>
      </c>
      <c r="BF1953" s="251" t="s">
        <v>5234</v>
      </c>
      <c r="BG1953" s="399" t="s">
        <v>469</v>
      </c>
      <c r="BH1953" s="252" t="s">
        <v>470</v>
      </c>
      <c r="BI1953" s="251" t="s">
        <v>615</v>
      </c>
      <c r="BJ1953" s="251" t="s">
        <v>351</v>
      </c>
      <c r="BK1953" s="251" t="s">
        <v>5235</v>
      </c>
      <c r="BL1953" s="251" t="s">
        <v>472</v>
      </c>
    </row>
    <row r="1954" spans="2:64" ht="15">
      <c r="B1954" s="84"/>
      <c r="D1954" s="84"/>
      <c r="E1954" s="84"/>
      <c r="F1954" s="84"/>
      <c r="G1954" s="84"/>
      <c r="R1954" s="251"/>
      <c r="S1954" s="251"/>
      <c r="BD1954" s="399">
        <v>1951</v>
      </c>
      <c r="BE1954" s="399" t="s">
        <v>5236</v>
      </c>
      <c r="BF1954" s="251" t="s">
        <v>5237</v>
      </c>
      <c r="BG1954" s="399" t="s">
        <v>395</v>
      </c>
      <c r="BH1954" s="252">
        <v>16</v>
      </c>
      <c r="BI1954" s="251" t="s">
        <v>445</v>
      </c>
      <c r="BJ1954" s="251" t="s">
        <v>390</v>
      </c>
      <c r="BK1954" s="251" t="s">
        <v>5238</v>
      </c>
      <c r="BL1954" s="251" t="s">
        <v>399</v>
      </c>
    </row>
    <row r="1955" spans="2:64" ht="15">
      <c r="B1955" s="84"/>
      <c r="D1955" s="84"/>
      <c r="E1955" s="84"/>
      <c r="F1955" s="84"/>
      <c r="G1955" s="84"/>
      <c r="R1955" s="251"/>
      <c r="S1955" s="251"/>
      <c r="BD1955" s="399">
        <v>1952</v>
      </c>
      <c r="BE1955" s="399" t="s">
        <v>5239</v>
      </c>
      <c r="BF1955" s="251" t="s">
        <v>5240</v>
      </c>
      <c r="BG1955" s="399" t="s">
        <v>371</v>
      </c>
      <c r="BH1955" s="252">
        <v>28</v>
      </c>
      <c r="BI1955" s="251" t="s">
        <v>334</v>
      </c>
      <c r="BJ1955" s="251" t="s">
        <v>407</v>
      </c>
      <c r="BK1955" s="251" t="s">
        <v>5241</v>
      </c>
      <c r="BL1955" s="251" t="s">
        <v>375</v>
      </c>
    </row>
    <row r="1956" spans="2:64" ht="15">
      <c r="B1956" s="84"/>
      <c r="D1956" s="84"/>
      <c r="E1956" s="84"/>
      <c r="F1956" s="84"/>
      <c r="G1956" s="84"/>
      <c r="R1956" s="251"/>
      <c r="S1956" s="251"/>
      <c r="BD1956" s="399">
        <v>1953</v>
      </c>
      <c r="BE1956" s="399" t="s">
        <v>5242</v>
      </c>
      <c r="BF1956" s="251" t="s">
        <v>5243</v>
      </c>
      <c r="BG1956" s="399" t="s">
        <v>371</v>
      </c>
      <c r="BH1956" s="252">
        <v>28</v>
      </c>
      <c r="BI1956" s="251" t="s">
        <v>332</v>
      </c>
      <c r="BJ1956" s="251" t="s">
        <v>380</v>
      </c>
      <c r="BK1956" s="251" t="s">
        <v>5244</v>
      </c>
      <c r="BL1956" s="251" t="s">
        <v>375</v>
      </c>
    </row>
    <row r="1957" spans="2:64" ht="15">
      <c r="B1957" s="84"/>
      <c r="D1957" s="84"/>
      <c r="E1957" s="84"/>
      <c r="F1957" s="84"/>
      <c r="G1957" s="84"/>
      <c r="R1957" s="251"/>
      <c r="S1957" s="251"/>
      <c r="BD1957" s="399">
        <v>1954</v>
      </c>
      <c r="BE1957" s="399" t="s">
        <v>5245</v>
      </c>
      <c r="BF1957" s="251" t="s">
        <v>5246</v>
      </c>
      <c r="BG1957" s="399" t="s">
        <v>378</v>
      </c>
      <c r="BH1957" s="252">
        <v>11</v>
      </c>
      <c r="BI1957" s="251" t="s">
        <v>740</v>
      </c>
      <c r="BJ1957" s="251" t="s">
        <v>413</v>
      </c>
      <c r="BK1957" s="251" t="s">
        <v>5247</v>
      </c>
      <c r="BL1957" s="251" t="s">
        <v>382</v>
      </c>
    </row>
    <row r="1958" spans="2:64" ht="15">
      <c r="B1958" s="84"/>
      <c r="D1958" s="84"/>
      <c r="E1958" s="84"/>
      <c r="F1958" s="84"/>
      <c r="G1958" s="84"/>
      <c r="R1958" s="251"/>
      <c r="S1958" s="251"/>
      <c r="BD1958" s="399">
        <v>1955</v>
      </c>
      <c r="BE1958" s="399" t="s">
        <v>5248</v>
      </c>
      <c r="BF1958" s="251" t="s">
        <v>5249</v>
      </c>
      <c r="BG1958" s="399" t="s">
        <v>435</v>
      </c>
      <c r="BH1958" s="252" t="s">
        <v>436</v>
      </c>
      <c r="BI1958" s="251" t="s">
        <v>563</v>
      </c>
      <c r="BJ1958" s="251" t="s">
        <v>539</v>
      </c>
      <c r="BK1958" s="251" t="s">
        <v>5250</v>
      </c>
      <c r="BL1958" s="251" t="s">
        <v>439</v>
      </c>
    </row>
    <row r="1959" spans="2:64" ht="15">
      <c r="B1959" s="84"/>
      <c r="D1959" s="84"/>
      <c r="E1959" s="84"/>
      <c r="F1959" s="84"/>
      <c r="G1959" s="84"/>
      <c r="R1959" s="251"/>
      <c r="S1959" s="251"/>
      <c r="BD1959" s="399">
        <v>1956</v>
      </c>
      <c r="BE1959" s="399" t="s">
        <v>5251</v>
      </c>
      <c r="BF1959" s="251" t="s">
        <v>5252</v>
      </c>
      <c r="BG1959" s="399" t="s">
        <v>363</v>
      </c>
      <c r="BH1959" s="252" t="s">
        <v>575</v>
      </c>
      <c r="BI1959" s="251" t="s">
        <v>450</v>
      </c>
      <c r="BJ1959" s="251" t="s">
        <v>397</v>
      </c>
      <c r="BK1959" s="251" t="s">
        <v>5253</v>
      </c>
      <c r="BL1959" s="251" t="s">
        <v>368</v>
      </c>
    </row>
    <row r="1960" spans="2:64" ht="15">
      <c r="B1960" s="84"/>
      <c r="D1960" s="84"/>
      <c r="E1960" s="84"/>
      <c r="F1960" s="84"/>
      <c r="G1960" s="84"/>
      <c r="R1960" s="251"/>
      <c r="S1960" s="251"/>
      <c r="BD1960" s="399">
        <v>1957</v>
      </c>
      <c r="BE1960" s="399" t="s">
        <v>5254</v>
      </c>
      <c r="BF1960" s="251" t="s">
        <v>5255</v>
      </c>
      <c r="BG1960" s="399">
        <v>52</v>
      </c>
      <c r="BH1960" s="252">
        <v>52</v>
      </c>
      <c r="BI1960" s="251" t="s">
        <v>332</v>
      </c>
      <c r="BJ1960" s="251" t="s">
        <v>380</v>
      </c>
      <c r="BK1960" s="251" t="s">
        <v>5256</v>
      </c>
      <c r="BL1960" s="251" t="s">
        <v>1121</v>
      </c>
    </row>
    <row r="1961" spans="2:64" ht="15">
      <c r="B1961" s="84"/>
      <c r="D1961" s="84"/>
      <c r="E1961" s="84"/>
      <c r="F1961" s="84"/>
      <c r="G1961" s="84"/>
      <c r="R1961" s="251"/>
      <c r="S1961" s="251"/>
      <c r="BD1961" s="399">
        <v>1958</v>
      </c>
      <c r="BE1961" s="399" t="s">
        <v>5257</v>
      </c>
      <c r="BF1961" s="251" t="s">
        <v>5258</v>
      </c>
      <c r="BG1961" s="399" t="s">
        <v>405</v>
      </c>
      <c r="BH1961" s="252" t="s">
        <v>412</v>
      </c>
      <c r="BI1961" s="251" t="s">
        <v>390</v>
      </c>
      <c r="BJ1961" s="251" t="s">
        <v>380</v>
      </c>
      <c r="BK1961" s="251" t="s">
        <v>5259</v>
      </c>
      <c r="BL1961" s="251" t="s">
        <v>409</v>
      </c>
    </row>
    <row r="1962" spans="2:64" ht="15">
      <c r="B1962" s="84"/>
      <c r="D1962" s="84"/>
      <c r="E1962" s="84"/>
      <c r="F1962" s="84"/>
      <c r="G1962" s="84"/>
      <c r="R1962" s="251"/>
      <c r="S1962" s="251"/>
      <c r="BD1962" s="399">
        <v>1959</v>
      </c>
      <c r="BE1962" s="399" t="s">
        <v>5260</v>
      </c>
      <c r="BF1962" s="251" t="s">
        <v>5261</v>
      </c>
      <c r="BG1962" s="399" t="s">
        <v>405</v>
      </c>
      <c r="BH1962" s="252" t="s">
        <v>830</v>
      </c>
      <c r="BI1962" s="251" t="s">
        <v>334</v>
      </c>
      <c r="BJ1962" s="251" t="s">
        <v>390</v>
      </c>
      <c r="BK1962" s="251" t="s">
        <v>5262</v>
      </c>
      <c r="BL1962" s="251" t="s">
        <v>409</v>
      </c>
    </row>
    <row r="1963" spans="2:64" ht="15">
      <c r="B1963" s="84"/>
      <c r="D1963" s="84"/>
      <c r="E1963" s="84"/>
      <c r="F1963" s="84"/>
      <c r="G1963" s="84"/>
      <c r="R1963" s="251"/>
      <c r="S1963" s="251"/>
      <c r="BD1963" s="399">
        <v>1960</v>
      </c>
      <c r="BE1963" s="399" t="s">
        <v>2981</v>
      </c>
      <c r="BF1963" s="251" t="s">
        <v>5263</v>
      </c>
      <c r="BG1963" s="399" t="s">
        <v>455</v>
      </c>
      <c r="BH1963" s="252">
        <v>35</v>
      </c>
      <c r="BI1963" s="251" t="s">
        <v>740</v>
      </c>
      <c r="BJ1963" s="251" t="s">
        <v>413</v>
      </c>
      <c r="BK1963" s="251" t="s">
        <v>2982</v>
      </c>
      <c r="BL1963" s="251" t="s">
        <v>458</v>
      </c>
    </row>
    <row r="1964" spans="2:64" ht="15">
      <c r="B1964" s="84"/>
      <c r="D1964" s="84"/>
      <c r="E1964" s="84"/>
      <c r="F1964" s="84"/>
      <c r="G1964" s="84"/>
      <c r="R1964" s="251"/>
      <c r="S1964" s="251"/>
      <c r="BD1964" s="399">
        <v>1961</v>
      </c>
      <c r="BE1964" s="399" t="s">
        <v>5264</v>
      </c>
      <c r="BF1964" s="251" t="s">
        <v>5265</v>
      </c>
      <c r="BG1964" s="399" t="s">
        <v>429</v>
      </c>
      <c r="BH1964" s="252" t="s">
        <v>430</v>
      </c>
      <c r="BI1964" s="251" t="s">
        <v>332</v>
      </c>
      <c r="BJ1964" s="251" t="s">
        <v>385</v>
      </c>
      <c r="BK1964" s="251" t="s">
        <v>5266</v>
      </c>
      <c r="BL1964" s="251" t="s">
        <v>432</v>
      </c>
    </row>
    <row r="1965" spans="2:64" ht="15">
      <c r="B1965" s="84"/>
      <c r="D1965" s="84"/>
      <c r="E1965" s="84"/>
      <c r="F1965" s="84"/>
      <c r="G1965" s="84"/>
      <c r="R1965" s="251"/>
      <c r="S1965" s="251"/>
      <c r="BD1965" s="399">
        <v>1962</v>
      </c>
      <c r="BE1965" s="399" t="s">
        <v>5267</v>
      </c>
      <c r="BF1965" s="251" t="s">
        <v>5268</v>
      </c>
      <c r="BG1965" s="399">
        <v>54</v>
      </c>
      <c r="BH1965" s="252" t="s">
        <v>5269</v>
      </c>
      <c r="BI1965" s="251" t="s">
        <v>5270</v>
      </c>
      <c r="BJ1965" s="251" t="s">
        <v>413</v>
      </c>
      <c r="BK1965" s="251" t="s">
        <v>5271</v>
      </c>
      <c r="BL1965" s="251" t="s">
        <v>930</v>
      </c>
    </row>
    <row r="1966" spans="2:64" ht="15">
      <c r="B1966" s="84"/>
      <c r="D1966" s="84"/>
      <c r="E1966" s="84"/>
      <c r="F1966" s="84"/>
      <c r="G1966" s="84"/>
      <c r="R1966" s="251"/>
      <c r="S1966" s="251"/>
      <c r="BD1966" s="399">
        <v>1963</v>
      </c>
      <c r="BE1966" s="399" t="s">
        <v>5272</v>
      </c>
      <c r="BF1966" s="251" t="s">
        <v>5273</v>
      </c>
      <c r="BG1966" s="399" t="s">
        <v>469</v>
      </c>
      <c r="BH1966" s="252" t="s">
        <v>662</v>
      </c>
      <c r="BI1966" s="251" t="s">
        <v>5274</v>
      </c>
      <c r="BJ1966" s="251" t="s">
        <v>5275</v>
      </c>
      <c r="BK1966" s="251" t="s">
        <v>5276</v>
      </c>
      <c r="BL1966" s="251" t="s">
        <v>472</v>
      </c>
    </row>
    <row r="1967" spans="2:64" ht="15">
      <c r="B1967" s="84"/>
      <c r="D1967" s="84"/>
      <c r="E1967" s="84"/>
      <c r="F1967" s="84"/>
      <c r="G1967" s="84"/>
      <c r="R1967" s="251"/>
      <c r="S1967" s="251"/>
      <c r="BD1967" s="399">
        <v>1964</v>
      </c>
      <c r="BE1967" s="399" t="s">
        <v>5277</v>
      </c>
      <c r="BF1967" s="251" t="s">
        <v>5278</v>
      </c>
      <c r="BG1967" s="399" t="s">
        <v>449</v>
      </c>
      <c r="BH1967" s="252">
        <v>43</v>
      </c>
      <c r="BI1967" s="251" t="s">
        <v>333</v>
      </c>
      <c r="BJ1967" s="251" t="s">
        <v>380</v>
      </c>
      <c r="BK1967" s="251" t="s">
        <v>5279</v>
      </c>
      <c r="BL1967" s="251" t="s">
        <v>452</v>
      </c>
    </row>
    <row r="1968" spans="2:64" ht="15">
      <c r="B1968" s="84"/>
      <c r="D1968" s="84"/>
      <c r="E1968" s="84"/>
      <c r="F1968" s="84"/>
      <c r="G1968" s="84"/>
      <c r="R1968" s="251"/>
      <c r="S1968" s="251"/>
      <c r="BD1968" s="399">
        <v>1965</v>
      </c>
      <c r="BE1968" s="399" t="s">
        <v>5280</v>
      </c>
      <c r="BF1968" s="251" t="s">
        <v>5281</v>
      </c>
      <c r="BG1968" s="399" t="s">
        <v>395</v>
      </c>
      <c r="BH1968" s="252">
        <v>16</v>
      </c>
      <c r="BI1968" s="251" t="s">
        <v>740</v>
      </c>
      <c r="BJ1968" s="251" t="s">
        <v>366</v>
      </c>
      <c r="BK1968" s="251" t="s">
        <v>5282</v>
      </c>
      <c r="BL1968" s="251" t="s">
        <v>399</v>
      </c>
    </row>
    <row r="1969" spans="2:64" ht="15">
      <c r="B1969" s="84"/>
      <c r="D1969" s="84"/>
      <c r="E1969" s="84"/>
      <c r="F1969" s="84"/>
      <c r="G1969" s="84"/>
      <c r="R1969" s="251"/>
      <c r="S1969" s="251"/>
      <c r="BD1969" s="399">
        <v>1966</v>
      </c>
      <c r="BE1969" s="399" t="s">
        <v>5283</v>
      </c>
      <c r="BF1969" s="251" t="s">
        <v>5284</v>
      </c>
      <c r="BG1969" s="399" t="s">
        <v>519</v>
      </c>
      <c r="BH1969" s="252">
        <v>30</v>
      </c>
      <c r="BI1969" s="251" t="s">
        <v>365</v>
      </c>
      <c r="BJ1969" s="251" t="s">
        <v>380</v>
      </c>
      <c r="BK1969" s="251" t="s">
        <v>5285</v>
      </c>
      <c r="BL1969" s="251" t="s">
        <v>521</v>
      </c>
    </row>
    <row r="1970" spans="2:64" ht="15">
      <c r="B1970" s="84"/>
      <c r="D1970" s="84"/>
      <c r="E1970" s="84"/>
      <c r="F1970" s="84"/>
      <c r="G1970" s="84"/>
      <c r="R1970" s="251"/>
      <c r="S1970" s="251"/>
      <c r="BD1970" s="399">
        <v>1967</v>
      </c>
      <c r="BE1970" s="399" t="s">
        <v>5286</v>
      </c>
      <c r="BF1970" s="251" t="s">
        <v>5287</v>
      </c>
      <c r="BG1970" s="399" t="s">
        <v>371</v>
      </c>
      <c r="BH1970" s="252">
        <v>28</v>
      </c>
      <c r="BI1970" s="251" t="s">
        <v>740</v>
      </c>
      <c r="BJ1970" s="251" t="s">
        <v>351</v>
      </c>
      <c r="BK1970" s="251" t="s">
        <v>5288</v>
      </c>
      <c r="BL1970" s="251" t="s">
        <v>375</v>
      </c>
    </row>
    <row r="1971" spans="2:64" ht="15">
      <c r="B1971" s="84"/>
      <c r="D1971" s="84"/>
      <c r="E1971" s="84"/>
      <c r="F1971" s="84"/>
      <c r="G1971" s="84"/>
      <c r="R1971" s="251"/>
      <c r="S1971" s="251"/>
      <c r="BD1971" s="399">
        <v>1968</v>
      </c>
      <c r="BE1971" s="399" t="s">
        <v>5289</v>
      </c>
      <c r="BF1971" s="251" t="s">
        <v>5290</v>
      </c>
      <c r="BG1971" s="399" t="s">
        <v>519</v>
      </c>
      <c r="BH1971" s="252">
        <v>30</v>
      </c>
      <c r="BI1971" s="251" t="s">
        <v>333</v>
      </c>
      <c r="BJ1971" s="251" t="s">
        <v>366</v>
      </c>
      <c r="BK1971" s="251" t="s">
        <v>5291</v>
      </c>
      <c r="BL1971" s="251" t="s">
        <v>521</v>
      </c>
    </row>
    <row r="1972" spans="2:64" ht="15">
      <c r="B1972" s="84"/>
      <c r="D1972" s="84"/>
      <c r="E1972" s="84"/>
      <c r="F1972" s="84"/>
      <c r="G1972" s="84"/>
      <c r="R1972" s="251"/>
      <c r="S1972" s="251"/>
      <c r="BD1972" s="399">
        <v>1969</v>
      </c>
      <c r="BE1972" s="399" t="s">
        <v>5292</v>
      </c>
      <c r="BF1972" s="251" t="s">
        <v>5293</v>
      </c>
      <c r="BG1972" s="399" t="s">
        <v>489</v>
      </c>
      <c r="BH1972" s="252" t="s">
        <v>490</v>
      </c>
      <c r="BI1972" s="251" t="s">
        <v>563</v>
      </c>
      <c r="BJ1972" s="251" t="s">
        <v>366</v>
      </c>
      <c r="BK1972" s="251" t="s">
        <v>5294</v>
      </c>
      <c r="BL1972" s="251" t="s">
        <v>493</v>
      </c>
    </row>
    <row r="1973" spans="2:64" ht="15">
      <c r="B1973" s="84"/>
      <c r="D1973" s="84"/>
      <c r="E1973" s="84"/>
      <c r="F1973" s="84"/>
      <c r="G1973" s="84"/>
      <c r="R1973" s="251"/>
      <c r="S1973" s="251"/>
      <c r="BD1973" s="399">
        <v>1970</v>
      </c>
      <c r="BE1973" s="399" t="s">
        <v>5295</v>
      </c>
      <c r="BF1973" s="251" t="s">
        <v>5296</v>
      </c>
      <c r="BG1973" s="399" t="s">
        <v>519</v>
      </c>
      <c r="BH1973" s="252">
        <v>30</v>
      </c>
      <c r="BI1973" s="251" t="s">
        <v>396</v>
      </c>
      <c r="BJ1973" s="251" t="s">
        <v>366</v>
      </c>
      <c r="BK1973" s="251" t="s">
        <v>5297</v>
      </c>
      <c r="BL1973" s="251" t="s">
        <v>521</v>
      </c>
    </row>
    <row r="1974" spans="2:64" ht="15">
      <c r="B1974" s="84"/>
      <c r="D1974" s="84"/>
      <c r="E1974" s="84"/>
      <c r="F1974" s="84"/>
      <c r="G1974" s="84"/>
      <c r="R1974" s="251"/>
      <c r="S1974" s="251"/>
      <c r="BD1974" s="399">
        <v>1971</v>
      </c>
      <c r="BE1974" s="399" t="s">
        <v>5298</v>
      </c>
      <c r="BF1974" s="251" t="s">
        <v>5299</v>
      </c>
      <c r="BG1974" s="399" t="s">
        <v>349</v>
      </c>
      <c r="BH1974" s="252">
        <v>17</v>
      </c>
      <c r="BI1974" s="251" t="s">
        <v>615</v>
      </c>
      <c r="BJ1974" s="251" t="s">
        <v>385</v>
      </c>
      <c r="BK1974" s="251" t="s">
        <v>5300</v>
      </c>
      <c r="BL1974" s="251" t="s">
        <v>353</v>
      </c>
    </row>
    <row r="1975" spans="2:64" ht="15">
      <c r="B1975" s="84"/>
      <c r="D1975" s="84"/>
      <c r="E1975" s="84"/>
      <c r="F1975" s="84"/>
      <c r="G1975" s="84"/>
      <c r="R1975" s="251"/>
      <c r="S1975" s="251"/>
      <c r="BD1975" s="399">
        <v>1972</v>
      </c>
      <c r="BE1975" s="399" t="s">
        <v>5301</v>
      </c>
      <c r="BF1975" s="251" t="s">
        <v>5302</v>
      </c>
      <c r="BG1975" s="399" t="s">
        <v>371</v>
      </c>
      <c r="BH1975" s="252">
        <v>28</v>
      </c>
      <c r="BI1975" s="251" t="s">
        <v>450</v>
      </c>
      <c r="BJ1975" s="251" t="s">
        <v>390</v>
      </c>
      <c r="BK1975" s="251" t="s">
        <v>5303</v>
      </c>
      <c r="BL1975" s="251" t="s">
        <v>375</v>
      </c>
    </row>
    <row r="1976" spans="2:64" ht="15">
      <c r="B1976" s="84"/>
      <c r="D1976" s="84"/>
      <c r="E1976" s="84"/>
      <c r="F1976" s="84"/>
      <c r="G1976" s="84"/>
      <c r="R1976" s="251"/>
      <c r="S1976" s="251"/>
      <c r="BD1976" s="399">
        <v>1973</v>
      </c>
      <c r="BE1976" s="399" t="s">
        <v>5304</v>
      </c>
      <c r="BF1976" s="251" t="s">
        <v>5305</v>
      </c>
      <c r="BG1976" s="399" t="s">
        <v>566</v>
      </c>
      <c r="BH1976" s="252" t="s">
        <v>1004</v>
      </c>
      <c r="BI1976" s="251" t="s">
        <v>5306</v>
      </c>
      <c r="BJ1976" s="251" t="s">
        <v>413</v>
      </c>
      <c r="BK1976" s="251" t="s">
        <v>5307</v>
      </c>
      <c r="BL1976" s="251" t="s">
        <v>569</v>
      </c>
    </row>
    <row r="1977" spans="2:64" ht="15">
      <c r="B1977" s="84"/>
      <c r="D1977" s="84"/>
      <c r="E1977" s="84"/>
      <c r="F1977" s="84"/>
      <c r="G1977" s="84"/>
      <c r="R1977" s="251"/>
      <c r="S1977" s="251"/>
      <c r="BD1977" s="399">
        <v>1974</v>
      </c>
      <c r="BE1977" s="399" t="s">
        <v>5308</v>
      </c>
      <c r="BF1977" s="251" t="s">
        <v>5309</v>
      </c>
      <c r="BG1977" s="399" t="s">
        <v>602</v>
      </c>
      <c r="BH1977" s="252">
        <v>47</v>
      </c>
      <c r="BI1977" s="251" t="s">
        <v>563</v>
      </c>
      <c r="BJ1977" s="251" t="s">
        <v>351</v>
      </c>
      <c r="BK1977" s="251" t="s">
        <v>5310</v>
      </c>
      <c r="BL1977" s="251" t="s">
        <v>604</v>
      </c>
    </row>
    <row r="1978" spans="2:64" ht="15">
      <c r="B1978" s="84"/>
      <c r="D1978" s="84"/>
      <c r="E1978" s="84"/>
      <c r="F1978" s="84"/>
      <c r="G1978" s="84"/>
      <c r="R1978" s="251"/>
      <c r="S1978" s="251"/>
      <c r="BD1978" s="399">
        <v>1975</v>
      </c>
      <c r="BE1978" s="399" t="s">
        <v>5311</v>
      </c>
      <c r="BF1978" s="251" t="s">
        <v>5312</v>
      </c>
      <c r="BG1978" s="399">
        <v>51</v>
      </c>
      <c r="BH1978" s="252">
        <v>51</v>
      </c>
      <c r="BI1978" s="251" t="s">
        <v>491</v>
      </c>
      <c r="BJ1978" s="251" t="s">
        <v>380</v>
      </c>
      <c r="BK1978" s="251" t="s">
        <v>5313</v>
      </c>
      <c r="BL1978" s="251" t="s">
        <v>730</v>
      </c>
    </row>
    <row r="1979" spans="2:64" ht="15">
      <c r="B1979" s="84"/>
      <c r="D1979" s="84"/>
      <c r="E1979" s="84"/>
      <c r="F1979" s="84"/>
      <c r="G1979" s="84"/>
      <c r="R1979" s="251"/>
      <c r="S1979" s="251"/>
      <c r="BD1979" s="399">
        <v>1976</v>
      </c>
      <c r="BE1979" s="399" t="s">
        <v>5314</v>
      </c>
      <c r="BF1979" s="251" t="s">
        <v>5315</v>
      </c>
      <c r="BG1979" s="399" t="s">
        <v>777</v>
      </c>
      <c r="BH1979" s="252">
        <v>21</v>
      </c>
      <c r="BI1979" s="251" t="s">
        <v>477</v>
      </c>
      <c r="BJ1979" s="251" t="s">
        <v>413</v>
      </c>
      <c r="BK1979" s="251" t="s">
        <v>5316</v>
      </c>
      <c r="BL1979" s="251" t="s">
        <v>780</v>
      </c>
    </row>
    <row r="1980" spans="2:64" ht="15">
      <c r="B1980" s="84"/>
      <c r="D1980" s="84"/>
      <c r="E1980" s="84"/>
      <c r="F1980" s="84"/>
      <c r="G1980" s="84"/>
      <c r="R1980" s="251"/>
      <c r="S1980" s="251"/>
      <c r="BD1980" s="399">
        <v>1977</v>
      </c>
      <c r="BE1980" s="399" t="s">
        <v>5317</v>
      </c>
      <c r="BF1980" s="251" t="s">
        <v>5318</v>
      </c>
      <c r="BG1980" s="399" t="s">
        <v>602</v>
      </c>
      <c r="BH1980" s="252">
        <v>47</v>
      </c>
      <c r="BI1980" s="251" t="s">
        <v>728</v>
      </c>
      <c r="BJ1980" s="251" t="s">
        <v>380</v>
      </c>
      <c r="BK1980" s="251" t="s">
        <v>5319</v>
      </c>
      <c r="BL1980" s="251" t="s">
        <v>604</v>
      </c>
    </row>
    <row r="1981" spans="2:64" ht="15">
      <c r="B1981" s="84"/>
      <c r="D1981" s="84"/>
      <c r="E1981" s="84"/>
      <c r="F1981" s="84"/>
      <c r="G1981" s="84"/>
      <c r="R1981" s="251"/>
      <c r="S1981" s="251"/>
      <c r="BD1981" s="399">
        <v>1978</v>
      </c>
      <c r="BE1981" s="399" t="s">
        <v>5320</v>
      </c>
      <c r="BF1981" s="251" t="s">
        <v>5321</v>
      </c>
      <c r="BG1981" s="399" t="s">
        <v>489</v>
      </c>
      <c r="BH1981" s="252" t="s">
        <v>490</v>
      </c>
      <c r="BI1981" s="251" t="s">
        <v>365</v>
      </c>
      <c r="BJ1981" s="251" t="s">
        <v>366</v>
      </c>
      <c r="BK1981" s="251" t="s">
        <v>5322</v>
      </c>
      <c r="BL1981" s="251" t="s">
        <v>493</v>
      </c>
    </row>
    <row r="1982" spans="2:64" ht="15">
      <c r="B1982" s="84"/>
      <c r="D1982" s="84"/>
      <c r="E1982" s="84"/>
      <c r="F1982" s="84"/>
      <c r="G1982" s="84"/>
      <c r="R1982" s="251"/>
      <c r="S1982" s="251"/>
      <c r="BD1982" s="399">
        <v>1979</v>
      </c>
      <c r="BE1982" s="399" t="s">
        <v>2549</v>
      </c>
      <c r="BF1982" s="251" t="s">
        <v>5323</v>
      </c>
      <c r="BG1982" s="399" t="s">
        <v>363</v>
      </c>
      <c r="BH1982" s="252" t="s">
        <v>364</v>
      </c>
      <c r="BI1982" s="251" t="s">
        <v>728</v>
      </c>
      <c r="BJ1982" s="251" t="s">
        <v>380</v>
      </c>
      <c r="BK1982" s="251" t="s">
        <v>2550</v>
      </c>
      <c r="BL1982" s="251" t="s">
        <v>368</v>
      </c>
    </row>
    <row r="1983" spans="2:64" ht="15">
      <c r="B1983" s="84"/>
      <c r="D1983" s="84"/>
      <c r="E1983" s="84"/>
      <c r="F1983" s="84"/>
      <c r="G1983" s="84"/>
      <c r="R1983" s="251"/>
      <c r="S1983" s="251"/>
      <c r="BD1983" s="399">
        <v>1980</v>
      </c>
      <c r="BE1983" s="399" t="s">
        <v>5324</v>
      </c>
      <c r="BF1983" s="251" t="s">
        <v>5325</v>
      </c>
      <c r="BG1983" s="399" t="s">
        <v>395</v>
      </c>
      <c r="BH1983" s="252">
        <v>16</v>
      </c>
      <c r="BI1983" s="251" t="s">
        <v>740</v>
      </c>
      <c r="BJ1983" s="251" t="s">
        <v>413</v>
      </c>
      <c r="BK1983" s="251" t="s">
        <v>5326</v>
      </c>
      <c r="BL1983" s="251" t="s">
        <v>399</v>
      </c>
    </row>
    <row r="1984" spans="2:64" ht="15">
      <c r="B1984" s="84"/>
      <c r="D1984" s="84"/>
      <c r="E1984" s="84"/>
      <c r="F1984" s="84"/>
      <c r="G1984" s="84"/>
      <c r="R1984" s="251"/>
      <c r="S1984" s="251"/>
      <c r="BD1984" s="399">
        <v>1981</v>
      </c>
      <c r="BE1984" s="399" t="s">
        <v>5327</v>
      </c>
      <c r="BF1984" s="251" t="s">
        <v>5328</v>
      </c>
      <c r="BG1984" s="399" t="s">
        <v>363</v>
      </c>
      <c r="BH1984" s="252" t="s">
        <v>364</v>
      </c>
      <c r="BI1984" s="251" t="s">
        <v>334</v>
      </c>
      <c r="BJ1984" s="251" t="s">
        <v>385</v>
      </c>
      <c r="BK1984" s="251" t="s">
        <v>5329</v>
      </c>
      <c r="BL1984" s="251" t="s">
        <v>368</v>
      </c>
    </row>
    <row r="1985" spans="2:64" ht="15">
      <c r="B1985" s="84"/>
      <c r="D1985" s="84"/>
      <c r="E1985" s="84"/>
      <c r="F1985" s="84"/>
      <c r="G1985" s="84"/>
      <c r="R1985" s="251"/>
      <c r="S1985" s="251"/>
      <c r="BD1985" s="399">
        <v>1982</v>
      </c>
      <c r="BE1985" s="399" t="s">
        <v>5330</v>
      </c>
      <c r="BF1985" s="251" t="s">
        <v>5331</v>
      </c>
      <c r="BG1985" s="399" t="s">
        <v>435</v>
      </c>
      <c r="BH1985" s="252" t="s">
        <v>681</v>
      </c>
      <c r="BI1985" s="251" t="s">
        <v>689</v>
      </c>
      <c r="BJ1985" s="251" t="s">
        <v>380</v>
      </c>
      <c r="BK1985" s="251" t="s">
        <v>5332</v>
      </c>
      <c r="BL1985" s="251" t="s">
        <v>439</v>
      </c>
    </row>
    <row r="1986" spans="2:64" ht="15">
      <c r="B1986" s="84"/>
      <c r="D1986" s="84"/>
      <c r="E1986" s="84"/>
      <c r="F1986" s="84"/>
      <c r="G1986" s="84"/>
      <c r="R1986" s="251"/>
      <c r="S1986" s="251"/>
      <c r="BD1986" s="399">
        <v>1983</v>
      </c>
      <c r="BE1986" s="399" t="s">
        <v>5333</v>
      </c>
      <c r="BF1986" s="251" t="s">
        <v>5334</v>
      </c>
      <c r="BG1986" s="399" t="s">
        <v>590</v>
      </c>
      <c r="BH1986" s="252">
        <v>44</v>
      </c>
      <c r="BI1986" s="251" t="s">
        <v>740</v>
      </c>
      <c r="BJ1986" s="251" t="s">
        <v>413</v>
      </c>
      <c r="BK1986" s="251" t="s">
        <v>5335</v>
      </c>
      <c r="BL1986" s="251" t="s">
        <v>592</v>
      </c>
    </row>
    <row r="1987" spans="2:64" ht="15">
      <c r="B1987" s="84"/>
      <c r="D1987" s="84"/>
      <c r="E1987" s="84"/>
      <c r="F1987" s="84"/>
      <c r="G1987" s="84"/>
      <c r="R1987" s="251"/>
      <c r="S1987" s="251"/>
      <c r="BD1987" s="399">
        <v>1984</v>
      </c>
      <c r="BE1987" s="399" t="s">
        <v>5336</v>
      </c>
      <c r="BF1987" s="251" t="s">
        <v>5337</v>
      </c>
      <c r="BG1987" s="399" t="s">
        <v>566</v>
      </c>
      <c r="BH1987" s="252" t="s">
        <v>1004</v>
      </c>
      <c r="BI1987" s="251" t="s">
        <v>728</v>
      </c>
      <c r="BJ1987" s="251" t="s">
        <v>385</v>
      </c>
      <c r="BK1987" s="251" t="s">
        <v>5338</v>
      </c>
      <c r="BL1987" s="251" t="s">
        <v>569</v>
      </c>
    </row>
    <row r="1988" spans="2:64" ht="15">
      <c r="B1988" s="84"/>
      <c r="D1988" s="84"/>
      <c r="E1988" s="84"/>
      <c r="F1988" s="84"/>
      <c r="G1988" s="84"/>
      <c r="R1988" s="251"/>
      <c r="S1988" s="251"/>
      <c r="BD1988" s="399">
        <v>1985</v>
      </c>
      <c r="BE1988" s="399" t="s">
        <v>5339</v>
      </c>
      <c r="BF1988" s="251" t="s">
        <v>5340</v>
      </c>
      <c r="BG1988" s="399" t="s">
        <v>371</v>
      </c>
      <c r="BH1988" s="252">
        <v>28</v>
      </c>
      <c r="BI1988" s="251" t="s">
        <v>334</v>
      </c>
      <c r="BJ1988" s="251" t="s">
        <v>539</v>
      </c>
      <c r="BK1988" s="251" t="s">
        <v>5341</v>
      </c>
      <c r="BL1988" s="251" t="s">
        <v>375</v>
      </c>
    </row>
    <row r="1989" spans="2:64" ht="15">
      <c r="B1989" s="84"/>
      <c r="D1989" s="84"/>
      <c r="E1989" s="84"/>
      <c r="F1989" s="84"/>
      <c r="G1989" s="84"/>
      <c r="R1989" s="251"/>
      <c r="S1989" s="251"/>
      <c r="BD1989" s="399">
        <v>1986</v>
      </c>
      <c r="BE1989" s="399" t="s">
        <v>5342</v>
      </c>
      <c r="BF1989" s="251" t="s">
        <v>5343</v>
      </c>
      <c r="BG1989" s="399">
        <v>54</v>
      </c>
      <c r="BH1989" s="252">
        <v>54</v>
      </c>
      <c r="BI1989" s="251" t="s">
        <v>535</v>
      </c>
      <c r="BJ1989" s="251" t="s">
        <v>413</v>
      </c>
      <c r="BK1989" s="251" t="s">
        <v>5344</v>
      </c>
      <c r="BL1989" s="251" t="s">
        <v>930</v>
      </c>
    </row>
    <row r="1990" spans="2:64" ht="15">
      <c r="B1990" s="84"/>
      <c r="D1990" s="84"/>
      <c r="E1990" s="84"/>
      <c r="F1990" s="84"/>
      <c r="G1990" s="84"/>
      <c r="R1990" s="251"/>
      <c r="S1990" s="251"/>
      <c r="BD1990" s="399">
        <v>1987</v>
      </c>
      <c r="BE1990" s="399" t="s">
        <v>5345</v>
      </c>
      <c r="BF1990" s="251" t="s">
        <v>5346</v>
      </c>
      <c r="BG1990" s="399" t="s">
        <v>405</v>
      </c>
      <c r="BH1990" s="252" t="s">
        <v>1395</v>
      </c>
      <c r="BI1990" s="251" t="s">
        <v>450</v>
      </c>
      <c r="BJ1990" s="251" t="s">
        <v>390</v>
      </c>
      <c r="BK1990" s="251" t="s">
        <v>5347</v>
      </c>
      <c r="BL1990" s="251" t="s">
        <v>409</v>
      </c>
    </row>
    <row r="1991" spans="2:64" ht="15">
      <c r="B1991" s="84"/>
      <c r="D1991" s="84"/>
      <c r="E1991" s="84"/>
      <c r="F1991" s="84"/>
      <c r="G1991" s="84"/>
      <c r="R1991" s="251"/>
      <c r="S1991" s="251"/>
      <c r="BD1991" s="399">
        <v>1988</v>
      </c>
      <c r="BE1991" s="399" t="s">
        <v>5348</v>
      </c>
      <c r="BF1991" s="251" t="s">
        <v>5349</v>
      </c>
      <c r="BG1991" s="399" t="s">
        <v>405</v>
      </c>
      <c r="BH1991" s="252" t="s">
        <v>412</v>
      </c>
      <c r="BI1991" s="251" t="s">
        <v>5350</v>
      </c>
      <c r="BJ1991" s="251" t="s">
        <v>413</v>
      </c>
      <c r="BK1991" s="251" t="s">
        <v>5351</v>
      </c>
      <c r="BL1991" s="251" t="s">
        <v>409</v>
      </c>
    </row>
    <row r="1992" spans="2:64" ht="15">
      <c r="B1992" s="84"/>
      <c r="D1992" s="84"/>
      <c r="E1992" s="84"/>
      <c r="F1992" s="84"/>
      <c r="G1992" s="84"/>
      <c r="R1992" s="251"/>
      <c r="S1992" s="251"/>
      <c r="BD1992" s="399">
        <v>1989</v>
      </c>
      <c r="BE1992" s="399" t="s">
        <v>5352</v>
      </c>
      <c r="BF1992" s="251" t="s">
        <v>5353</v>
      </c>
      <c r="BG1992" s="399" t="s">
        <v>475</v>
      </c>
      <c r="BH1992" s="252" t="s">
        <v>476</v>
      </c>
      <c r="BI1992" s="251" t="s">
        <v>365</v>
      </c>
      <c r="BJ1992" s="251" t="s">
        <v>539</v>
      </c>
      <c r="BK1992" s="251" t="s">
        <v>5354</v>
      </c>
      <c r="BL1992" s="251" t="s">
        <v>479</v>
      </c>
    </row>
    <row r="1993" spans="2:64" ht="15">
      <c r="B1993" s="84"/>
      <c r="D1993" s="84"/>
      <c r="E1993" s="84"/>
      <c r="F1993" s="84"/>
      <c r="G1993" s="84"/>
      <c r="R1993" s="251"/>
      <c r="S1993" s="251"/>
      <c r="BD1993" s="399">
        <v>1990</v>
      </c>
      <c r="BE1993" s="399" t="s">
        <v>5355</v>
      </c>
      <c r="BF1993" s="251" t="s">
        <v>5356</v>
      </c>
      <c r="BG1993" s="399" t="s">
        <v>566</v>
      </c>
      <c r="BH1993" s="252" t="s">
        <v>1004</v>
      </c>
      <c r="BI1993" s="251" t="s">
        <v>5357</v>
      </c>
      <c r="BJ1993" s="251" t="s">
        <v>413</v>
      </c>
      <c r="BK1993" s="251" t="s">
        <v>5358</v>
      </c>
      <c r="BL1993" s="251" t="s">
        <v>569</v>
      </c>
    </row>
    <row r="1994" spans="2:64" ht="15">
      <c r="B1994" s="84"/>
      <c r="D1994" s="84"/>
      <c r="E1994" s="84"/>
      <c r="F1994" s="84"/>
      <c r="G1994" s="84"/>
      <c r="R1994" s="251"/>
      <c r="S1994" s="251"/>
      <c r="BD1994" s="399">
        <v>1991</v>
      </c>
      <c r="BE1994" s="399" t="s">
        <v>2532</v>
      </c>
      <c r="BF1994" s="251" t="s">
        <v>5359</v>
      </c>
      <c r="BG1994" s="399" t="s">
        <v>363</v>
      </c>
      <c r="BH1994" s="252" t="s">
        <v>364</v>
      </c>
      <c r="BI1994" s="251" t="s">
        <v>332</v>
      </c>
      <c r="BJ1994" s="251" t="s">
        <v>380</v>
      </c>
      <c r="BK1994" s="251" t="s">
        <v>2533</v>
      </c>
      <c r="BL1994" s="251" t="s">
        <v>368</v>
      </c>
    </row>
    <row r="1995" spans="2:64" ht="15">
      <c r="B1995" s="84"/>
      <c r="D1995" s="84"/>
      <c r="E1995" s="84"/>
      <c r="F1995" s="84"/>
      <c r="G1995" s="84"/>
      <c r="R1995" s="251"/>
      <c r="S1995" s="251"/>
      <c r="BD1995" s="399">
        <v>1992</v>
      </c>
      <c r="BE1995" s="399" t="s">
        <v>5360</v>
      </c>
      <c r="BF1995" s="251" t="s">
        <v>5361</v>
      </c>
      <c r="BG1995" s="399" t="s">
        <v>405</v>
      </c>
      <c r="BH1995" s="252" t="s">
        <v>830</v>
      </c>
      <c r="BI1995" s="251" t="s">
        <v>331</v>
      </c>
      <c r="BJ1995" s="251" t="s">
        <v>397</v>
      </c>
      <c r="BK1995" s="251" t="s">
        <v>5362</v>
      </c>
      <c r="BL1995" s="251" t="s">
        <v>409</v>
      </c>
    </row>
    <row r="1996" spans="2:64" ht="15">
      <c r="B1996" s="84"/>
      <c r="D1996" s="84"/>
      <c r="E1996" s="84"/>
      <c r="F1996" s="84"/>
      <c r="G1996" s="84"/>
      <c r="R1996" s="251"/>
      <c r="S1996" s="251"/>
      <c r="BD1996" s="399">
        <v>1993</v>
      </c>
      <c r="BE1996" s="399" t="s">
        <v>5363</v>
      </c>
      <c r="BF1996" s="251" t="s">
        <v>5364</v>
      </c>
      <c r="BG1996" s="399" t="s">
        <v>469</v>
      </c>
      <c r="BH1996" s="252" t="s">
        <v>470</v>
      </c>
      <c r="BI1996" s="251" t="s">
        <v>333</v>
      </c>
      <c r="BJ1996" s="251" t="s">
        <v>407</v>
      </c>
      <c r="BK1996" s="251" t="s">
        <v>5365</v>
      </c>
      <c r="BL1996" s="251" t="s">
        <v>472</v>
      </c>
    </row>
    <row r="1997" spans="2:64" ht="15">
      <c r="B1997" s="84"/>
      <c r="D1997" s="84"/>
      <c r="E1997" s="84"/>
      <c r="F1997" s="84"/>
      <c r="G1997" s="84"/>
      <c r="R1997" s="251"/>
      <c r="S1997" s="251"/>
      <c r="BD1997" s="399">
        <v>1994</v>
      </c>
      <c r="BE1997" s="399" t="s">
        <v>5366</v>
      </c>
      <c r="BF1997" s="251" t="s">
        <v>5367</v>
      </c>
      <c r="BG1997" s="399" t="s">
        <v>602</v>
      </c>
      <c r="BH1997" s="252">
        <v>47</v>
      </c>
      <c r="BI1997" s="251" t="s">
        <v>450</v>
      </c>
      <c r="BJ1997" s="251" t="s">
        <v>366</v>
      </c>
      <c r="BK1997" s="251" t="s">
        <v>5368</v>
      </c>
      <c r="BL1997" s="251" t="s">
        <v>604</v>
      </c>
    </row>
    <row r="1998" spans="2:64" ht="15">
      <c r="B1998" s="84"/>
      <c r="D1998" s="84"/>
      <c r="E1998" s="84"/>
      <c r="F1998" s="84"/>
      <c r="G1998" s="84"/>
      <c r="R1998" s="251"/>
      <c r="S1998" s="251"/>
      <c r="BD1998" s="399">
        <v>1995</v>
      </c>
      <c r="BE1998" s="399" t="s">
        <v>5369</v>
      </c>
      <c r="BF1998" s="251" t="s">
        <v>5370</v>
      </c>
      <c r="BG1998" s="399" t="s">
        <v>389</v>
      </c>
      <c r="BH1998" s="252">
        <v>39</v>
      </c>
      <c r="BI1998" s="251" t="s">
        <v>357</v>
      </c>
      <c r="BJ1998" s="251" t="s">
        <v>413</v>
      </c>
      <c r="BK1998" s="251" t="s">
        <v>5371</v>
      </c>
      <c r="BL1998" s="251" t="s">
        <v>392</v>
      </c>
    </row>
    <row r="1999" spans="2:64" ht="15">
      <c r="B1999" s="84"/>
      <c r="D1999" s="84"/>
      <c r="E1999" s="84"/>
      <c r="F1999" s="84"/>
      <c r="G1999" s="84"/>
      <c r="R1999" s="251"/>
      <c r="S1999" s="251"/>
      <c r="BD1999" s="399">
        <v>1996</v>
      </c>
      <c r="BE1999" s="399" t="s">
        <v>633</v>
      </c>
      <c r="BF1999" s="251" t="s">
        <v>5372</v>
      </c>
      <c r="BG1999" s="399" t="s">
        <v>363</v>
      </c>
      <c r="BH1999" s="252" t="s">
        <v>364</v>
      </c>
      <c r="BI1999" s="251" t="s">
        <v>635</v>
      </c>
      <c r="BJ1999" s="251" t="s">
        <v>413</v>
      </c>
      <c r="BK1999" s="251" t="s">
        <v>5373</v>
      </c>
      <c r="BL1999" s="251" t="s">
        <v>368</v>
      </c>
    </row>
    <row r="2000" spans="2:64" ht="15">
      <c r="B2000" s="84"/>
      <c r="D2000" s="84"/>
      <c r="E2000" s="84"/>
      <c r="F2000" s="84"/>
      <c r="G2000" s="84"/>
      <c r="R2000" s="251"/>
      <c r="S2000" s="251"/>
      <c r="BD2000" s="399">
        <v>1997</v>
      </c>
      <c r="BE2000" s="399" t="s">
        <v>5374</v>
      </c>
      <c r="BF2000" s="251" t="s">
        <v>5375</v>
      </c>
      <c r="BG2000" s="399" t="s">
        <v>475</v>
      </c>
      <c r="BH2000" s="252" t="s">
        <v>510</v>
      </c>
      <c r="BI2000" s="251" t="s">
        <v>615</v>
      </c>
      <c r="BJ2000" s="251" t="s">
        <v>366</v>
      </c>
      <c r="BK2000" s="251" t="s">
        <v>5376</v>
      </c>
      <c r="BL2000" s="251" t="s">
        <v>479</v>
      </c>
    </row>
    <row r="2001" spans="2:64" ht="15">
      <c r="B2001" s="84"/>
      <c r="D2001" s="84"/>
      <c r="E2001" s="84"/>
      <c r="F2001" s="84"/>
      <c r="G2001" s="84"/>
      <c r="R2001" s="251"/>
      <c r="S2001" s="251"/>
      <c r="BD2001" s="399">
        <v>1998</v>
      </c>
      <c r="BE2001" s="399" t="s">
        <v>5377</v>
      </c>
      <c r="BF2001" s="251" t="s">
        <v>5378</v>
      </c>
      <c r="BG2001" s="399" t="s">
        <v>429</v>
      </c>
      <c r="BH2001" s="252" t="s">
        <v>430</v>
      </c>
      <c r="BI2001" s="251" t="s">
        <v>563</v>
      </c>
      <c r="BJ2001" s="251" t="s">
        <v>390</v>
      </c>
      <c r="BK2001" s="251" t="s">
        <v>5379</v>
      </c>
      <c r="BL2001" s="251" t="s">
        <v>432</v>
      </c>
    </row>
    <row r="2002" spans="2:64" ht="15">
      <c r="B2002" s="84"/>
      <c r="D2002" s="84"/>
      <c r="E2002" s="84"/>
      <c r="F2002" s="84"/>
      <c r="G2002" s="84"/>
      <c r="R2002" s="251"/>
      <c r="S2002" s="251"/>
      <c r="BD2002" s="399">
        <v>1999</v>
      </c>
      <c r="BE2002" s="399" t="s">
        <v>5380</v>
      </c>
      <c r="BF2002" s="251" t="s">
        <v>5381</v>
      </c>
      <c r="BG2002" s="399" t="s">
        <v>566</v>
      </c>
      <c r="BH2002" s="252" t="s">
        <v>1004</v>
      </c>
      <c r="BI2002" s="251" t="s">
        <v>1982</v>
      </c>
      <c r="BJ2002" s="251" t="s">
        <v>407</v>
      </c>
      <c r="BK2002" s="251" t="s">
        <v>5382</v>
      </c>
      <c r="BL2002" s="251" t="s">
        <v>569</v>
      </c>
    </row>
    <row r="2003" spans="2:64" ht="15">
      <c r="B2003" s="84"/>
      <c r="D2003" s="84"/>
      <c r="E2003" s="84"/>
      <c r="F2003" s="84"/>
      <c r="G2003" s="84"/>
      <c r="R2003" s="251"/>
      <c r="S2003" s="251"/>
      <c r="BD2003" s="399">
        <v>2000</v>
      </c>
      <c r="BE2003" s="399" t="s">
        <v>2525</v>
      </c>
      <c r="BF2003" s="251" t="s">
        <v>5383</v>
      </c>
      <c r="BG2003" s="399" t="s">
        <v>363</v>
      </c>
      <c r="BH2003" s="252" t="s">
        <v>364</v>
      </c>
      <c r="BI2003" s="251" t="s">
        <v>331</v>
      </c>
      <c r="BJ2003" s="251" t="s">
        <v>407</v>
      </c>
      <c r="BK2003" s="251" t="s">
        <v>2526</v>
      </c>
      <c r="BL2003" s="251" t="s">
        <v>368</v>
      </c>
    </row>
    <row r="2004" spans="2:64" ht="15">
      <c r="B2004" s="84"/>
      <c r="D2004" s="84"/>
      <c r="E2004" s="84"/>
      <c r="F2004" s="84"/>
      <c r="G2004" s="84"/>
      <c r="R2004" s="251"/>
      <c r="S2004" s="251"/>
      <c r="BD2004" s="399">
        <v>2001</v>
      </c>
      <c r="BE2004" s="399" t="s">
        <v>5384</v>
      </c>
      <c r="BF2004" s="251" t="s">
        <v>5385</v>
      </c>
      <c r="BG2004" s="399" t="s">
        <v>371</v>
      </c>
      <c r="BH2004" s="252">
        <v>28</v>
      </c>
      <c r="BI2004" s="251" t="s">
        <v>615</v>
      </c>
      <c r="BJ2004" s="251" t="s">
        <v>366</v>
      </c>
      <c r="BK2004" s="251" t="s">
        <v>5386</v>
      </c>
      <c r="BL2004" s="251" t="s">
        <v>375</v>
      </c>
    </row>
    <row r="2005" spans="2:64" ht="15">
      <c r="B2005" s="84"/>
      <c r="D2005" s="84"/>
      <c r="E2005" s="84"/>
      <c r="F2005" s="84"/>
      <c r="G2005" s="84"/>
      <c r="R2005" s="251"/>
      <c r="S2005" s="251"/>
      <c r="BD2005" s="399">
        <v>2002</v>
      </c>
      <c r="BE2005" s="399" t="s">
        <v>5387</v>
      </c>
      <c r="BF2005" s="251" t="s">
        <v>5388</v>
      </c>
      <c r="BG2005" s="399" t="s">
        <v>566</v>
      </c>
      <c r="BH2005" s="252" t="s">
        <v>567</v>
      </c>
      <c r="BI2005" s="251" t="s">
        <v>583</v>
      </c>
      <c r="BJ2005" s="251" t="s">
        <v>413</v>
      </c>
      <c r="BK2005" s="251" t="s">
        <v>5389</v>
      </c>
      <c r="BL2005" s="251" t="s">
        <v>569</v>
      </c>
    </row>
    <row r="2006" spans="2:64" ht="15">
      <c r="B2006" s="84"/>
      <c r="D2006" s="84"/>
      <c r="E2006" s="84"/>
      <c r="F2006" s="84"/>
      <c r="G2006" s="84"/>
      <c r="R2006" s="251"/>
      <c r="S2006" s="251"/>
      <c r="BD2006" s="399">
        <v>2003</v>
      </c>
      <c r="BE2006" s="399" t="s">
        <v>5390</v>
      </c>
      <c r="BF2006" s="251" t="s">
        <v>5391</v>
      </c>
      <c r="BG2006" s="399" t="s">
        <v>395</v>
      </c>
      <c r="BH2006" s="252">
        <v>16</v>
      </c>
      <c r="BI2006" s="251" t="s">
        <v>465</v>
      </c>
      <c r="BJ2006" s="251" t="s">
        <v>413</v>
      </c>
      <c r="BK2006" s="251" t="s">
        <v>5392</v>
      </c>
      <c r="BL2006" s="251" t="s">
        <v>399</v>
      </c>
    </row>
    <row r="2007" spans="2:64" ht="15">
      <c r="B2007" s="84"/>
      <c r="D2007" s="84"/>
      <c r="E2007" s="84"/>
      <c r="F2007" s="84"/>
      <c r="G2007" s="84"/>
      <c r="R2007" s="251"/>
      <c r="S2007" s="251"/>
      <c r="BD2007" s="399">
        <v>2004</v>
      </c>
      <c r="BE2007" s="399" t="s">
        <v>5393</v>
      </c>
      <c r="BF2007" s="251" t="s">
        <v>5394</v>
      </c>
      <c r="BG2007" s="399" t="s">
        <v>435</v>
      </c>
      <c r="BH2007" s="252" t="s">
        <v>651</v>
      </c>
      <c r="BI2007" s="251" t="s">
        <v>615</v>
      </c>
      <c r="BJ2007" s="251" t="s">
        <v>385</v>
      </c>
      <c r="BK2007" s="251" t="s">
        <v>5395</v>
      </c>
      <c r="BL2007" s="251" t="s">
        <v>439</v>
      </c>
    </row>
    <row r="2008" spans="2:64" ht="15">
      <c r="B2008" s="84"/>
      <c r="D2008" s="84"/>
      <c r="E2008" s="84"/>
      <c r="F2008" s="84"/>
      <c r="G2008" s="84"/>
      <c r="R2008" s="251"/>
      <c r="S2008" s="251"/>
      <c r="BD2008" s="399">
        <v>2005</v>
      </c>
      <c r="BE2008" s="399" t="s">
        <v>5396</v>
      </c>
      <c r="BF2008" s="251" t="s">
        <v>5397</v>
      </c>
      <c r="BG2008" s="399" t="s">
        <v>489</v>
      </c>
      <c r="BH2008" s="252" t="s">
        <v>490</v>
      </c>
      <c r="BI2008" s="251" t="s">
        <v>332</v>
      </c>
      <c r="BJ2008" s="251" t="s">
        <v>385</v>
      </c>
      <c r="BK2008" s="251" t="s">
        <v>5398</v>
      </c>
      <c r="BL2008" s="251" t="s">
        <v>493</v>
      </c>
    </row>
    <row r="2009" spans="2:64" ht="15">
      <c r="B2009" s="84"/>
      <c r="D2009" s="84"/>
      <c r="E2009" s="84"/>
      <c r="F2009" s="84"/>
      <c r="G2009" s="84"/>
      <c r="R2009" s="251"/>
      <c r="S2009" s="251"/>
      <c r="BD2009" s="399">
        <v>2006</v>
      </c>
      <c r="BE2009" s="399" t="s">
        <v>5399</v>
      </c>
      <c r="BF2009" s="251" t="s">
        <v>5400</v>
      </c>
      <c r="BG2009" s="399" t="s">
        <v>566</v>
      </c>
      <c r="BH2009" s="252" t="s">
        <v>1004</v>
      </c>
      <c r="BI2009" s="251" t="s">
        <v>334</v>
      </c>
      <c r="BJ2009" s="251" t="s">
        <v>380</v>
      </c>
      <c r="BK2009" s="251" t="s">
        <v>5401</v>
      </c>
      <c r="BL2009" s="251" t="s">
        <v>569</v>
      </c>
    </row>
    <row r="2010" spans="2:64" ht="15">
      <c r="B2010" s="84"/>
      <c r="D2010" s="84"/>
      <c r="E2010" s="84"/>
      <c r="F2010" s="84"/>
      <c r="G2010" s="84"/>
      <c r="R2010" s="251"/>
      <c r="S2010" s="251"/>
      <c r="BD2010" s="399">
        <v>2007</v>
      </c>
      <c r="BE2010" s="399" t="s">
        <v>2448</v>
      </c>
      <c r="BF2010" s="251" t="s">
        <v>5402</v>
      </c>
      <c r="BG2010" s="399" t="s">
        <v>405</v>
      </c>
      <c r="BH2010" s="252" t="s">
        <v>412</v>
      </c>
      <c r="BI2010" s="251" t="s">
        <v>728</v>
      </c>
      <c r="BJ2010" s="251" t="s">
        <v>407</v>
      </c>
      <c r="BK2010" s="251" t="s">
        <v>5403</v>
      </c>
      <c r="BL2010" s="251" t="s">
        <v>409</v>
      </c>
    </row>
    <row r="2011" spans="2:64" ht="15">
      <c r="B2011" s="84"/>
      <c r="D2011" s="84"/>
      <c r="E2011" s="84"/>
      <c r="F2011" s="84"/>
      <c r="G2011" s="84"/>
      <c r="R2011" s="251"/>
      <c r="S2011" s="251"/>
      <c r="BD2011" s="399">
        <v>2008</v>
      </c>
      <c r="BE2011" s="399" t="s">
        <v>5404</v>
      </c>
      <c r="BF2011" s="251" t="s">
        <v>5405</v>
      </c>
      <c r="BG2011" s="399" t="s">
        <v>489</v>
      </c>
      <c r="BH2011" s="252" t="s">
        <v>490</v>
      </c>
      <c r="BI2011" s="251" t="s">
        <v>450</v>
      </c>
      <c r="BJ2011" s="251" t="s">
        <v>385</v>
      </c>
      <c r="BK2011" s="251" t="s">
        <v>5406</v>
      </c>
      <c r="BL2011" s="251" t="s">
        <v>493</v>
      </c>
    </row>
    <row r="2012" spans="2:64" ht="15">
      <c r="B2012" s="84"/>
      <c r="D2012" s="84"/>
      <c r="E2012" s="84"/>
      <c r="F2012" s="84"/>
      <c r="G2012" s="84"/>
      <c r="R2012" s="251"/>
      <c r="S2012" s="251"/>
      <c r="BD2012" s="399">
        <v>2009</v>
      </c>
      <c r="BE2012" s="399" t="s">
        <v>5407</v>
      </c>
      <c r="BF2012" s="251" t="s">
        <v>5408</v>
      </c>
      <c r="BG2012" s="399" t="s">
        <v>469</v>
      </c>
      <c r="BH2012" s="252" t="s">
        <v>470</v>
      </c>
      <c r="BI2012" s="251" t="s">
        <v>1982</v>
      </c>
      <c r="BJ2012" s="251" t="s">
        <v>380</v>
      </c>
      <c r="BK2012" s="251" t="s">
        <v>5409</v>
      </c>
      <c r="BL2012" s="251" t="s">
        <v>472</v>
      </c>
    </row>
    <row r="2013" spans="2:64" ht="15">
      <c r="B2013" s="84"/>
      <c r="D2013" s="84"/>
      <c r="E2013" s="84"/>
      <c r="F2013" s="84"/>
      <c r="G2013" s="84"/>
      <c r="R2013" s="251"/>
      <c r="S2013" s="251"/>
      <c r="BD2013" s="399">
        <v>2010</v>
      </c>
      <c r="BE2013" s="399" t="s">
        <v>5410</v>
      </c>
      <c r="BF2013" s="251" t="s">
        <v>5411</v>
      </c>
      <c r="BG2013" s="399" t="s">
        <v>519</v>
      </c>
      <c r="BH2013" s="252">
        <v>30</v>
      </c>
      <c r="BI2013" s="251" t="s">
        <v>332</v>
      </c>
      <c r="BJ2013" s="251" t="s">
        <v>366</v>
      </c>
      <c r="BK2013" s="251" t="s">
        <v>5412</v>
      </c>
      <c r="BL2013" s="251" t="s">
        <v>521</v>
      </c>
    </row>
    <row r="2014" spans="2:64" ht="15">
      <c r="B2014" s="84"/>
      <c r="D2014" s="84"/>
      <c r="E2014" s="84"/>
      <c r="F2014" s="84"/>
      <c r="G2014" s="84"/>
      <c r="R2014" s="251"/>
      <c r="S2014" s="251"/>
      <c r="BD2014" s="399">
        <v>2011</v>
      </c>
      <c r="BE2014" s="399" t="s">
        <v>5413</v>
      </c>
      <c r="BF2014" s="251" t="s">
        <v>5414</v>
      </c>
      <c r="BG2014" s="399" t="s">
        <v>469</v>
      </c>
      <c r="BH2014" s="252" t="s">
        <v>470</v>
      </c>
      <c r="BI2014" s="251" t="s">
        <v>1179</v>
      </c>
      <c r="BJ2014" s="251" t="s">
        <v>366</v>
      </c>
      <c r="BK2014" s="251" t="s">
        <v>5415</v>
      </c>
      <c r="BL2014" s="251" t="s">
        <v>472</v>
      </c>
    </row>
    <row r="2015" spans="2:64" ht="15">
      <c r="B2015" s="84"/>
      <c r="D2015" s="84"/>
      <c r="E2015" s="84"/>
      <c r="F2015" s="84"/>
      <c r="G2015" s="84"/>
      <c r="R2015" s="251"/>
      <c r="S2015" s="251"/>
      <c r="BD2015" s="399">
        <v>2012</v>
      </c>
      <c r="BE2015" s="399" t="s">
        <v>2434</v>
      </c>
      <c r="BF2015" s="251" t="s">
        <v>5416</v>
      </c>
      <c r="BG2015" s="399" t="s">
        <v>405</v>
      </c>
      <c r="BH2015" s="252" t="s">
        <v>830</v>
      </c>
      <c r="BI2015" s="251" t="s">
        <v>379</v>
      </c>
      <c r="BJ2015" s="251" t="s">
        <v>351</v>
      </c>
      <c r="BK2015" s="251" t="s">
        <v>2435</v>
      </c>
      <c r="BL2015" s="251" t="s">
        <v>409</v>
      </c>
    </row>
    <row r="2016" spans="2:64" ht="15">
      <c r="B2016" s="84"/>
      <c r="D2016" s="84"/>
      <c r="E2016" s="84"/>
      <c r="F2016" s="84"/>
      <c r="G2016" s="84"/>
      <c r="R2016" s="251"/>
      <c r="S2016" s="251"/>
      <c r="BD2016" s="399">
        <v>2013</v>
      </c>
      <c r="BE2016" s="399" t="s">
        <v>5417</v>
      </c>
      <c r="BF2016" s="251" t="s">
        <v>5418</v>
      </c>
      <c r="BG2016" s="399" t="s">
        <v>614</v>
      </c>
      <c r="BH2016" s="252">
        <v>38</v>
      </c>
      <c r="BI2016" s="251" t="s">
        <v>450</v>
      </c>
      <c r="BJ2016" s="251" t="s">
        <v>778</v>
      </c>
      <c r="BK2016" s="251" t="s">
        <v>5419</v>
      </c>
      <c r="BL2016" s="251" t="s">
        <v>617</v>
      </c>
    </row>
    <row r="2017" spans="2:64" ht="15">
      <c r="B2017" s="84"/>
      <c r="D2017" s="84"/>
      <c r="E2017" s="84"/>
      <c r="F2017" s="84"/>
      <c r="G2017" s="84"/>
      <c r="R2017" s="251"/>
      <c r="S2017" s="251"/>
      <c r="BD2017" s="399">
        <v>2014</v>
      </c>
      <c r="BE2017" s="399" t="s">
        <v>5420</v>
      </c>
      <c r="BF2017" s="251" t="s">
        <v>5421</v>
      </c>
      <c r="BG2017" s="399">
        <v>54</v>
      </c>
      <c r="BH2017" s="252" t="s">
        <v>5422</v>
      </c>
      <c r="BI2017" s="251" t="s">
        <v>740</v>
      </c>
      <c r="BJ2017" s="251" t="s">
        <v>413</v>
      </c>
      <c r="BK2017" s="251" t="s">
        <v>5423</v>
      </c>
      <c r="BL2017" s="251" t="s">
        <v>930</v>
      </c>
    </row>
    <row r="2018" spans="2:64" ht="15">
      <c r="B2018" s="84"/>
      <c r="D2018" s="84"/>
      <c r="E2018" s="84"/>
      <c r="F2018" s="84"/>
      <c r="G2018" s="84"/>
      <c r="R2018" s="251"/>
      <c r="S2018" s="251"/>
      <c r="BD2018" s="399">
        <v>2015</v>
      </c>
      <c r="BE2018" s="399" t="s">
        <v>5424</v>
      </c>
      <c r="BF2018" s="251" t="s">
        <v>5425</v>
      </c>
      <c r="BG2018" s="399" t="s">
        <v>389</v>
      </c>
      <c r="BH2018" s="252">
        <v>39</v>
      </c>
      <c r="BI2018" s="251" t="s">
        <v>379</v>
      </c>
      <c r="BJ2018" s="251" t="s">
        <v>407</v>
      </c>
      <c r="BK2018" s="251" t="s">
        <v>5426</v>
      </c>
      <c r="BL2018" s="251" t="s">
        <v>392</v>
      </c>
    </row>
    <row r="2019" spans="2:64" ht="15">
      <c r="B2019" s="84"/>
      <c r="D2019" s="84"/>
      <c r="E2019" s="84"/>
      <c r="F2019" s="84"/>
      <c r="G2019" s="84"/>
      <c r="R2019" s="251"/>
      <c r="S2019" s="251"/>
      <c r="BD2019" s="399">
        <v>2016</v>
      </c>
      <c r="BE2019" s="399" t="s">
        <v>5427</v>
      </c>
      <c r="BF2019" s="251" t="s">
        <v>5428</v>
      </c>
      <c r="BG2019" s="399" t="s">
        <v>435</v>
      </c>
      <c r="BH2019" s="252" t="s">
        <v>2383</v>
      </c>
      <c r="BI2019" s="251" t="s">
        <v>445</v>
      </c>
      <c r="BJ2019" s="251" t="s">
        <v>407</v>
      </c>
      <c r="BK2019" s="251" t="s">
        <v>5429</v>
      </c>
      <c r="BL2019" s="251" t="s">
        <v>439</v>
      </c>
    </row>
    <row r="2020" spans="2:64" ht="15">
      <c r="B2020" s="84"/>
      <c r="D2020" s="84"/>
      <c r="E2020" s="84"/>
      <c r="F2020" s="84"/>
      <c r="G2020" s="84"/>
      <c r="R2020" s="251"/>
      <c r="S2020" s="251"/>
      <c r="BD2020" s="399">
        <v>2017</v>
      </c>
      <c r="BE2020" s="399" t="s">
        <v>5430</v>
      </c>
      <c r="BF2020" s="251" t="s">
        <v>5431</v>
      </c>
      <c r="BG2020" s="399" t="s">
        <v>566</v>
      </c>
      <c r="BH2020" s="252" t="s">
        <v>567</v>
      </c>
      <c r="BI2020" s="251" t="s">
        <v>579</v>
      </c>
      <c r="BJ2020" s="251" t="s">
        <v>380</v>
      </c>
      <c r="BK2020" s="251" t="s">
        <v>5432</v>
      </c>
      <c r="BL2020" s="251" t="s">
        <v>569</v>
      </c>
    </row>
    <row r="2021" spans="2:64" ht="15">
      <c r="B2021" s="84"/>
      <c r="D2021" s="84"/>
      <c r="E2021" s="84"/>
      <c r="F2021" s="84"/>
      <c r="G2021" s="84"/>
      <c r="R2021" s="251"/>
      <c r="S2021" s="251"/>
      <c r="BD2021" s="399">
        <v>2018</v>
      </c>
      <c r="BE2021" s="399" t="s">
        <v>912</v>
      </c>
      <c r="BF2021" s="251" t="s">
        <v>5433</v>
      </c>
      <c r="BG2021" s="399" t="s">
        <v>363</v>
      </c>
      <c r="BH2021" s="252" t="s">
        <v>5434</v>
      </c>
      <c r="BI2021" s="251" t="s">
        <v>445</v>
      </c>
      <c r="BJ2021" s="251" t="s">
        <v>385</v>
      </c>
      <c r="BK2021" s="251" t="s">
        <v>5435</v>
      </c>
      <c r="BL2021" s="251" t="s">
        <v>368</v>
      </c>
    </row>
    <row r="2022" spans="2:64" ht="15">
      <c r="B2022" s="84"/>
      <c r="D2022" s="84"/>
      <c r="E2022" s="84"/>
      <c r="F2022" s="84"/>
      <c r="G2022" s="84"/>
      <c r="R2022" s="251"/>
      <c r="S2022" s="251"/>
      <c r="BD2022" s="399">
        <v>2019</v>
      </c>
      <c r="BE2022" s="399" t="s">
        <v>5436</v>
      </c>
      <c r="BF2022" s="251" t="s">
        <v>5437</v>
      </c>
      <c r="BG2022" s="399" t="s">
        <v>435</v>
      </c>
      <c r="BH2022" s="252" t="s">
        <v>436</v>
      </c>
      <c r="BI2022" s="251" t="s">
        <v>379</v>
      </c>
      <c r="BJ2022" s="251" t="s">
        <v>390</v>
      </c>
      <c r="BK2022" s="251" t="s">
        <v>5438</v>
      </c>
      <c r="BL2022" s="251" t="s">
        <v>439</v>
      </c>
    </row>
    <row r="2023" spans="2:64" ht="15">
      <c r="B2023" s="84"/>
      <c r="D2023" s="84"/>
      <c r="E2023" s="84"/>
      <c r="F2023" s="84"/>
      <c r="G2023" s="84"/>
      <c r="R2023" s="251"/>
      <c r="S2023" s="251"/>
      <c r="BD2023" s="399">
        <v>2020</v>
      </c>
      <c r="BE2023" s="399" t="s">
        <v>5439</v>
      </c>
      <c r="BF2023" s="251" t="s">
        <v>5440</v>
      </c>
      <c r="BG2023" s="399" t="s">
        <v>475</v>
      </c>
      <c r="BH2023" s="252" t="s">
        <v>534</v>
      </c>
      <c r="BI2023" s="251" t="s">
        <v>635</v>
      </c>
      <c r="BJ2023" s="251" t="s">
        <v>413</v>
      </c>
      <c r="BK2023" s="251" t="s">
        <v>5441</v>
      </c>
      <c r="BL2023" s="251" t="s">
        <v>479</v>
      </c>
    </row>
    <row r="2024" spans="2:64" ht="15">
      <c r="B2024" s="84"/>
      <c r="D2024" s="84"/>
      <c r="E2024" s="84"/>
      <c r="F2024" s="84"/>
      <c r="G2024" s="84"/>
      <c r="R2024" s="251"/>
      <c r="S2024" s="251"/>
      <c r="BD2024" s="399">
        <v>2021</v>
      </c>
      <c r="BE2024" s="399" t="s">
        <v>5442</v>
      </c>
      <c r="BF2024" s="251" t="s">
        <v>5443</v>
      </c>
      <c r="BG2024" s="399" t="s">
        <v>429</v>
      </c>
      <c r="BH2024" s="252" t="s">
        <v>430</v>
      </c>
      <c r="BI2024" s="251" t="s">
        <v>583</v>
      </c>
      <c r="BJ2024" s="251" t="s">
        <v>413</v>
      </c>
      <c r="BK2024" s="251" t="s">
        <v>5444</v>
      </c>
      <c r="BL2024" s="251" t="s">
        <v>432</v>
      </c>
    </row>
    <row r="2025" spans="2:64" ht="15">
      <c r="B2025" s="84"/>
      <c r="D2025" s="84"/>
      <c r="E2025" s="84"/>
      <c r="F2025" s="84"/>
      <c r="G2025" s="84"/>
      <c r="R2025" s="251"/>
      <c r="S2025" s="251"/>
      <c r="BD2025" s="399">
        <v>2022</v>
      </c>
      <c r="BE2025" s="399" t="s">
        <v>5445</v>
      </c>
      <c r="BF2025" s="251" t="s">
        <v>5446</v>
      </c>
      <c r="BG2025" s="399" t="s">
        <v>469</v>
      </c>
      <c r="BH2025" s="252" t="s">
        <v>470</v>
      </c>
      <c r="BI2025" s="251" t="s">
        <v>450</v>
      </c>
      <c r="BJ2025" s="251" t="s">
        <v>539</v>
      </c>
      <c r="BK2025" s="251" t="s">
        <v>5447</v>
      </c>
      <c r="BL2025" s="251" t="s">
        <v>472</v>
      </c>
    </row>
    <row r="2026" spans="2:64" ht="15">
      <c r="B2026" s="84"/>
      <c r="D2026" s="84"/>
      <c r="E2026" s="84"/>
      <c r="F2026" s="84"/>
      <c r="G2026" s="84"/>
      <c r="R2026" s="251"/>
      <c r="S2026" s="251"/>
      <c r="BD2026" s="399">
        <v>2023</v>
      </c>
      <c r="BE2026" s="399" t="s">
        <v>5448</v>
      </c>
      <c r="BF2026" s="251" t="s">
        <v>5449</v>
      </c>
      <c r="BG2026" s="399" t="s">
        <v>423</v>
      </c>
      <c r="BH2026" s="252" t="s">
        <v>424</v>
      </c>
      <c r="BI2026" s="251" t="s">
        <v>615</v>
      </c>
      <c r="BJ2026" s="251" t="s">
        <v>380</v>
      </c>
      <c r="BK2026" s="251" t="s">
        <v>5450</v>
      </c>
      <c r="BL2026" s="251" t="s">
        <v>426</v>
      </c>
    </row>
    <row r="2027" spans="2:64" ht="15">
      <c r="B2027" s="84"/>
      <c r="D2027" s="84"/>
      <c r="E2027" s="84"/>
      <c r="F2027" s="84"/>
      <c r="G2027" s="84"/>
      <c r="R2027" s="251"/>
      <c r="S2027" s="251"/>
      <c r="BD2027" s="399">
        <v>2024</v>
      </c>
      <c r="BE2027" s="399" t="s">
        <v>5451</v>
      </c>
      <c r="BF2027" s="251" t="s">
        <v>5452</v>
      </c>
      <c r="BG2027" s="399" t="s">
        <v>590</v>
      </c>
      <c r="BH2027" s="252">
        <v>44</v>
      </c>
      <c r="BI2027" s="251" t="s">
        <v>331</v>
      </c>
      <c r="BJ2027" s="251" t="s">
        <v>380</v>
      </c>
      <c r="BK2027" s="251" t="s">
        <v>5453</v>
      </c>
      <c r="BL2027" s="251" t="s">
        <v>592</v>
      </c>
    </row>
    <row r="2028" spans="2:64" ht="15">
      <c r="B2028" s="84"/>
      <c r="D2028" s="84"/>
      <c r="E2028" s="84"/>
      <c r="F2028" s="84"/>
      <c r="G2028" s="84"/>
      <c r="R2028" s="251"/>
      <c r="S2028" s="251"/>
      <c r="BD2028" s="399">
        <v>2025</v>
      </c>
      <c r="BE2028" s="399" t="s">
        <v>5454</v>
      </c>
      <c r="BF2028" s="251" t="s">
        <v>5455</v>
      </c>
      <c r="BG2028" s="399" t="s">
        <v>349</v>
      </c>
      <c r="BH2028" s="252">
        <v>17</v>
      </c>
      <c r="BI2028" s="251" t="s">
        <v>334</v>
      </c>
      <c r="BJ2028" s="251" t="s">
        <v>390</v>
      </c>
      <c r="BK2028" s="251" t="s">
        <v>5456</v>
      </c>
      <c r="BL2028" s="251" t="s">
        <v>353</v>
      </c>
    </row>
    <row r="2029" spans="2:64" ht="15">
      <c r="B2029" s="84"/>
      <c r="D2029" s="84"/>
      <c r="E2029" s="84"/>
      <c r="F2029" s="84"/>
      <c r="G2029" s="84"/>
      <c r="R2029" s="251"/>
      <c r="S2029" s="251"/>
      <c r="BD2029" s="399">
        <v>2026</v>
      </c>
      <c r="BE2029" s="399" t="s">
        <v>5457</v>
      </c>
      <c r="BF2029" s="251" t="s">
        <v>5458</v>
      </c>
      <c r="BG2029" s="399" t="s">
        <v>590</v>
      </c>
      <c r="BH2029" s="252">
        <v>44</v>
      </c>
      <c r="BI2029" s="251" t="s">
        <v>331</v>
      </c>
      <c r="BJ2029" s="251" t="s">
        <v>390</v>
      </c>
      <c r="BK2029" s="251" t="s">
        <v>5459</v>
      </c>
      <c r="BL2029" s="251" t="s">
        <v>592</v>
      </c>
    </row>
    <row r="2030" spans="2:64" ht="15">
      <c r="B2030" s="84"/>
      <c r="D2030" s="84"/>
      <c r="E2030" s="84"/>
      <c r="F2030" s="84"/>
      <c r="G2030" s="84"/>
      <c r="R2030" s="251"/>
      <c r="S2030" s="251"/>
      <c r="BD2030" s="399">
        <v>2027</v>
      </c>
      <c r="BE2030" s="399" t="s">
        <v>5460</v>
      </c>
      <c r="BF2030" s="251" t="s">
        <v>5461</v>
      </c>
      <c r="BG2030" s="399" t="s">
        <v>449</v>
      </c>
      <c r="BH2030" s="252">
        <v>43</v>
      </c>
      <c r="BI2030" s="251" t="s">
        <v>332</v>
      </c>
      <c r="BJ2030" s="251" t="s">
        <v>413</v>
      </c>
      <c r="BK2030" s="251" t="s">
        <v>5462</v>
      </c>
      <c r="BL2030" s="251" t="s">
        <v>452</v>
      </c>
    </row>
    <row r="2031" spans="2:64" ht="15">
      <c r="B2031" s="84"/>
      <c r="D2031" s="84"/>
      <c r="E2031" s="84"/>
      <c r="F2031" s="84"/>
      <c r="G2031" s="84"/>
      <c r="R2031" s="251"/>
      <c r="S2031" s="251"/>
      <c r="BD2031" s="399">
        <v>2028</v>
      </c>
      <c r="BE2031" s="399" t="s">
        <v>5463</v>
      </c>
      <c r="BF2031" s="251" t="s">
        <v>5464</v>
      </c>
      <c r="BG2031" s="399" t="s">
        <v>469</v>
      </c>
      <c r="BH2031" s="252" t="s">
        <v>662</v>
      </c>
      <c r="BI2031" s="251" t="s">
        <v>334</v>
      </c>
      <c r="BJ2031" s="251" t="s">
        <v>397</v>
      </c>
      <c r="BK2031" s="251" t="s">
        <v>5465</v>
      </c>
      <c r="BL2031" s="251" t="s">
        <v>472</v>
      </c>
    </row>
    <row r="2032" spans="2:64" ht="15">
      <c r="B2032" s="84"/>
      <c r="D2032" s="84"/>
      <c r="E2032" s="84"/>
      <c r="F2032" s="84"/>
      <c r="G2032" s="84"/>
      <c r="R2032" s="251"/>
      <c r="S2032" s="251"/>
      <c r="BD2032" s="399">
        <v>2029</v>
      </c>
      <c r="BE2032" s="399" t="s">
        <v>5466</v>
      </c>
      <c r="BF2032" s="251" t="s">
        <v>5467</v>
      </c>
      <c r="BG2032" s="399" t="s">
        <v>469</v>
      </c>
      <c r="BH2032" s="252" t="s">
        <v>470</v>
      </c>
      <c r="BI2032" s="251" t="s">
        <v>477</v>
      </c>
      <c r="BJ2032" s="251" t="s">
        <v>351</v>
      </c>
      <c r="BK2032" s="251" t="s">
        <v>5468</v>
      </c>
      <c r="BL2032" s="251" t="s">
        <v>472</v>
      </c>
    </row>
    <row r="2033" spans="2:64" ht="15">
      <c r="B2033" s="84"/>
      <c r="D2033" s="84"/>
      <c r="E2033" s="84"/>
      <c r="F2033" s="84"/>
      <c r="G2033" s="84"/>
      <c r="R2033" s="251"/>
      <c r="S2033" s="251"/>
      <c r="BD2033" s="399">
        <v>2030</v>
      </c>
      <c r="BE2033" s="399" t="s">
        <v>5469</v>
      </c>
      <c r="BF2033" s="251" t="s">
        <v>5470</v>
      </c>
      <c r="BG2033" s="399" t="s">
        <v>519</v>
      </c>
      <c r="BH2033" s="252">
        <v>30</v>
      </c>
      <c r="BI2033" s="251" t="s">
        <v>563</v>
      </c>
      <c r="BJ2033" s="251" t="s">
        <v>366</v>
      </c>
      <c r="BK2033" s="251" t="s">
        <v>5471</v>
      </c>
      <c r="BL2033" s="251" t="s">
        <v>521</v>
      </c>
    </row>
    <row r="2034" spans="2:64" ht="15">
      <c r="B2034" s="84"/>
      <c r="D2034" s="84"/>
      <c r="E2034" s="84"/>
      <c r="F2034" s="84"/>
      <c r="G2034" s="84"/>
      <c r="R2034" s="251"/>
      <c r="S2034" s="251"/>
      <c r="BD2034" s="399">
        <v>2031</v>
      </c>
      <c r="BE2034" s="399" t="s">
        <v>5472</v>
      </c>
      <c r="BF2034" s="251" t="s">
        <v>5473</v>
      </c>
      <c r="BG2034" s="399" t="s">
        <v>395</v>
      </c>
      <c r="BH2034" s="252">
        <v>16</v>
      </c>
      <c r="BI2034" s="251" t="s">
        <v>798</v>
      </c>
      <c r="BJ2034" s="251" t="s">
        <v>413</v>
      </c>
      <c r="BK2034" s="251" t="s">
        <v>5474</v>
      </c>
      <c r="BL2034" s="251" t="s">
        <v>399</v>
      </c>
    </row>
    <row r="2035" spans="2:64" ht="15">
      <c r="B2035" s="84"/>
      <c r="D2035" s="84"/>
      <c r="E2035" s="84"/>
      <c r="F2035" s="84"/>
      <c r="G2035" s="84"/>
      <c r="R2035" s="251"/>
      <c r="S2035" s="251"/>
      <c r="BD2035" s="399">
        <v>2032</v>
      </c>
      <c r="BE2035" s="399" t="s">
        <v>5475</v>
      </c>
      <c r="BF2035" s="251" t="s">
        <v>5476</v>
      </c>
      <c r="BG2035" s="399" t="s">
        <v>423</v>
      </c>
      <c r="BH2035" s="252" t="s">
        <v>424</v>
      </c>
      <c r="BI2035" s="251" t="s">
        <v>334</v>
      </c>
      <c r="BJ2035" s="251" t="s">
        <v>397</v>
      </c>
      <c r="BK2035" s="251" t="s">
        <v>5477</v>
      </c>
      <c r="BL2035" s="251" t="s">
        <v>426</v>
      </c>
    </row>
    <row r="2036" spans="2:64" ht="15">
      <c r="B2036" s="84"/>
      <c r="D2036" s="84"/>
      <c r="E2036" s="84"/>
      <c r="F2036" s="84"/>
      <c r="G2036" s="84"/>
      <c r="R2036" s="251"/>
      <c r="S2036" s="251"/>
      <c r="BD2036" s="399">
        <v>2033</v>
      </c>
      <c r="BE2036" s="399" t="s">
        <v>5478</v>
      </c>
      <c r="BF2036" s="251" t="s">
        <v>5479</v>
      </c>
      <c r="BG2036" s="399" t="s">
        <v>371</v>
      </c>
      <c r="BH2036" s="252">
        <v>28</v>
      </c>
      <c r="BI2036" s="251" t="s">
        <v>563</v>
      </c>
      <c r="BJ2036" s="251" t="s">
        <v>380</v>
      </c>
      <c r="BK2036" s="251" t="s">
        <v>5480</v>
      </c>
      <c r="BL2036" s="251" t="s">
        <v>375</v>
      </c>
    </row>
    <row r="2037" spans="2:64" ht="15">
      <c r="B2037" s="84"/>
      <c r="D2037" s="84"/>
      <c r="E2037" s="84"/>
      <c r="F2037" s="84"/>
      <c r="G2037" s="84"/>
      <c r="R2037" s="251"/>
      <c r="S2037" s="251"/>
      <c r="BD2037" s="399">
        <v>2034</v>
      </c>
      <c r="BE2037" s="399" t="s">
        <v>712</v>
      </c>
      <c r="BF2037" s="251" t="s">
        <v>5481</v>
      </c>
      <c r="BG2037" s="399" t="s">
        <v>475</v>
      </c>
      <c r="BH2037" s="252" t="s">
        <v>534</v>
      </c>
      <c r="BI2037" s="251" t="s">
        <v>350</v>
      </c>
      <c r="BJ2037" s="251" t="s">
        <v>366</v>
      </c>
      <c r="BK2037" s="251" t="s">
        <v>5482</v>
      </c>
      <c r="BL2037" s="251" t="s">
        <v>479</v>
      </c>
    </row>
    <row r="2038" spans="2:64" ht="15">
      <c r="B2038" s="84"/>
      <c r="D2038" s="84"/>
      <c r="E2038" s="84"/>
      <c r="F2038" s="84"/>
      <c r="G2038" s="84"/>
      <c r="R2038" s="251"/>
      <c r="S2038" s="251"/>
      <c r="BD2038" s="399">
        <v>2035</v>
      </c>
      <c r="BE2038" s="399" t="s">
        <v>5483</v>
      </c>
      <c r="BF2038" s="251" t="s">
        <v>5484</v>
      </c>
      <c r="BG2038" s="399" t="s">
        <v>4592</v>
      </c>
      <c r="BH2038" s="252" t="s">
        <v>4657</v>
      </c>
      <c r="BI2038" s="251" t="s">
        <v>372</v>
      </c>
      <c r="BJ2038" s="251" t="s">
        <v>413</v>
      </c>
      <c r="BK2038" s="251" t="s">
        <v>5485</v>
      </c>
      <c r="BL2038" s="251" t="s">
        <v>4595</v>
      </c>
    </row>
    <row r="2039" spans="2:64" ht="15">
      <c r="B2039" s="84"/>
      <c r="D2039" s="84"/>
      <c r="E2039" s="84"/>
      <c r="F2039" s="84"/>
      <c r="G2039" s="84"/>
      <c r="R2039" s="251"/>
      <c r="S2039" s="251"/>
      <c r="BD2039" s="399">
        <v>2036</v>
      </c>
      <c r="BE2039" s="399" t="s">
        <v>5486</v>
      </c>
      <c r="BF2039" s="251" t="s">
        <v>5487</v>
      </c>
      <c r="BG2039" s="399" t="s">
        <v>423</v>
      </c>
      <c r="BH2039" s="252" t="s">
        <v>424</v>
      </c>
      <c r="BI2039" s="251" t="s">
        <v>331</v>
      </c>
      <c r="BJ2039" s="251" t="s">
        <v>380</v>
      </c>
      <c r="BK2039" s="251" t="s">
        <v>5488</v>
      </c>
      <c r="BL2039" s="251" t="s">
        <v>426</v>
      </c>
    </row>
    <row r="2040" spans="2:64" ht="15">
      <c r="B2040" s="84"/>
      <c r="D2040" s="84"/>
      <c r="E2040" s="84"/>
      <c r="F2040" s="84"/>
      <c r="G2040" s="84"/>
      <c r="R2040" s="251"/>
      <c r="S2040" s="251"/>
      <c r="BD2040" s="399">
        <v>2037</v>
      </c>
      <c r="BE2040" s="399" t="s">
        <v>5489</v>
      </c>
      <c r="BF2040" s="251" t="s">
        <v>5490</v>
      </c>
      <c r="BG2040" s="399" t="s">
        <v>614</v>
      </c>
      <c r="BH2040" s="252">
        <v>38</v>
      </c>
      <c r="BI2040" s="251" t="s">
        <v>379</v>
      </c>
      <c r="BJ2040" s="251" t="s">
        <v>407</v>
      </c>
      <c r="BK2040" s="251" t="s">
        <v>5491</v>
      </c>
      <c r="BL2040" s="251" t="s">
        <v>617</v>
      </c>
    </row>
    <row r="2041" spans="2:64" ht="15">
      <c r="B2041" s="84"/>
      <c r="D2041" s="84"/>
      <c r="E2041" s="84"/>
      <c r="F2041" s="84"/>
      <c r="G2041" s="84"/>
      <c r="R2041" s="251"/>
      <c r="S2041" s="251"/>
      <c r="BD2041" s="399">
        <v>2038</v>
      </c>
      <c r="BE2041" s="399" t="s">
        <v>5492</v>
      </c>
      <c r="BF2041" s="251" t="s">
        <v>5493</v>
      </c>
      <c r="BG2041" s="399" t="s">
        <v>469</v>
      </c>
      <c r="BH2041" s="252" t="s">
        <v>470</v>
      </c>
      <c r="BI2041" s="251" t="s">
        <v>445</v>
      </c>
      <c r="BJ2041" s="251" t="s">
        <v>539</v>
      </c>
      <c r="BK2041" s="251" t="s">
        <v>5494</v>
      </c>
      <c r="BL2041" s="251" t="s">
        <v>472</v>
      </c>
    </row>
    <row r="2042" spans="2:64" ht="15">
      <c r="B2042" s="84"/>
      <c r="D2042" s="84"/>
      <c r="E2042" s="84"/>
      <c r="F2042" s="84"/>
      <c r="G2042" s="84"/>
      <c r="R2042" s="251"/>
      <c r="S2042" s="251"/>
      <c r="BD2042" s="399">
        <v>2039</v>
      </c>
      <c r="BE2042" s="399" t="s">
        <v>5495</v>
      </c>
      <c r="BF2042" s="251" t="s">
        <v>5496</v>
      </c>
      <c r="BG2042" s="399" t="s">
        <v>429</v>
      </c>
      <c r="BH2042" s="252" t="s">
        <v>430</v>
      </c>
      <c r="BI2042" s="251" t="s">
        <v>396</v>
      </c>
      <c r="BJ2042" s="251" t="s">
        <v>366</v>
      </c>
      <c r="BK2042" s="251" t="s">
        <v>5497</v>
      </c>
      <c r="BL2042" s="251" t="s">
        <v>432</v>
      </c>
    </row>
    <row r="2043" spans="2:64" ht="15">
      <c r="B2043" s="84"/>
      <c r="D2043" s="84"/>
      <c r="E2043" s="84"/>
      <c r="F2043" s="84"/>
      <c r="G2043" s="84"/>
      <c r="R2043" s="251"/>
      <c r="S2043" s="251"/>
      <c r="BD2043" s="399">
        <v>2040</v>
      </c>
      <c r="BE2043" s="399" t="s">
        <v>5498</v>
      </c>
      <c r="BF2043" s="251" t="s">
        <v>5499</v>
      </c>
      <c r="BG2043" s="399" t="s">
        <v>363</v>
      </c>
      <c r="BH2043" s="252" t="s">
        <v>364</v>
      </c>
      <c r="BI2043" s="251" t="s">
        <v>331</v>
      </c>
      <c r="BJ2043" s="251" t="s">
        <v>539</v>
      </c>
      <c r="BK2043" s="251" t="s">
        <v>5500</v>
      </c>
      <c r="BL2043" s="251" t="s">
        <v>368</v>
      </c>
    </row>
    <row r="2044" spans="2:64" ht="15">
      <c r="B2044" s="84"/>
      <c r="D2044" s="84"/>
      <c r="E2044" s="84"/>
      <c r="F2044" s="84"/>
      <c r="G2044" s="84"/>
      <c r="R2044" s="251"/>
      <c r="S2044" s="251"/>
      <c r="BD2044" s="399">
        <v>2041</v>
      </c>
      <c r="BE2044" s="399" t="s">
        <v>5501</v>
      </c>
      <c r="BF2044" s="251" t="s">
        <v>5502</v>
      </c>
      <c r="BG2044" s="399" t="s">
        <v>469</v>
      </c>
      <c r="BH2044" s="252" t="s">
        <v>470</v>
      </c>
      <c r="BI2044" s="251" t="s">
        <v>365</v>
      </c>
      <c r="BJ2044" s="251" t="s">
        <v>390</v>
      </c>
      <c r="BK2044" s="251" t="s">
        <v>5503</v>
      </c>
      <c r="BL2044" s="251" t="s">
        <v>472</v>
      </c>
    </row>
    <row r="2045" spans="2:64" ht="15">
      <c r="B2045" s="84"/>
      <c r="D2045" s="84"/>
      <c r="E2045" s="84"/>
      <c r="F2045" s="84"/>
      <c r="G2045" s="84"/>
      <c r="R2045" s="251"/>
      <c r="S2045" s="251"/>
      <c r="BD2045" s="399">
        <v>2042</v>
      </c>
      <c r="BE2045" s="399" t="s">
        <v>5504</v>
      </c>
      <c r="BF2045" s="251" t="s">
        <v>5505</v>
      </c>
      <c r="BG2045" s="399" t="s">
        <v>469</v>
      </c>
      <c r="BH2045" s="252" t="s">
        <v>470</v>
      </c>
      <c r="BI2045" s="251" t="s">
        <v>445</v>
      </c>
      <c r="BJ2045" s="251" t="s">
        <v>351</v>
      </c>
      <c r="BK2045" s="251" t="s">
        <v>5506</v>
      </c>
      <c r="BL2045" s="251" t="s">
        <v>472</v>
      </c>
    </row>
    <row r="2046" spans="2:64" ht="15">
      <c r="B2046" s="84"/>
      <c r="D2046" s="84"/>
      <c r="E2046" s="84"/>
      <c r="F2046" s="84"/>
      <c r="G2046" s="84"/>
      <c r="R2046" s="251"/>
      <c r="S2046" s="251"/>
      <c r="BD2046" s="399">
        <v>2043</v>
      </c>
      <c r="BE2046" s="399" t="s">
        <v>5507</v>
      </c>
      <c r="BF2046" s="251" t="s">
        <v>5508</v>
      </c>
      <c r="BG2046" s="399" t="s">
        <v>395</v>
      </c>
      <c r="BH2046" s="252">
        <v>16</v>
      </c>
      <c r="BI2046" s="251" t="s">
        <v>334</v>
      </c>
      <c r="BJ2046" s="251" t="s">
        <v>366</v>
      </c>
      <c r="BK2046" s="251" t="s">
        <v>5509</v>
      </c>
      <c r="BL2046" s="251" t="s">
        <v>399</v>
      </c>
    </row>
    <row r="2047" spans="2:64" ht="15">
      <c r="B2047" s="84"/>
      <c r="D2047" s="84"/>
      <c r="E2047" s="84"/>
      <c r="F2047" s="84"/>
      <c r="G2047" s="84"/>
      <c r="R2047" s="251"/>
      <c r="S2047" s="251"/>
      <c r="BD2047" s="399">
        <v>2044</v>
      </c>
      <c r="BE2047" s="399" t="s">
        <v>3060</v>
      </c>
      <c r="BF2047" s="251" t="s">
        <v>5510</v>
      </c>
      <c r="BG2047" s="399" t="s">
        <v>623</v>
      </c>
      <c r="BH2047" s="252">
        <v>40</v>
      </c>
      <c r="BI2047" s="251" t="s">
        <v>728</v>
      </c>
      <c r="BJ2047" s="251" t="s">
        <v>397</v>
      </c>
      <c r="BK2047" s="251" t="s">
        <v>5511</v>
      </c>
      <c r="BL2047" s="251" t="s">
        <v>626</v>
      </c>
    </row>
    <row r="2048" spans="2:64" ht="15">
      <c r="B2048" s="84"/>
      <c r="D2048" s="84"/>
      <c r="E2048" s="84"/>
      <c r="F2048" s="84"/>
      <c r="G2048" s="84"/>
      <c r="R2048" s="251"/>
      <c r="S2048" s="251"/>
      <c r="BD2048" s="399">
        <v>2045</v>
      </c>
      <c r="BE2048" s="399" t="s">
        <v>558</v>
      </c>
      <c r="BF2048" s="251" t="s">
        <v>5512</v>
      </c>
      <c r="BG2048" s="399" t="s">
        <v>363</v>
      </c>
      <c r="BH2048" s="252">
        <v>8</v>
      </c>
      <c r="BI2048" s="251" t="s">
        <v>477</v>
      </c>
      <c r="BJ2048" s="251" t="s">
        <v>539</v>
      </c>
      <c r="BK2048" s="251" t="s">
        <v>5513</v>
      </c>
      <c r="BL2048" s="251" t="s">
        <v>368</v>
      </c>
    </row>
    <row r="2049" spans="2:64" ht="15">
      <c r="B2049" s="84"/>
      <c r="D2049" s="84"/>
      <c r="E2049" s="84"/>
      <c r="F2049" s="84"/>
      <c r="G2049" s="84"/>
      <c r="R2049" s="251"/>
      <c r="S2049" s="251"/>
      <c r="BD2049" s="399">
        <v>2046</v>
      </c>
      <c r="BE2049" s="399" t="s">
        <v>5514</v>
      </c>
      <c r="BF2049" s="251" t="s">
        <v>5515</v>
      </c>
      <c r="BG2049" s="399" t="s">
        <v>395</v>
      </c>
      <c r="BH2049" s="252">
        <v>16</v>
      </c>
      <c r="BI2049" s="251" t="s">
        <v>379</v>
      </c>
      <c r="BJ2049" s="251" t="s">
        <v>407</v>
      </c>
      <c r="BK2049" s="251" t="s">
        <v>5516</v>
      </c>
      <c r="BL2049" s="251" t="s">
        <v>399</v>
      </c>
    </row>
    <row r="2050" spans="2:64" ht="15">
      <c r="B2050" s="84"/>
      <c r="D2050" s="84"/>
      <c r="E2050" s="84"/>
      <c r="F2050" s="84"/>
      <c r="G2050" s="84"/>
      <c r="R2050" s="251"/>
      <c r="S2050" s="251"/>
      <c r="BD2050" s="399">
        <v>2047</v>
      </c>
      <c r="BE2050" s="399" t="s">
        <v>5517</v>
      </c>
      <c r="BF2050" s="251" t="s">
        <v>5518</v>
      </c>
      <c r="BG2050" s="399" t="s">
        <v>378</v>
      </c>
      <c r="BH2050" s="252">
        <v>11</v>
      </c>
      <c r="BI2050" s="251" t="s">
        <v>728</v>
      </c>
      <c r="BJ2050" s="251" t="s">
        <v>397</v>
      </c>
      <c r="BK2050" s="251" t="s">
        <v>5519</v>
      </c>
      <c r="BL2050" s="251" t="s">
        <v>382</v>
      </c>
    </row>
    <row r="2051" spans="2:64" ht="15">
      <c r="B2051" s="84"/>
      <c r="D2051" s="84"/>
      <c r="E2051" s="84"/>
      <c r="F2051" s="84"/>
      <c r="G2051" s="84"/>
      <c r="R2051" s="251"/>
      <c r="S2051" s="251"/>
      <c r="BD2051" s="399">
        <v>2048</v>
      </c>
      <c r="BE2051" s="399" t="s">
        <v>5520</v>
      </c>
      <c r="BF2051" s="251" t="s">
        <v>5521</v>
      </c>
      <c r="BG2051" s="399" t="s">
        <v>435</v>
      </c>
      <c r="BH2051" s="252" t="s">
        <v>651</v>
      </c>
      <c r="BI2051" s="251" t="s">
        <v>445</v>
      </c>
      <c r="BJ2051" s="251" t="s">
        <v>539</v>
      </c>
      <c r="BK2051" s="251" t="s">
        <v>5522</v>
      </c>
      <c r="BL2051" s="251" t="s">
        <v>439</v>
      </c>
    </row>
    <row r="2052" spans="2:64" ht="15">
      <c r="B2052" s="84"/>
      <c r="D2052" s="84"/>
      <c r="E2052" s="84"/>
      <c r="F2052" s="84"/>
      <c r="G2052" s="84"/>
      <c r="R2052" s="251"/>
      <c r="S2052" s="251"/>
      <c r="BD2052" s="399">
        <v>2049</v>
      </c>
      <c r="BE2052" s="399" t="s">
        <v>5523</v>
      </c>
      <c r="BF2052" s="251" t="s">
        <v>5524</v>
      </c>
      <c r="BG2052" s="399" t="s">
        <v>395</v>
      </c>
      <c r="BH2052" s="252">
        <v>16</v>
      </c>
      <c r="BI2052" s="251" t="s">
        <v>331</v>
      </c>
      <c r="BJ2052" s="251" t="s">
        <v>539</v>
      </c>
      <c r="BK2052" s="251" t="s">
        <v>5525</v>
      </c>
      <c r="BL2052" s="251" t="s">
        <v>399</v>
      </c>
    </row>
    <row r="2053" spans="2:64" ht="15">
      <c r="B2053" s="84"/>
      <c r="D2053" s="84"/>
      <c r="E2053" s="84"/>
      <c r="F2053" s="84"/>
      <c r="G2053" s="84"/>
      <c r="R2053" s="251"/>
      <c r="S2053" s="251"/>
      <c r="BD2053" s="399">
        <v>2050</v>
      </c>
      <c r="BE2053" s="399" t="s">
        <v>5526</v>
      </c>
      <c r="BF2053" s="251" t="s">
        <v>5527</v>
      </c>
      <c r="BG2053" s="399" t="s">
        <v>469</v>
      </c>
      <c r="BH2053" s="252" t="s">
        <v>470</v>
      </c>
      <c r="BI2053" s="251" t="s">
        <v>740</v>
      </c>
      <c r="BJ2053" s="251" t="s">
        <v>358</v>
      </c>
      <c r="BK2053" s="251" t="s">
        <v>5528</v>
      </c>
      <c r="BL2053" s="251" t="s">
        <v>472</v>
      </c>
    </row>
    <row r="2054" spans="2:64" ht="15">
      <c r="B2054" s="84"/>
      <c r="D2054" s="84"/>
      <c r="E2054" s="84"/>
      <c r="F2054" s="84"/>
      <c r="G2054" s="84"/>
      <c r="R2054" s="251"/>
      <c r="S2054" s="251"/>
      <c r="BD2054" s="399">
        <v>2051</v>
      </c>
      <c r="BE2054" s="399" t="s">
        <v>5529</v>
      </c>
      <c r="BF2054" s="251" t="s">
        <v>5530</v>
      </c>
      <c r="BG2054" s="399" t="s">
        <v>469</v>
      </c>
      <c r="BH2054" s="252" t="s">
        <v>470</v>
      </c>
      <c r="BI2054" s="251" t="s">
        <v>728</v>
      </c>
      <c r="BJ2054" s="251" t="s">
        <v>5531</v>
      </c>
      <c r="BK2054" s="251" t="s">
        <v>5532</v>
      </c>
      <c r="BL2054" s="251" t="s">
        <v>472</v>
      </c>
    </row>
    <row r="2055" spans="2:64" ht="15">
      <c r="B2055" s="84"/>
      <c r="D2055" s="84"/>
      <c r="E2055" s="84"/>
      <c r="F2055" s="84"/>
      <c r="G2055" s="84"/>
      <c r="R2055" s="251"/>
      <c r="S2055" s="251"/>
      <c r="BD2055" s="399">
        <v>2052</v>
      </c>
      <c r="BE2055" s="399" t="s">
        <v>5533</v>
      </c>
      <c r="BF2055" s="251" t="s">
        <v>5534</v>
      </c>
      <c r="BG2055" s="399" t="s">
        <v>469</v>
      </c>
      <c r="BH2055" s="252" t="s">
        <v>470</v>
      </c>
      <c r="BI2055" s="251" t="s">
        <v>357</v>
      </c>
      <c r="BJ2055" s="251" t="s">
        <v>380</v>
      </c>
      <c r="BK2055" s="251" t="s">
        <v>5535</v>
      </c>
      <c r="BL2055" s="251" t="s">
        <v>472</v>
      </c>
    </row>
    <row r="2056" spans="2:64" ht="15">
      <c r="B2056" s="84"/>
      <c r="D2056" s="84"/>
      <c r="E2056" s="84"/>
      <c r="F2056" s="84"/>
      <c r="G2056" s="84"/>
      <c r="R2056" s="251"/>
      <c r="S2056" s="251"/>
      <c r="BD2056" s="399">
        <v>2053</v>
      </c>
      <c r="BE2056" s="399" t="s">
        <v>5536</v>
      </c>
      <c r="BF2056" s="251" t="s">
        <v>5537</v>
      </c>
      <c r="BG2056" s="399" t="s">
        <v>423</v>
      </c>
      <c r="BH2056" s="252" t="s">
        <v>424</v>
      </c>
      <c r="BI2056" s="251" t="s">
        <v>465</v>
      </c>
      <c r="BJ2056" s="251" t="s">
        <v>373</v>
      </c>
      <c r="BK2056" s="251" t="s">
        <v>5538</v>
      </c>
      <c r="BL2056" s="251" t="s">
        <v>426</v>
      </c>
    </row>
    <row r="2057" spans="2:64" ht="15">
      <c r="B2057" s="84"/>
      <c r="D2057" s="84"/>
      <c r="E2057" s="84"/>
      <c r="F2057" s="84"/>
      <c r="G2057" s="84"/>
      <c r="R2057" s="251"/>
      <c r="S2057" s="251"/>
      <c r="BD2057" s="399">
        <v>2054</v>
      </c>
      <c r="BE2057" s="399" t="s">
        <v>5539</v>
      </c>
      <c r="BF2057" s="251" t="s">
        <v>5540</v>
      </c>
      <c r="BG2057" s="399">
        <v>54</v>
      </c>
      <c r="BH2057" s="252" t="s">
        <v>5541</v>
      </c>
      <c r="BI2057" s="251" t="s">
        <v>379</v>
      </c>
      <c r="BJ2057" s="251" t="s">
        <v>380</v>
      </c>
      <c r="BK2057" s="251" t="s">
        <v>5542</v>
      </c>
      <c r="BL2057" s="251" t="s">
        <v>930</v>
      </c>
    </row>
    <row r="2058" spans="2:64" ht="15">
      <c r="B2058" s="84"/>
      <c r="D2058" s="84"/>
      <c r="E2058" s="84"/>
      <c r="F2058" s="84"/>
      <c r="G2058" s="84"/>
      <c r="R2058" s="251"/>
      <c r="S2058" s="251"/>
      <c r="BD2058" s="399">
        <v>2055</v>
      </c>
      <c r="BE2058" s="399" t="s">
        <v>5543</v>
      </c>
      <c r="BF2058" s="251" t="s">
        <v>5544</v>
      </c>
      <c r="BG2058" s="399" t="s">
        <v>519</v>
      </c>
      <c r="BH2058" s="252">
        <v>30</v>
      </c>
      <c r="BI2058" s="251" t="s">
        <v>396</v>
      </c>
      <c r="BJ2058" s="251" t="s">
        <v>351</v>
      </c>
      <c r="BK2058" s="251" t="s">
        <v>5545</v>
      </c>
      <c r="BL2058" s="251" t="s">
        <v>521</v>
      </c>
    </row>
    <row r="2059" spans="2:64" ht="15">
      <c r="B2059" s="84"/>
      <c r="D2059" s="84"/>
      <c r="E2059" s="84"/>
      <c r="F2059" s="84"/>
      <c r="G2059" s="84"/>
      <c r="R2059" s="251"/>
      <c r="S2059" s="251"/>
      <c r="BD2059" s="399">
        <v>2056</v>
      </c>
      <c r="BE2059" s="399" t="s">
        <v>5546</v>
      </c>
      <c r="BF2059" s="251" t="s">
        <v>5547</v>
      </c>
      <c r="BG2059" s="399" t="s">
        <v>623</v>
      </c>
      <c r="BH2059" s="252">
        <v>40</v>
      </c>
      <c r="BI2059" s="251" t="s">
        <v>563</v>
      </c>
      <c r="BJ2059" s="251" t="s">
        <v>380</v>
      </c>
      <c r="BK2059" s="251" t="s">
        <v>5548</v>
      </c>
      <c r="BL2059" s="251" t="s">
        <v>626</v>
      </c>
    </row>
    <row r="2060" spans="2:64" ht="15">
      <c r="B2060" s="84"/>
      <c r="D2060" s="84"/>
      <c r="E2060" s="84"/>
      <c r="F2060" s="84"/>
      <c r="G2060" s="84"/>
      <c r="R2060" s="251"/>
      <c r="S2060" s="251"/>
      <c r="BD2060" s="399">
        <v>2057</v>
      </c>
      <c r="BE2060" s="399" t="s">
        <v>5549</v>
      </c>
      <c r="BF2060" s="251" t="s">
        <v>5550</v>
      </c>
      <c r="BG2060" s="399" t="s">
        <v>519</v>
      </c>
      <c r="BH2060" s="252">
        <v>30</v>
      </c>
      <c r="BI2060" s="251" t="s">
        <v>379</v>
      </c>
      <c r="BJ2060" s="251" t="s">
        <v>1183</v>
      </c>
      <c r="BK2060" s="251" t="s">
        <v>5551</v>
      </c>
      <c r="BL2060" s="251" t="s">
        <v>521</v>
      </c>
    </row>
    <row r="2061" spans="2:64" ht="15">
      <c r="B2061" s="84"/>
      <c r="D2061" s="84"/>
      <c r="E2061" s="84"/>
      <c r="F2061" s="84"/>
      <c r="G2061" s="84"/>
      <c r="R2061" s="251"/>
      <c r="S2061" s="251"/>
      <c r="BD2061" s="399">
        <v>2058</v>
      </c>
      <c r="BE2061" s="399" t="s">
        <v>5552</v>
      </c>
      <c r="BF2061" s="251" t="s">
        <v>5553</v>
      </c>
      <c r="BG2061" s="399" t="s">
        <v>389</v>
      </c>
      <c r="BH2061" s="252">
        <v>39</v>
      </c>
      <c r="BI2061" s="251" t="s">
        <v>615</v>
      </c>
      <c r="BJ2061" s="251" t="s">
        <v>366</v>
      </c>
      <c r="BK2061" s="251" t="s">
        <v>5554</v>
      </c>
      <c r="BL2061" s="251" t="s">
        <v>392</v>
      </c>
    </row>
    <row r="2062" spans="2:64" ht="15">
      <c r="B2062" s="84"/>
      <c r="D2062" s="84"/>
      <c r="E2062" s="84"/>
      <c r="F2062" s="84"/>
      <c r="G2062" s="84"/>
      <c r="R2062" s="251"/>
      <c r="S2062" s="251"/>
      <c r="BD2062" s="399">
        <v>2059</v>
      </c>
      <c r="BE2062" s="399" t="s">
        <v>5555</v>
      </c>
      <c r="BF2062" s="251" t="s">
        <v>5556</v>
      </c>
      <c r="BG2062" s="399" t="s">
        <v>423</v>
      </c>
      <c r="BH2062" s="252" t="s">
        <v>424</v>
      </c>
      <c r="BI2062" s="251" t="s">
        <v>379</v>
      </c>
      <c r="BJ2062" s="251" t="s">
        <v>380</v>
      </c>
      <c r="BK2062" s="251" t="s">
        <v>5557</v>
      </c>
      <c r="BL2062" s="251" t="s">
        <v>426</v>
      </c>
    </row>
    <row r="2063" spans="2:64" ht="15">
      <c r="B2063" s="84"/>
      <c r="D2063" s="84"/>
      <c r="E2063" s="84"/>
      <c r="F2063" s="84"/>
      <c r="G2063" s="84"/>
      <c r="R2063" s="251"/>
      <c r="S2063" s="251"/>
      <c r="BD2063" s="399">
        <v>2060</v>
      </c>
      <c r="BE2063" s="399" t="s">
        <v>5558</v>
      </c>
      <c r="BF2063" s="251" t="s">
        <v>5559</v>
      </c>
      <c r="BG2063" s="399" t="s">
        <v>549</v>
      </c>
      <c r="BH2063" s="252">
        <v>41</v>
      </c>
      <c r="BI2063" s="251" t="s">
        <v>465</v>
      </c>
      <c r="BJ2063" s="251" t="s">
        <v>413</v>
      </c>
      <c r="BK2063" s="251" t="s">
        <v>5560</v>
      </c>
      <c r="BL2063" s="251" t="s">
        <v>551</v>
      </c>
    </row>
    <row r="2064" spans="2:64" ht="15">
      <c r="B2064" s="84"/>
      <c r="D2064" s="84"/>
      <c r="E2064" s="84"/>
      <c r="F2064" s="84"/>
      <c r="G2064" s="84"/>
      <c r="R2064" s="251"/>
      <c r="S2064" s="251"/>
      <c r="BD2064" s="399">
        <v>2061</v>
      </c>
      <c r="BE2064" s="399" t="s">
        <v>3170</v>
      </c>
      <c r="BF2064" s="251" t="s">
        <v>5561</v>
      </c>
      <c r="BG2064" s="399" t="s">
        <v>449</v>
      </c>
      <c r="BH2064" s="252">
        <v>43</v>
      </c>
      <c r="BI2064" s="251" t="s">
        <v>728</v>
      </c>
      <c r="BJ2064" s="251" t="s">
        <v>380</v>
      </c>
      <c r="BK2064" s="251" t="s">
        <v>3171</v>
      </c>
      <c r="BL2064" s="251" t="s">
        <v>452</v>
      </c>
    </row>
    <row r="2065" spans="2:64" ht="15">
      <c r="B2065" s="84"/>
      <c r="D2065" s="84"/>
      <c r="E2065" s="84"/>
      <c r="F2065" s="84"/>
      <c r="G2065" s="84"/>
      <c r="R2065" s="251"/>
      <c r="S2065" s="251"/>
      <c r="BD2065" s="399">
        <v>2062</v>
      </c>
      <c r="BE2065" s="399" t="s">
        <v>5562</v>
      </c>
      <c r="BF2065" s="251" t="s">
        <v>166</v>
      </c>
      <c r="BG2065" s="399" t="s">
        <v>469</v>
      </c>
      <c r="BH2065" s="252" t="s">
        <v>662</v>
      </c>
      <c r="BI2065" s="251" t="s">
        <v>332</v>
      </c>
      <c r="BJ2065" s="251" t="s">
        <v>390</v>
      </c>
      <c r="BK2065" s="251" t="s">
        <v>5563</v>
      </c>
      <c r="BL2065" s="251" t="s">
        <v>472</v>
      </c>
    </row>
    <row r="2066" spans="2:64" ht="15">
      <c r="B2066" s="84"/>
      <c r="D2066" s="84"/>
      <c r="E2066" s="84"/>
      <c r="F2066" s="84"/>
      <c r="G2066" s="84"/>
      <c r="R2066" s="251"/>
      <c r="S2066" s="251"/>
      <c r="BD2066" s="399">
        <v>2063</v>
      </c>
      <c r="BE2066" s="399" t="s">
        <v>5564</v>
      </c>
      <c r="BF2066" s="251" t="s">
        <v>5565</v>
      </c>
      <c r="BG2066" s="399" t="s">
        <v>435</v>
      </c>
      <c r="BH2066" s="252" t="s">
        <v>651</v>
      </c>
      <c r="BI2066" s="251" t="s">
        <v>563</v>
      </c>
      <c r="BJ2066" s="251" t="s">
        <v>407</v>
      </c>
      <c r="BK2066" s="251" t="s">
        <v>5566</v>
      </c>
      <c r="BL2066" s="251" t="s">
        <v>439</v>
      </c>
    </row>
    <row r="2067" spans="2:64" ht="15">
      <c r="B2067" s="84"/>
      <c r="D2067" s="84"/>
      <c r="E2067" s="84"/>
      <c r="F2067" s="84"/>
      <c r="G2067" s="84"/>
      <c r="R2067" s="251"/>
      <c r="S2067" s="251"/>
      <c r="BD2067" s="399">
        <v>2064</v>
      </c>
      <c r="BE2067" s="399" t="s">
        <v>5567</v>
      </c>
      <c r="BF2067" s="251" t="s">
        <v>5568</v>
      </c>
      <c r="BG2067" s="399" t="s">
        <v>475</v>
      </c>
      <c r="BH2067" s="252" t="s">
        <v>476</v>
      </c>
      <c r="BI2067" s="251" t="s">
        <v>2757</v>
      </c>
      <c r="BJ2067" s="251" t="s">
        <v>413</v>
      </c>
      <c r="BK2067" s="251" t="s">
        <v>5569</v>
      </c>
      <c r="BL2067" s="251" t="s">
        <v>479</v>
      </c>
    </row>
    <row r="2068" spans="2:64" ht="15">
      <c r="B2068" s="84"/>
      <c r="D2068" s="84"/>
      <c r="E2068" s="84"/>
      <c r="F2068" s="84"/>
      <c r="G2068" s="84"/>
      <c r="R2068" s="251"/>
      <c r="S2068" s="251"/>
      <c r="BD2068" s="399">
        <v>2065</v>
      </c>
      <c r="BE2068" s="399" t="s">
        <v>5570</v>
      </c>
      <c r="BF2068" s="251" t="s">
        <v>5571</v>
      </c>
      <c r="BG2068" s="399" t="s">
        <v>435</v>
      </c>
      <c r="BH2068" s="252" t="s">
        <v>436</v>
      </c>
      <c r="BI2068" s="251" t="s">
        <v>333</v>
      </c>
      <c r="BJ2068" s="251" t="s">
        <v>397</v>
      </c>
      <c r="BK2068" s="251" t="s">
        <v>5572</v>
      </c>
      <c r="BL2068" s="251" t="s">
        <v>439</v>
      </c>
    </row>
    <row r="2069" spans="2:64" ht="15">
      <c r="B2069" s="84"/>
      <c r="D2069" s="84"/>
      <c r="E2069" s="84"/>
      <c r="F2069" s="84"/>
      <c r="G2069" s="84"/>
      <c r="R2069" s="251"/>
      <c r="S2069" s="251"/>
      <c r="BD2069" s="399">
        <v>2066</v>
      </c>
      <c r="BE2069" s="399" t="s">
        <v>5573</v>
      </c>
      <c r="BF2069" s="251" t="s">
        <v>5574</v>
      </c>
      <c r="BG2069" s="399" t="s">
        <v>435</v>
      </c>
      <c r="BH2069" s="252" t="s">
        <v>436</v>
      </c>
      <c r="BI2069" s="251" t="s">
        <v>450</v>
      </c>
      <c r="BJ2069" s="251" t="s">
        <v>385</v>
      </c>
      <c r="BK2069" s="251" t="s">
        <v>5575</v>
      </c>
      <c r="BL2069" s="251" t="s">
        <v>439</v>
      </c>
    </row>
    <row r="2070" spans="2:64" ht="15">
      <c r="B2070" s="84"/>
      <c r="D2070" s="84"/>
      <c r="E2070" s="84"/>
      <c r="F2070" s="84"/>
      <c r="G2070" s="84"/>
      <c r="R2070" s="251"/>
      <c r="S2070" s="251"/>
      <c r="BD2070" s="399">
        <v>2067</v>
      </c>
      <c r="BE2070" s="399" t="s">
        <v>5576</v>
      </c>
      <c r="BF2070" s="251" t="s">
        <v>5577</v>
      </c>
      <c r="BG2070" s="399" t="s">
        <v>395</v>
      </c>
      <c r="BH2070" s="252">
        <v>16</v>
      </c>
      <c r="BI2070" s="251" t="s">
        <v>334</v>
      </c>
      <c r="BJ2070" s="251" t="s">
        <v>385</v>
      </c>
      <c r="BK2070" s="251" t="s">
        <v>5578</v>
      </c>
      <c r="BL2070" s="251" t="s">
        <v>399</v>
      </c>
    </row>
    <row r="2071" spans="2:64" ht="15">
      <c r="B2071" s="84"/>
      <c r="D2071" s="84"/>
      <c r="E2071" s="84"/>
      <c r="F2071" s="84"/>
      <c r="G2071" s="84"/>
      <c r="R2071" s="251"/>
      <c r="S2071" s="251"/>
      <c r="BD2071" s="399">
        <v>2068</v>
      </c>
      <c r="BE2071" s="399" t="s">
        <v>5579</v>
      </c>
      <c r="BF2071" s="251" t="s">
        <v>5580</v>
      </c>
      <c r="BG2071" s="399" t="s">
        <v>429</v>
      </c>
      <c r="BH2071" s="252" t="s">
        <v>430</v>
      </c>
      <c r="BI2071" s="251" t="s">
        <v>334</v>
      </c>
      <c r="BJ2071" s="251" t="s">
        <v>366</v>
      </c>
      <c r="BK2071" s="251" t="s">
        <v>5581</v>
      </c>
      <c r="BL2071" s="251" t="s">
        <v>432</v>
      </c>
    </row>
    <row r="2072" spans="2:64" ht="15">
      <c r="B2072" s="84"/>
      <c r="D2072" s="84"/>
      <c r="E2072" s="84"/>
      <c r="F2072" s="84"/>
      <c r="G2072" s="84"/>
      <c r="R2072" s="251"/>
      <c r="S2072" s="251"/>
      <c r="BD2072" s="399">
        <v>2069</v>
      </c>
      <c r="BE2072" s="399" t="s">
        <v>3475</v>
      </c>
      <c r="BF2072" s="251" t="s">
        <v>5582</v>
      </c>
      <c r="BG2072" s="399" t="s">
        <v>623</v>
      </c>
      <c r="BH2072" s="252" t="s">
        <v>624</v>
      </c>
      <c r="BI2072" s="251" t="s">
        <v>535</v>
      </c>
      <c r="BJ2072" s="251" t="s">
        <v>413</v>
      </c>
      <c r="BK2072" s="251" t="s">
        <v>5583</v>
      </c>
      <c r="BL2072" s="251" t="s">
        <v>626</v>
      </c>
    </row>
    <row r="2073" spans="2:64" ht="15">
      <c r="B2073" s="84"/>
      <c r="D2073" s="84"/>
      <c r="E2073" s="84"/>
      <c r="F2073" s="84"/>
      <c r="G2073" s="84"/>
      <c r="R2073" s="251"/>
      <c r="S2073" s="251"/>
      <c r="BD2073" s="399">
        <v>2070</v>
      </c>
      <c r="BE2073" s="399" t="s">
        <v>5584</v>
      </c>
      <c r="BF2073" s="251" t="s">
        <v>5585</v>
      </c>
      <c r="BG2073" s="399" t="s">
        <v>469</v>
      </c>
      <c r="BH2073" s="252" t="s">
        <v>470</v>
      </c>
      <c r="BI2073" s="251" t="s">
        <v>450</v>
      </c>
      <c r="BJ2073" s="251" t="s">
        <v>350</v>
      </c>
      <c r="BK2073" s="251" t="s">
        <v>5586</v>
      </c>
      <c r="BL2073" s="251" t="s">
        <v>472</v>
      </c>
    </row>
    <row r="2074" spans="2:64" ht="15">
      <c r="B2074" s="84"/>
      <c r="D2074" s="84"/>
      <c r="E2074" s="84"/>
      <c r="F2074" s="84"/>
      <c r="G2074" s="84"/>
      <c r="R2074" s="251"/>
      <c r="S2074" s="251"/>
      <c r="BD2074" s="399">
        <v>2071</v>
      </c>
      <c r="BE2074" s="399" t="s">
        <v>5587</v>
      </c>
      <c r="BF2074" s="251" t="s">
        <v>5588</v>
      </c>
      <c r="BG2074" s="399" t="s">
        <v>371</v>
      </c>
      <c r="BH2074" s="252">
        <v>28</v>
      </c>
      <c r="BI2074" s="251" t="s">
        <v>635</v>
      </c>
      <c r="BJ2074" s="251" t="s">
        <v>413</v>
      </c>
      <c r="BK2074" s="251" t="s">
        <v>5589</v>
      </c>
      <c r="BL2074" s="251" t="s">
        <v>375</v>
      </c>
    </row>
    <row r="2075" spans="2:64" ht="15">
      <c r="B2075" s="84"/>
      <c r="D2075" s="84"/>
      <c r="E2075" s="84"/>
      <c r="F2075" s="84"/>
      <c r="G2075" s="84"/>
      <c r="R2075" s="251"/>
      <c r="S2075" s="251"/>
      <c r="BD2075" s="399">
        <v>2072</v>
      </c>
      <c r="BE2075" s="399" t="s">
        <v>5590</v>
      </c>
      <c r="BF2075" s="251" t="s">
        <v>5591</v>
      </c>
      <c r="BG2075" s="399" t="s">
        <v>566</v>
      </c>
      <c r="BH2075" s="252" t="s">
        <v>1004</v>
      </c>
      <c r="BI2075" s="251" t="s">
        <v>332</v>
      </c>
      <c r="BJ2075" s="251" t="s">
        <v>385</v>
      </c>
      <c r="BK2075" s="251" t="s">
        <v>5592</v>
      </c>
      <c r="BL2075" s="251" t="s">
        <v>569</v>
      </c>
    </row>
    <row r="2076" spans="2:64" ht="15">
      <c r="B2076" s="84"/>
      <c r="D2076" s="84"/>
      <c r="E2076" s="84"/>
      <c r="F2076" s="84"/>
      <c r="G2076" s="84"/>
      <c r="R2076" s="251"/>
      <c r="S2076" s="251"/>
      <c r="BD2076" s="399">
        <v>2073</v>
      </c>
      <c r="BE2076" s="399" t="s">
        <v>858</v>
      </c>
      <c r="BF2076" s="251" t="s">
        <v>5593</v>
      </c>
      <c r="BG2076" s="399" t="s">
        <v>489</v>
      </c>
      <c r="BH2076" s="252" t="s">
        <v>2367</v>
      </c>
      <c r="BI2076" s="251" t="s">
        <v>445</v>
      </c>
      <c r="BJ2076" s="251" t="s">
        <v>380</v>
      </c>
      <c r="BK2076" s="251" t="s">
        <v>5594</v>
      </c>
      <c r="BL2076" s="251" t="s">
        <v>493</v>
      </c>
    </row>
    <row r="2077" spans="2:64" ht="15">
      <c r="B2077" s="84"/>
      <c r="D2077" s="84"/>
      <c r="E2077" s="84"/>
      <c r="F2077" s="84"/>
      <c r="G2077" s="84"/>
      <c r="R2077" s="251"/>
      <c r="S2077" s="251"/>
      <c r="BD2077" s="399">
        <v>2074</v>
      </c>
      <c r="BE2077" s="399" t="s">
        <v>5595</v>
      </c>
      <c r="BF2077" s="251" t="s">
        <v>5596</v>
      </c>
      <c r="BG2077" s="399" t="s">
        <v>435</v>
      </c>
      <c r="BH2077" s="252" t="s">
        <v>436</v>
      </c>
      <c r="BI2077" s="251" t="s">
        <v>334</v>
      </c>
      <c r="BJ2077" s="251" t="s">
        <v>539</v>
      </c>
      <c r="BK2077" s="251" t="s">
        <v>5597</v>
      </c>
      <c r="BL2077" s="251" t="s">
        <v>439</v>
      </c>
    </row>
    <row r="2078" spans="2:64" ht="15">
      <c r="B2078" s="84"/>
      <c r="D2078" s="84"/>
      <c r="E2078" s="84"/>
      <c r="F2078" s="84"/>
      <c r="G2078" s="84"/>
      <c r="R2078" s="251"/>
      <c r="S2078" s="251"/>
      <c r="BD2078" s="399">
        <v>2075</v>
      </c>
      <c r="BE2078" s="399" t="s">
        <v>5598</v>
      </c>
      <c r="BF2078" s="251" t="s">
        <v>62</v>
      </c>
      <c r="BG2078" s="399" t="s">
        <v>429</v>
      </c>
      <c r="BH2078" s="252" t="s">
        <v>430</v>
      </c>
      <c r="BI2078" s="251" t="s">
        <v>334</v>
      </c>
      <c r="BJ2078" s="251" t="s">
        <v>380</v>
      </c>
      <c r="BK2078" s="251" t="s">
        <v>5599</v>
      </c>
      <c r="BL2078" s="251" t="s">
        <v>432</v>
      </c>
    </row>
    <row r="2079" spans="2:64" ht="15">
      <c r="B2079" s="84"/>
      <c r="D2079" s="84"/>
      <c r="E2079" s="84"/>
      <c r="F2079" s="84"/>
      <c r="G2079" s="84"/>
      <c r="R2079" s="251"/>
      <c r="S2079" s="251"/>
      <c r="BD2079" s="399">
        <v>2076</v>
      </c>
      <c r="BE2079" s="399" t="s">
        <v>5600</v>
      </c>
      <c r="BF2079" s="251" t="s">
        <v>5601</v>
      </c>
      <c r="BG2079" s="399" t="s">
        <v>614</v>
      </c>
      <c r="BH2079" s="252">
        <v>38</v>
      </c>
      <c r="BI2079" s="251" t="s">
        <v>331</v>
      </c>
      <c r="BJ2079" s="251" t="s">
        <v>366</v>
      </c>
      <c r="BK2079" s="251" t="s">
        <v>5602</v>
      </c>
      <c r="BL2079" s="251" t="s">
        <v>617</v>
      </c>
    </row>
    <row r="2080" spans="2:64" ht="15">
      <c r="B2080" s="84"/>
      <c r="D2080" s="84"/>
      <c r="E2080" s="84"/>
      <c r="F2080" s="84"/>
      <c r="G2080" s="84"/>
      <c r="R2080" s="251"/>
      <c r="S2080" s="251"/>
      <c r="BD2080" s="399">
        <v>2077</v>
      </c>
      <c r="BE2080" s="399" t="s">
        <v>5603</v>
      </c>
      <c r="BF2080" s="251" t="s">
        <v>5604</v>
      </c>
      <c r="BG2080" s="399" t="s">
        <v>469</v>
      </c>
      <c r="BH2080" s="252" t="s">
        <v>662</v>
      </c>
      <c r="BI2080" s="251" t="s">
        <v>740</v>
      </c>
      <c r="BJ2080" s="251" t="s">
        <v>5605</v>
      </c>
      <c r="BK2080" s="251" t="s">
        <v>5606</v>
      </c>
      <c r="BL2080" s="251" t="s">
        <v>472</v>
      </c>
    </row>
    <row r="2081" spans="2:64" ht="15">
      <c r="B2081" s="84"/>
      <c r="D2081" s="84"/>
      <c r="E2081" s="84"/>
      <c r="F2081" s="84"/>
      <c r="G2081" s="84"/>
      <c r="R2081" s="251"/>
      <c r="S2081" s="251"/>
      <c r="BD2081" s="399">
        <v>2078</v>
      </c>
      <c r="BE2081" s="399" t="s">
        <v>5607</v>
      </c>
      <c r="BF2081" s="251" t="s">
        <v>5608</v>
      </c>
      <c r="BG2081" s="399" t="s">
        <v>733</v>
      </c>
      <c r="BH2081" s="252">
        <v>42</v>
      </c>
      <c r="BI2081" s="251" t="s">
        <v>332</v>
      </c>
      <c r="BJ2081" s="251" t="s">
        <v>351</v>
      </c>
      <c r="BK2081" s="251" t="s">
        <v>5609</v>
      </c>
      <c r="BL2081" s="251" t="s">
        <v>736</v>
      </c>
    </row>
    <row r="2082" spans="2:64" ht="15">
      <c r="B2082" s="84"/>
      <c r="D2082" s="84"/>
      <c r="E2082" s="84"/>
      <c r="F2082" s="84"/>
      <c r="G2082" s="84"/>
      <c r="R2082" s="251"/>
      <c r="S2082" s="251"/>
      <c r="BD2082" s="399">
        <v>2079</v>
      </c>
      <c r="BE2082" s="399" t="s">
        <v>5610</v>
      </c>
      <c r="BF2082" s="251" t="s">
        <v>5611</v>
      </c>
      <c r="BG2082" s="399">
        <v>52</v>
      </c>
      <c r="BH2082" s="252">
        <v>52</v>
      </c>
      <c r="BI2082" s="251" t="s">
        <v>331</v>
      </c>
      <c r="BJ2082" s="251" t="s">
        <v>366</v>
      </c>
      <c r="BK2082" s="251" t="s">
        <v>5612</v>
      </c>
      <c r="BL2082" s="251" t="s">
        <v>1121</v>
      </c>
    </row>
    <row r="2083" spans="2:64" ht="15">
      <c r="B2083" s="84"/>
      <c r="D2083" s="84"/>
      <c r="E2083" s="84"/>
      <c r="F2083" s="84"/>
      <c r="G2083" s="84"/>
      <c r="R2083" s="251"/>
      <c r="S2083" s="251"/>
      <c r="BD2083" s="399">
        <v>2080</v>
      </c>
      <c r="BE2083" s="399" t="s">
        <v>5613</v>
      </c>
      <c r="BF2083" s="251" t="s">
        <v>5614</v>
      </c>
      <c r="BG2083" s="399" t="s">
        <v>475</v>
      </c>
      <c r="BH2083" s="252" t="s">
        <v>510</v>
      </c>
      <c r="BI2083" s="251" t="s">
        <v>563</v>
      </c>
      <c r="BJ2083" s="251" t="s">
        <v>390</v>
      </c>
      <c r="BK2083" s="251" t="s">
        <v>5615</v>
      </c>
      <c r="BL2083" s="251" t="s">
        <v>479</v>
      </c>
    </row>
    <row r="2084" spans="2:64" ht="15">
      <c r="B2084" s="84"/>
      <c r="D2084" s="84"/>
      <c r="E2084" s="84"/>
      <c r="F2084" s="84"/>
      <c r="G2084" s="84"/>
      <c r="R2084" s="251"/>
      <c r="S2084" s="251"/>
      <c r="BD2084" s="399">
        <v>2081</v>
      </c>
      <c r="BE2084" s="399" t="s">
        <v>5616</v>
      </c>
      <c r="BF2084" s="251" t="s">
        <v>5617</v>
      </c>
      <c r="BG2084" s="399" t="s">
        <v>395</v>
      </c>
      <c r="BH2084" s="252">
        <v>16</v>
      </c>
      <c r="BI2084" s="251" t="s">
        <v>379</v>
      </c>
      <c r="BJ2084" s="251" t="s">
        <v>366</v>
      </c>
      <c r="BK2084" s="251" t="s">
        <v>5618</v>
      </c>
      <c r="BL2084" s="251" t="s">
        <v>399</v>
      </c>
    </row>
    <row r="2085" spans="2:64" ht="15">
      <c r="B2085" s="84"/>
      <c r="D2085" s="84"/>
      <c r="E2085" s="84"/>
      <c r="F2085" s="84"/>
      <c r="G2085" s="84"/>
      <c r="R2085" s="251"/>
      <c r="S2085" s="251"/>
      <c r="BD2085" s="399">
        <v>2082</v>
      </c>
      <c r="BE2085" s="399" t="s">
        <v>5619</v>
      </c>
      <c r="BF2085" s="251" t="s">
        <v>5620</v>
      </c>
      <c r="BG2085" s="399" t="s">
        <v>435</v>
      </c>
      <c r="BH2085" s="252" t="s">
        <v>681</v>
      </c>
      <c r="BI2085" s="251" t="s">
        <v>5621</v>
      </c>
      <c r="BJ2085" s="251" t="s">
        <v>380</v>
      </c>
      <c r="BK2085" s="251" t="s">
        <v>5622</v>
      </c>
      <c r="BL2085" s="251" t="s">
        <v>439</v>
      </c>
    </row>
    <row r="2086" spans="2:64" ht="15">
      <c r="B2086" s="84"/>
      <c r="D2086" s="84"/>
      <c r="E2086" s="84"/>
      <c r="F2086" s="84"/>
      <c r="G2086" s="84"/>
      <c r="R2086" s="251"/>
      <c r="S2086" s="251"/>
      <c r="BD2086" s="399">
        <v>2083</v>
      </c>
      <c r="BE2086" s="399" t="s">
        <v>5623</v>
      </c>
      <c r="BF2086" s="251" t="s">
        <v>5624</v>
      </c>
      <c r="BG2086" s="399" t="s">
        <v>469</v>
      </c>
      <c r="BH2086" s="252" t="s">
        <v>470</v>
      </c>
      <c r="BI2086" s="251" t="s">
        <v>365</v>
      </c>
      <c r="BJ2086" s="251" t="s">
        <v>380</v>
      </c>
      <c r="BK2086" s="251" t="s">
        <v>5625</v>
      </c>
      <c r="BL2086" s="251" t="s">
        <v>472</v>
      </c>
    </row>
    <row r="2087" spans="2:64" ht="15">
      <c r="B2087" s="84"/>
      <c r="D2087" s="84"/>
      <c r="E2087" s="84"/>
      <c r="F2087" s="84"/>
      <c r="G2087" s="84"/>
      <c r="R2087" s="251"/>
      <c r="S2087" s="251"/>
      <c r="BD2087" s="399">
        <v>2084</v>
      </c>
      <c r="BE2087" s="399" t="s">
        <v>5626</v>
      </c>
      <c r="BF2087" s="251" t="s">
        <v>5627</v>
      </c>
      <c r="BG2087" s="399" t="s">
        <v>356</v>
      </c>
      <c r="BH2087" s="252">
        <v>18</v>
      </c>
      <c r="BI2087" s="251" t="s">
        <v>615</v>
      </c>
      <c r="BJ2087" s="251" t="s">
        <v>366</v>
      </c>
      <c r="BK2087" s="251" t="s">
        <v>5628</v>
      </c>
      <c r="BL2087" s="251" t="s">
        <v>360</v>
      </c>
    </row>
    <row r="2088" spans="2:64" ht="15">
      <c r="B2088" s="84"/>
      <c r="D2088" s="84"/>
      <c r="E2088" s="84"/>
      <c r="F2088" s="84"/>
      <c r="G2088" s="84"/>
      <c r="R2088" s="251"/>
      <c r="S2088" s="251"/>
      <c r="BD2088" s="399">
        <v>2085</v>
      </c>
      <c r="BE2088" s="399" t="s">
        <v>5629</v>
      </c>
      <c r="BF2088" s="251" t="s">
        <v>5630</v>
      </c>
      <c r="BG2088" s="399" t="s">
        <v>449</v>
      </c>
      <c r="BH2088" s="252">
        <v>43</v>
      </c>
      <c r="BI2088" s="251" t="s">
        <v>334</v>
      </c>
      <c r="BJ2088" s="251" t="s">
        <v>380</v>
      </c>
      <c r="BK2088" s="251" t="s">
        <v>5631</v>
      </c>
      <c r="BL2088" s="251" t="s">
        <v>452</v>
      </c>
    </row>
    <row r="2089" spans="2:64" ht="15">
      <c r="B2089" s="84"/>
      <c r="D2089" s="84"/>
      <c r="E2089" s="84"/>
      <c r="F2089" s="84"/>
      <c r="G2089" s="84"/>
      <c r="R2089" s="251"/>
      <c r="S2089" s="251"/>
      <c r="BD2089" s="399">
        <v>2086</v>
      </c>
      <c r="BE2089" s="399" t="s">
        <v>5632</v>
      </c>
      <c r="BF2089" s="251" t="s">
        <v>5633</v>
      </c>
      <c r="BG2089" s="399" t="s">
        <v>566</v>
      </c>
      <c r="BH2089" s="252" t="s">
        <v>567</v>
      </c>
      <c r="BI2089" s="251" t="s">
        <v>331</v>
      </c>
      <c r="BJ2089" s="251" t="s">
        <v>351</v>
      </c>
      <c r="BK2089" s="251" t="s">
        <v>5634</v>
      </c>
      <c r="BL2089" s="251" t="s">
        <v>569</v>
      </c>
    </row>
    <row r="2090" spans="2:64" ht="15">
      <c r="B2090" s="84"/>
      <c r="D2090" s="84"/>
      <c r="E2090" s="84"/>
      <c r="F2090" s="84"/>
      <c r="G2090" s="84"/>
      <c r="R2090" s="251"/>
      <c r="S2090" s="251"/>
      <c r="BD2090" s="399">
        <v>2087</v>
      </c>
      <c r="BE2090" s="399" t="s">
        <v>5635</v>
      </c>
      <c r="BF2090" s="251" t="s">
        <v>5636</v>
      </c>
      <c r="BG2090" s="399" t="s">
        <v>371</v>
      </c>
      <c r="BH2090" s="252">
        <v>28</v>
      </c>
      <c r="BI2090" s="251" t="s">
        <v>563</v>
      </c>
      <c r="BJ2090" s="251" t="s">
        <v>385</v>
      </c>
      <c r="BK2090" s="251" t="s">
        <v>5637</v>
      </c>
      <c r="BL2090" s="251" t="s">
        <v>375</v>
      </c>
    </row>
    <row r="2091" spans="2:64" ht="15">
      <c r="B2091" s="84"/>
      <c r="D2091" s="84"/>
      <c r="E2091" s="84"/>
      <c r="F2091" s="84"/>
      <c r="G2091" s="84"/>
      <c r="R2091" s="251"/>
      <c r="S2091" s="251"/>
      <c r="BD2091" s="399">
        <v>2088</v>
      </c>
      <c r="BE2091" s="399" t="s">
        <v>5638</v>
      </c>
      <c r="BF2091" s="251" t="s">
        <v>5639</v>
      </c>
      <c r="BG2091" s="399" t="s">
        <v>469</v>
      </c>
      <c r="BH2091" s="252" t="s">
        <v>662</v>
      </c>
      <c r="BI2091" s="251" t="s">
        <v>331</v>
      </c>
      <c r="BJ2091" s="251" t="s">
        <v>407</v>
      </c>
      <c r="BK2091" s="251" t="s">
        <v>5640</v>
      </c>
      <c r="BL2091" s="251" t="s">
        <v>472</v>
      </c>
    </row>
    <row r="2092" spans="2:64" ht="15">
      <c r="B2092" s="84"/>
      <c r="D2092" s="84"/>
      <c r="E2092" s="84"/>
      <c r="F2092" s="84"/>
      <c r="G2092" s="84"/>
      <c r="R2092" s="251"/>
      <c r="S2092" s="251"/>
      <c r="BD2092" s="399">
        <v>2089</v>
      </c>
      <c r="BE2092" s="399" t="s">
        <v>5641</v>
      </c>
      <c r="BF2092" s="251" t="s">
        <v>5642</v>
      </c>
      <c r="BG2092" s="399" t="s">
        <v>378</v>
      </c>
      <c r="BH2092" s="252">
        <v>11</v>
      </c>
      <c r="BI2092" s="251" t="s">
        <v>396</v>
      </c>
      <c r="BJ2092" s="251" t="s">
        <v>407</v>
      </c>
      <c r="BK2092" s="251" t="s">
        <v>5643</v>
      </c>
      <c r="BL2092" s="251" t="s">
        <v>382</v>
      </c>
    </row>
    <row r="2093" spans="2:64" ht="15">
      <c r="B2093" s="84"/>
      <c r="D2093" s="84"/>
      <c r="E2093" s="84"/>
      <c r="F2093" s="84"/>
      <c r="G2093" s="84"/>
      <c r="R2093" s="251"/>
      <c r="S2093" s="251"/>
      <c r="BD2093" s="399">
        <v>2090</v>
      </c>
      <c r="BE2093" s="399" t="s">
        <v>5644</v>
      </c>
      <c r="BF2093" s="251" t="s">
        <v>5645</v>
      </c>
      <c r="BG2093" s="399" t="s">
        <v>469</v>
      </c>
      <c r="BH2093" s="252" t="s">
        <v>662</v>
      </c>
      <c r="BI2093" s="251" t="s">
        <v>461</v>
      </c>
      <c r="BJ2093" s="251" t="s">
        <v>413</v>
      </c>
      <c r="BK2093" s="251" t="s">
        <v>5646</v>
      </c>
      <c r="BL2093" s="251" t="s">
        <v>472</v>
      </c>
    </row>
    <row r="2094" spans="2:64" ht="15">
      <c r="B2094" s="84"/>
      <c r="D2094" s="84"/>
      <c r="E2094" s="84"/>
      <c r="F2094" s="84"/>
      <c r="G2094" s="84"/>
      <c r="R2094" s="251"/>
      <c r="S2094" s="251"/>
      <c r="BD2094" s="399">
        <v>2091</v>
      </c>
      <c r="BE2094" s="399" t="s">
        <v>5647</v>
      </c>
      <c r="BF2094" s="251" t="s">
        <v>5648</v>
      </c>
      <c r="BG2094" s="399" t="s">
        <v>566</v>
      </c>
      <c r="BH2094" s="252" t="s">
        <v>1004</v>
      </c>
      <c r="BI2094" s="251" t="s">
        <v>1638</v>
      </c>
      <c r="BJ2094" s="251" t="s">
        <v>380</v>
      </c>
      <c r="BK2094" s="251" t="s">
        <v>5649</v>
      </c>
      <c r="BL2094" s="251" t="s">
        <v>569</v>
      </c>
    </row>
    <row r="2095" spans="2:64" ht="15">
      <c r="B2095" s="84"/>
      <c r="D2095" s="84"/>
      <c r="E2095" s="84"/>
      <c r="F2095" s="84"/>
      <c r="G2095" s="84"/>
      <c r="R2095" s="251"/>
      <c r="S2095" s="251"/>
      <c r="BD2095" s="399">
        <v>2092</v>
      </c>
      <c r="BE2095" s="399" t="s">
        <v>5650</v>
      </c>
      <c r="BF2095" s="251" t="s">
        <v>5651</v>
      </c>
      <c r="BG2095" s="399" t="s">
        <v>423</v>
      </c>
      <c r="BH2095" s="252" t="s">
        <v>424</v>
      </c>
      <c r="BI2095" s="251" t="s">
        <v>365</v>
      </c>
      <c r="BJ2095" s="251" t="s">
        <v>380</v>
      </c>
      <c r="BK2095" s="251" t="s">
        <v>5652</v>
      </c>
      <c r="BL2095" s="251" t="s">
        <v>426</v>
      </c>
    </row>
    <row r="2096" spans="2:64" ht="15">
      <c r="B2096" s="84"/>
      <c r="D2096" s="84"/>
      <c r="E2096" s="84"/>
      <c r="F2096" s="84"/>
      <c r="G2096" s="84"/>
      <c r="R2096" s="251"/>
      <c r="S2096" s="251"/>
      <c r="BD2096" s="399">
        <v>2093</v>
      </c>
      <c r="BE2096" s="399" t="s">
        <v>5653</v>
      </c>
      <c r="BF2096" s="251" t="s">
        <v>5654</v>
      </c>
      <c r="BG2096" s="399" t="s">
        <v>429</v>
      </c>
      <c r="BH2096" s="252" t="s">
        <v>430</v>
      </c>
      <c r="BI2096" s="251" t="s">
        <v>535</v>
      </c>
      <c r="BJ2096" s="251" t="s">
        <v>413</v>
      </c>
      <c r="BK2096" s="251" t="s">
        <v>5655</v>
      </c>
      <c r="BL2096" s="251" t="s">
        <v>432</v>
      </c>
    </row>
    <row r="2097" spans="2:64" ht="15">
      <c r="B2097" s="84"/>
      <c r="D2097" s="84"/>
      <c r="E2097" s="84"/>
      <c r="F2097" s="84"/>
      <c r="G2097" s="84"/>
      <c r="R2097" s="251"/>
      <c r="S2097" s="251"/>
      <c r="BD2097" s="399">
        <v>2094</v>
      </c>
      <c r="BE2097" s="399" t="s">
        <v>1144</v>
      </c>
      <c r="BF2097" s="251" t="s">
        <v>5656</v>
      </c>
      <c r="BG2097" s="399" t="s">
        <v>475</v>
      </c>
      <c r="BH2097" s="252" t="s">
        <v>534</v>
      </c>
      <c r="BI2097" s="251" t="s">
        <v>332</v>
      </c>
      <c r="BJ2097" s="251" t="s">
        <v>351</v>
      </c>
      <c r="BK2097" s="251" t="s">
        <v>5657</v>
      </c>
      <c r="BL2097" s="251" t="s">
        <v>479</v>
      </c>
    </row>
    <row r="2098" spans="2:64" ht="15">
      <c r="B2098" s="84"/>
      <c r="D2098" s="84"/>
      <c r="E2098" s="84"/>
      <c r="F2098" s="84"/>
      <c r="G2098" s="84"/>
      <c r="R2098" s="251"/>
      <c r="S2098" s="251"/>
      <c r="BD2098" s="399">
        <v>2095</v>
      </c>
      <c r="BE2098" s="399" t="s">
        <v>5658</v>
      </c>
      <c r="BF2098" s="251" t="s">
        <v>5659</v>
      </c>
      <c r="BG2098" s="399" t="s">
        <v>623</v>
      </c>
      <c r="BH2098" s="252" t="s">
        <v>624</v>
      </c>
      <c r="BI2098" s="251" t="s">
        <v>390</v>
      </c>
      <c r="BJ2098" s="251" t="s">
        <v>530</v>
      </c>
      <c r="BK2098" s="251" t="s">
        <v>5660</v>
      </c>
      <c r="BL2098" s="251" t="s">
        <v>626</v>
      </c>
    </row>
    <row r="2099" spans="2:64" ht="15">
      <c r="B2099" s="84"/>
      <c r="D2099" s="84"/>
      <c r="E2099" s="84"/>
      <c r="F2099" s="84"/>
      <c r="G2099" s="84"/>
      <c r="R2099" s="251"/>
      <c r="S2099" s="251"/>
      <c r="BD2099" s="399">
        <v>2096</v>
      </c>
      <c r="BE2099" s="399" t="s">
        <v>5661</v>
      </c>
      <c r="BF2099" s="251" t="s">
        <v>5662</v>
      </c>
      <c r="BG2099" s="399">
        <v>51</v>
      </c>
      <c r="BH2099" s="252">
        <v>51</v>
      </c>
      <c r="BI2099" s="251" t="s">
        <v>615</v>
      </c>
      <c r="BJ2099" s="251" t="s">
        <v>380</v>
      </c>
      <c r="BK2099" s="251" t="s">
        <v>5663</v>
      </c>
      <c r="BL2099" s="251" t="s">
        <v>730</v>
      </c>
    </row>
    <row r="2100" spans="2:64" ht="15">
      <c r="B2100" s="84"/>
      <c r="D2100" s="84"/>
      <c r="E2100" s="84"/>
      <c r="F2100" s="84"/>
      <c r="G2100" s="84"/>
      <c r="R2100" s="251"/>
      <c r="S2100" s="251"/>
      <c r="BD2100" s="399">
        <v>2097</v>
      </c>
      <c r="BE2100" s="399" t="s">
        <v>5664</v>
      </c>
      <c r="BF2100" s="251" t="s">
        <v>5665</v>
      </c>
      <c r="BG2100" s="399" t="s">
        <v>519</v>
      </c>
      <c r="BH2100" s="252">
        <v>30</v>
      </c>
      <c r="BI2100" s="251" t="s">
        <v>331</v>
      </c>
      <c r="BJ2100" s="251" t="s">
        <v>385</v>
      </c>
      <c r="BK2100" s="251" t="s">
        <v>5666</v>
      </c>
      <c r="BL2100" s="251" t="s">
        <v>521</v>
      </c>
    </row>
    <row r="2101" spans="2:64" ht="15">
      <c r="B2101" s="84"/>
      <c r="D2101" s="84"/>
      <c r="E2101" s="84"/>
      <c r="F2101" s="84"/>
      <c r="G2101" s="84"/>
      <c r="R2101" s="251"/>
      <c r="S2101" s="251"/>
      <c r="BD2101" s="399">
        <v>2098</v>
      </c>
      <c r="BE2101" s="399" t="s">
        <v>5667</v>
      </c>
      <c r="BF2101" s="251" t="s">
        <v>5668</v>
      </c>
      <c r="BG2101" s="399" t="s">
        <v>435</v>
      </c>
      <c r="BH2101" s="252" t="s">
        <v>1274</v>
      </c>
      <c r="BI2101" s="251" t="s">
        <v>331</v>
      </c>
      <c r="BJ2101" s="251" t="s">
        <v>539</v>
      </c>
      <c r="BK2101" s="251" t="s">
        <v>5669</v>
      </c>
      <c r="BL2101" s="251" t="s">
        <v>439</v>
      </c>
    </row>
    <row r="2102" spans="2:64" ht="15">
      <c r="B2102" s="84"/>
      <c r="D2102" s="84"/>
      <c r="E2102" s="84"/>
      <c r="F2102" s="84"/>
      <c r="G2102" s="84"/>
      <c r="R2102" s="251"/>
      <c r="S2102" s="251"/>
      <c r="BD2102" s="399">
        <v>2099</v>
      </c>
      <c r="BE2102" s="399" t="s">
        <v>5670</v>
      </c>
      <c r="BF2102" s="251" t="s">
        <v>5671</v>
      </c>
      <c r="BG2102" s="399" t="s">
        <v>469</v>
      </c>
      <c r="BH2102" s="252" t="s">
        <v>470</v>
      </c>
      <c r="BI2102" s="251" t="s">
        <v>563</v>
      </c>
      <c r="BJ2102" s="251" t="s">
        <v>351</v>
      </c>
      <c r="BK2102" s="251" t="s">
        <v>5672</v>
      </c>
      <c r="BL2102" s="251" t="s">
        <v>472</v>
      </c>
    </row>
    <row r="2103" spans="2:64" ht="15">
      <c r="B2103" s="84"/>
      <c r="D2103" s="84"/>
      <c r="E2103" s="84"/>
      <c r="F2103" s="84"/>
      <c r="G2103" s="84"/>
      <c r="R2103" s="251"/>
      <c r="S2103" s="251"/>
      <c r="BD2103" s="399">
        <v>2100</v>
      </c>
      <c r="BE2103" s="399" t="s">
        <v>4891</v>
      </c>
      <c r="BF2103" s="251" t="s">
        <v>5673</v>
      </c>
      <c r="BG2103" s="399" t="s">
        <v>363</v>
      </c>
      <c r="BH2103" s="252">
        <v>8</v>
      </c>
      <c r="BI2103" s="251" t="s">
        <v>615</v>
      </c>
      <c r="BJ2103" s="251" t="s">
        <v>385</v>
      </c>
      <c r="BK2103" s="251" t="s">
        <v>5674</v>
      </c>
      <c r="BL2103" s="251" t="s">
        <v>368</v>
      </c>
    </row>
    <row r="2104" spans="2:64" ht="15">
      <c r="B2104" s="84"/>
      <c r="D2104" s="84"/>
      <c r="E2104" s="84"/>
      <c r="F2104" s="84"/>
      <c r="G2104" s="84"/>
      <c r="R2104" s="251"/>
      <c r="S2104" s="251"/>
      <c r="BD2104" s="399">
        <v>2101</v>
      </c>
      <c r="BE2104" s="399" t="s">
        <v>5675</v>
      </c>
      <c r="BF2104" s="251" t="s">
        <v>5676</v>
      </c>
      <c r="BG2104" s="399" t="s">
        <v>590</v>
      </c>
      <c r="BH2104" s="252" t="s">
        <v>2031</v>
      </c>
      <c r="BI2104" s="251" t="s">
        <v>334</v>
      </c>
      <c r="BJ2104" s="251" t="s">
        <v>350</v>
      </c>
      <c r="BK2104" s="251" t="s">
        <v>5677</v>
      </c>
      <c r="BL2104" s="251" t="s">
        <v>592</v>
      </c>
    </row>
    <row r="2105" spans="2:64" ht="15">
      <c r="B2105" s="84"/>
      <c r="D2105" s="84"/>
      <c r="E2105" s="84"/>
      <c r="F2105" s="84"/>
      <c r="G2105" s="84"/>
      <c r="R2105" s="251"/>
      <c r="S2105" s="251"/>
      <c r="BD2105" s="399">
        <v>2102</v>
      </c>
      <c r="BE2105" s="399" t="s">
        <v>5678</v>
      </c>
      <c r="BF2105" s="251" t="s">
        <v>5679</v>
      </c>
      <c r="BG2105" s="399" t="s">
        <v>469</v>
      </c>
      <c r="BH2105" s="252" t="s">
        <v>470</v>
      </c>
      <c r="BI2105" s="251" t="s">
        <v>350</v>
      </c>
      <c r="BJ2105" s="251" t="s">
        <v>366</v>
      </c>
      <c r="BK2105" s="251" t="s">
        <v>5680</v>
      </c>
      <c r="BL2105" s="251" t="s">
        <v>472</v>
      </c>
    </row>
    <row r="2106" spans="2:64" ht="15">
      <c r="B2106" s="84"/>
      <c r="D2106" s="84"/>
      <c r="E2106" s="84"/>
      <c r="F2106" s="84"/>
      <c r="G2106" s="84"/>
      <c r="R2106" s="251"/>
      <c r="S2106" s="251"/>
      <c r="BD2106" s="399">
        <v>2103</v>
      </c>
      <c r="BE2106" s="399" t="s">
        <v>2369</v>
      </c>
      <c r="BF2106" s="251" t="s">
        <v>5681</v>
      </c>
      <c r="BG2106" s="399" t="s">
        <v>566</v>
      </c>
      <c r="BH2106" s="252" t="s">
        <v>1004</v>
      </c>
      <c r="BI2106" s="251" t="s">
        <v>615</v>
      </c>
      <c r="BJ2106" s="251" t="s">
        <v>380</v>
      </c>
      <c r="BK2106" s="251" t="s">
        <v>5682</v>
      </c>
      <c r="BL2106" s="251" t="s">
        <v>569</v>
      </c>
    </row>
    <row r="2107" spans="2:64" ht="15">
      <c r="B2107" s="84"/>
      <c r="D2107" s="84"/>
      <c r="E2107" s="84"/>
      <c r="F2107" s="84"/>
      <c r="G2107" s="84"/>
      <c r="R2107" s="251"/>
      <c r="S2107" s="251"/>
      <c r="BD2107" s="399">
        <v>2104</v>
      </c>
      <c r="BE2107" s="399" t="s">
        <v>5683</v>
      </c>
      <c r="BF2107" s="251" t="s">
        <v>5684</v>
      </c>
      <c r="BG2107" s="399" t="s">
        <v>469</v>
      </c>
      <c r="BH2107" s="252" t="s">
        <v>470</v>
      </c>
      <c r="BI2107" s="251" t="s">
        <v>477</v>
      </c>
      <c r="BJ2107" s="251" t="s">
        <v>366</v>
      </c>
      <c r="BK2107" s="251" t="s">
        <v>5685</v>
      </c>
      <c r="BL2107" s="251" t="s">
        <v>472</v>
      </c>
    </row>
    <row r="2108" spans="2:64" ht="15">
      <c r="B2108" s="84"/>
      <c r="D2108" s="84"/>
      <c r="E2108" s="84"/>
      <c r="F2108" s="84"/>
      <c r="G2108" s="84"/>
      <c r="R2108" s="251"/>
      <c r="S2108" s="251"/>
      <c r="BD2108" s="399">
        <v>2105</v>
      </c>
      <c r="BE2108" s="399" t="s">
        <v>5686</v>
      </c>
      <c r="BF2108" s="251" t="s">
        <v>5687</v>
      </c>
      <c r="BG2108" s="399" t="s">
        <v>733</v>
      </c>
      <c r="BH2108" s="252" t="s">
        <v>734</v>
      </c>
      <c r="BI2108" s="251" t="s">
        <v>390</v>
      </c>
      <c r="BJ2108" s="251" t="s">
        <v>350</v>
      </c>
      <c r="BK2108" s="251" t="s">
        <v>5688</v>
      </c>
      <c r="BL2108" s="251" t="s">
        <v>736</v>
      </c>
    </row>
    <row r="2109" spans="2:64" ht="15">
      <c r="B2109" s="84"/>
      <c r="D2109" s="84"/>
      <c r="E2109" s="84"/>
      <c r="F2109" s="84"/>
      <c r="G2109" s="84"/>
      <c r="R2109" s="251"/>
      <c r="S2109" s="251"/>
      <c r="BD2109" s="399">
        <v>2106</v>
      </c>
      <c r="BE2109" s="399" t="s">
        <v>5689</v>
      </c>
      <c r="BF2109" s="251" t="s">
        <v>5690</v>
      </c>
      <c r="BG2109" s="399" t="s">
        <v>4592</v>
      </c>
      <c r="BH2109" s="252" t="s">
        <v>4593</v>
      </c>
      <c r="BI2109" s="251" t="s">
        <v>331</v>
      </c>
      <c r="BJ2109" s="251" t="s">
        <v>778</v>
      </c>
      <c r="BK2109" s="251" t="s">
        <v>5691</v>
      </c>
      <c r="BL2109" s="251" t="s">
        <v>4595</v>
      </c>
    </row>
    <row r="2110" spans="2:64" ht="15">
      <c r="B2110" s="84"/>
      <c r="D2110" s="84"/>
      <c r="E2110" s="84"/>
      <c r="F2110" s="84"/>
      <c r="G2110" s="84"/>
      <c r="R2110" s="251"/>
      <c r="S2110" s="251"/>
      <c r="BD2110" s="399">
        <v>2107</v>
      </c>
      <c r="BE2110" s="399" t="s">
        <v>5692</v>
      </c>
      <c r="BF2110" s="251" t="s">
        <v>5693</v>
      </c>
      <c r="BG2110" s="399" t="s">
        <v>405</v>
      </c>
      <c r="BH2110" s="252" t="s">
        <v>528</v>
      </c>
      <c r="BI2110" s="251" t="s">
        <v>332</v>
      </c>
      <c r="BJ2110" s="251" t="s">
        <v>385</v>
      </c>
      <c r="BK2110" s="251" t="s">
        <v>5694</v>
      </c>
      <c r="BL2110" s="251" t="s">
        <v>409</v>
      </c>
    </row>
    <row r="2111" spans="2:64" ht="15">
      <c r="B2111" s="84"/>
      <c r="D2111" s="84"/>
      <c r="E2111" s="84"/>
      <c r="F2111" s="84"/>
      <c r="G2111" s="84"/>
      <c r="R2111" s="251"/>
      <c r="S2111" s="251"/>
      <c r="BD2111" s="399">
        <v>2108</v>
      </c>
      <c r="BE2111" s="399" t="s">
        <v>1431</v>
      </c>
      <c r="BF2111" s="251" t="s">
        <v>5695</v>
      </c>
      <c r="BG2111" s="399" t="s">
        <v>469</v>
      </c>
      <c r="BH2111" s="252" t="s">
        <v>5696</v>
      </c>
      <c r="BI2111" s="251" t="s">
        <v>333</v>
      </c>
      <c r="BJ2111" s="251" t="s">
        <v>380</v>
      </c>
      <c r="BK2111" s="251" t="s">
        <v>5697</v>
      </c>
      <c r="BL2111" s="251" t="s">
        <v>472</v>
      </c>
    </row>
    <row r="2112" spans="2:64" ht="15">
      <c r="B2112" s="84"/>
      <c r="D2112" s="84"/>
      <c r="E2112" s="84"/>
      <c r="F2112" s="84"/>
      <c r="G2112" s="84"/>
      <c r="R2112" s="251"/>
      <c r="S2112" s="251"/>
      <c r="BD2112" s="399">
        <v>2109</v>
      </c>
      <c r="BE2112" s="399" t="s">
        <v>5073</v>
      </c>
      <c r="BF2112" s="251" t="s">
        <v>5698</v>
      </c>
      <c r="BG2112" s="399" t="s">
        <v>363</v>
      </c>
      <c r="BH2112" s="252" t="s">
        <v>575</v>
      </c>
      <c r="BI2112" s="251" t="s">
        <v>450</v>
      </c>
      <c r="BJ2112" s="251" t="s">
        <v>380</v>
      </c>
      <c r="BK2112" s="251" t="s">
        <v>5699</v>
      </c>
      <c r="BL2112" s="251" t="s">
        <v>368</v>
      </c>
    </row>
    <row r="2113" spans="2:64" ht="15">
      <c r="B2113" s="84"/>
      <c r="D2113" s="84"/>
      <c r="E2113" s="84"/>
      <c r="F2113" s="84"/>
      <c r="G2113" s="84"/>
      <c r="R2113" s="251"/>
      <c r="S2113" s="251"/>
      <c r="BD2113" s="399">
        <v>2110</v>
      </c>
      <c r="BE2113" s="399" t="s">
        <v>5700</v>
      </c>
      <c r="BF2113" s="251" t="s">
        <v>5701</v>
      </c>
      <c r="BG2113" s="399" t="s">
        <v>423</v>
      </c>
      <c r="BH2113" s="252" t="s">
        <v>424</v>
      </c>
      <c r="BI2113" s="251" t="s">
        <v>615</v>
      </c>
      <c r="BJ2113" s="251" t="s">
        <v>539</v>
      </c>
      <c r="BK2113" s="251" t="s">
        <v>5702</v>
      </c>
      <c r="BL2113" s="251" t="s">
        <v>426</v>
      </c>
    </row>
    <row r="2114" spans="2:64" ht="15">
      <c r="B2114" s="84"/>
      <c r="D2114" s="84"/>
      <c r="E2114" s="84"/>
      <c r="F2114" s="84"/>
      <c r="G2114" s="84"/>
      <c r="R2114" s="251"/>
      <c r="S2114" s="251"/>
      <c r="BD2114" s="399">
        <v>2111</v>
      </c>
      <c r="BE2114" s="399" t="s">
        <v>5703</v>
      </c>
      <c r="BF2114" s="251" t="s">
        <v>5704</v>
      </c>
      <c r="BG2114" s="399" t="s">
        <v>405</v>
      </c>
      <c r="BH2114" s="252" t="s">
        <v>412</v>
      </c>
      <c r="BI2114" s="251" t="s">
        <v>350</v>
      </c>
      <c r="BJ2114" s="251" t="s">
        <v>380</v>
      </c>
      <c r="BK2114" s="251" t="s">
        <v>5705</v>
      </c>
      <c r="BL2114" s="251" t="s">
        <v>409</v>
      </c>
    </row>
    <row r="2115" spans="2:64" ht="15">
      <c r="B2115" s="84"/>
      <c r="D2115" s="84"/>
      <c r="E2115" s="84"/>
      <c r="F2115" s="84"/>
      <c r="G2115" s="84"/>
      <c r="R2115" s="251"/>
      <c r="S2115" s="251"/>
      <c r="BD2115" s="399">
        <v>2112</v>
      </c>
      <c r="BE2115" s="399" t="s">
        <v>5706</v>
      </c>
      <c r="BF2115" s="251" t="s">
        <v>5707</v>
      </c>
      <c r="BG2115" s="399" t="s">
        <v>371</v>
      </c>
      <c r="BH2115" s="252">
        <v>28</v>
      </c>
      <c r="BI2115" s="251" t="s">
        <v>334</v>
      </c>
      <c r="BJ2115" s="251" t="s">
        <v>366</v>
      </c>
      <c r="BK2115" s="251" t="s">
        <v>5708</v>
      </c>
      <c r="BL2115" s="251" t="s">
        <v>375</v>
      </c>
    </row>
    <row r="2116" spans="2:64" ht="15">
      <c r="B2116" s="84"/>
      <c r="D2116" s="84"/>
      <c r="E2116" s="84"/>
      <c r="F2116" s="84"/>
      <c r="G2116" s="84"/>
      <c r="R2116" s="251"/>
      <c r="S2116" s="251"/>
      <c r="BD2116" s="399">
        <v>2113</v>
      </c>
      <c r="BE2116" s="399" t="s">
        <v>5709</v>
      </c>
      <c r="BF2116" s="251" t="s">
        <v>5710</v>
      </c>
      <c r="BG2116" s="399" t="s">
        <v>566</v>
      </c>
      <c r="BH2116" s="252" t="s">
        <v>567</v>
      </c>
      <c r="BI2116" s="251" t="s">
        <v>350</v>
      </c>
      <c r="BJ2116" s="251" t="s">
        <v>397</v>
      </c>
      <c r="BK2116" s="251" t="s">
        <v>5711</v>
      </c>
      <c r="BL2116" s="251" t="s">
        <v>569</v>
      </c>
    </row>
    <row r="2117" spans="2:64" ht="15">
      <c r="B2117" s="84"/>
      <c r="D2117" s="84"/>
      <c r="E2117" s="84"/>
      <c r="F2117" s="84"/>
      <c r="G2117" s="84"/>
      <c r="R2117" s="251"/>
      <c r="S2117" s="251"/>
      <c r="BD2117" s="399">
        <v>2114</v>
      </c>
      <c r="BE2117" s="399" t="s">
        <v>5712</v>
      </c>
      <c r="BF2117" s="251" t="s">
        <v>5713</v>
      </c>
      <c r="BG2117" s="399" t="s">
        <v>371</v>
      </c>
      <c r="BH2117" s="252">
        <v>28</v>
      </c>
      <c r="BI2117" s="251" t="s">
        <v>396</v>
      </c>
      <c r="BJ2117" s="251" t="s">
        <v>366</v>
      </c>
      <c r="BK2117" s="251" t="s">
        <v>5714</v>
      </c>
      <c r="BL2117" s="251" t="s">
        <v>375</v>
      </c>
    </row>
    <row r="2118" spans="2:64" ht="15">
      <c r="B2118" s="84"/>
      <c r="D2118" s="84"/>
      <c r="E2118" s="84"/>
      <c r="F2118" s="84"/>
      <c r="G2118" s="84"/>
      <c r="R2118" s="251"/>
      <c r="S2118" s="251"/>
      <c r="BD2118" s="399">
        <v>2115</v>
      </c>
      <c r="BE2118" s="399" t="s">
        <v>5715</v>
      </c>
      <c r="BF2118" s="251" t="s">
        <v>5716</v>
      </c>
      <c r="BG2118" s="399" t="s">
        <v>566</v>
      </c>
      <c r="BH2118" s="252" t="s">
        <v>1004</v>
      </c>
      <c r="BI2118" s="251" t="s">
        <v>740</v>
      </c>
      <c r="BJ2118" s="251" t="s">
        <v>530</v>
      </c>
      <c r="BK2118" s="251" t="s">
        <v>5717</v>
      </c>
      <c r="BL2118" s="251" t="s">
        <v>569</v>
      </c>
    </row>
    <row r="2119" spans="2:64" ht="15">
      <c r="B2119" s="84"/>
      <c r="D2119" s="84"/>
      <c r="E2119" s="84"/>
      <c r="F2119" s="84"/>
      <c r="G2119" s="84"/>
      <c r="R2119" s="251"/>
      <c r="S2119" s="251"/>
      <c r="BD2119" s="399">
        <v>2116</v>
      </c>
      <c r="BE2119" s="399" t="s">
        <v>5718</v>
      </c>
      <c r="BF2119" s="251" t="s">
        <v>5719</v>
      </c>
      <c r="BG2119" s="399" t="s">
        <v>614</v>
      </c>
      <c r="BH2119" s="252">
        <v>38</v>
      </c>
      <c r="BI2119" s="251" t="s">
        <v>563</v>
      </c>
      <c r="BJ2119" s="251" t="s">
        <v>407</v>
      </c>
      <c r="BK2119" s="251" t="s">
        <v>5720</v>
      </c>
      <c r="BL2119" s="251" t="s">
        <v>617</v>
      </c>
    </row>
    <row r="2120" spans="2:64" ht="15">
      <c r="B2120" s="84"/>
      <c r="D2120" s="84"/>
      <c r="E2120" s="84"/>
      <c r="F2120" s="84"/>
      <c r="G2120" s="84"/>
      <c r="R2120" s="251"/>
      <c r="S2120" s="251"/>
      <c r="BD2120" s="399">
        <v>2117</v>
      </c>
      <c r="BE2120" s="399" t="s">
        <v>5721</v>
      </c>
      <c r="BF2120" s="251" t="s">
        <v>5722</v>
      </c>
      <c r="BG2120" s="399" t="s">
        <v>423</v>
      </c>
      <c r="BH2120" s="252" t="s">
        <v>424</v>
      </c>
      <c r="BI2120" s="251" t="s">
        <v>500</v>
      </c>
      <c r="BJ2120" s="251" t="s">
        <v>539</v>
      </c>
      <c r="BK2120" s="251" t="s">
        <v>5723</v>
      </c>
      <c r="BL2120" s="251" t="s">
        <v>426</v>
      </c>
    </row>
    <row r="2121" spans="2:64" ht="15">
      <c r="B2121" s="84"/>
      <c r="D2121" s="84"/>
      <c r="E2121" s="84"/>
      <c r="F2121" s="84"/>
      <c r="G2121" s="84"/>
      <c r="R2121" s="251"/>
      <c r="S2121" s="251"/>
      <c r="BD2121" s="399">
        <v>2118</v>
      </c>
      <c r="BE2121" s="399" t="s">
        <v>4505</v>
      </c>
      <c r="BF2121" s="251" t="s">
        <v>5724</v>
      </c>
      <c r="BG2121" s="399" t="s">
        <v>363</v>
      </c>
      <c r="BH2121" s="252">
        <v>8</v>
      </c>
      <c r="BI2121" s="251" t="s">
        <v>728</v>
      </c>
      <c r="BJ2121" s="251" t="s">
        <v>366</v>
      </c>
      <c r="BK2121" s="251" t="s">
        <v>5725</v>
      </c>
      <c r="BL2121" s="251" t="s">
        <v>368</v>
      </c>
    </row>
    <row r="2122" spans="2:64" ht="15">
      <c r="B2122" s="84"/>
      <c r="D2122" s="84"/>
      <c r="E2122" s="84"/>
      <c r="F2122" s="84"/>
      <c r="G2122" s="84"/>
      <c r="R2122" s="251"/>
      <c r="S2122" s="251"/>
      <c r="BD2122" s="399">
        <v>2119</v>
      </c>
      <c r="BE2122" s="399" t="s">
        <v>5726</v>
      </c>
      <c r="BF2122" s="251" t="s">
        <v>5727</v>
      </c>
      <c r="BG2122" s="399" t="s">
        <v>378</v>
      </c>
      <c r="BH2122" s="252">
        <v>11</v>
      </c>
      <c r="BI2122" s="251" t="s">
        <v>332</v>
      </c>
      <c r="BJ2122" s="251" t="s">
        <v>366</v>
      </c>
      <c r="BK2122" s="251" t="s">
        <v>5728</v>
      </c>
      <c r="BL2122" s="251" t="s">
        <v>382</v>
      </c>
    </row>
    <row r="2123" spans="2:64" ht="15">
      <c r="B2123" s="84"/>
      <c r="D2123" s="84"/>
      <c r="E2123" s="84"/>
      <c r="F2123" s="84"/>
      <c r="G2123" s="84"/>
      <c r="R2123" s="251"/>
      <c r="S2123" s="251"/>
      <c r="BD2123" s="399">
        <v>2120</v>
      </c>
      <c r="BE2123" s="399" t="s">
        <v>5052</v>
      </c>
      <c r="BF2123" s="251" t="s">
        <v>5729</v>
      </c>
      <c r="BG2123" s="399" t="s">
        <v>475</v>
      </c>
      <c r="BH2123" s="252" t="s">
        <v>476</v>
      </c>
      <c r="BI2123" s="251" t="s">
        <v>350</v>
      </c>
      <c r="BJ2123" s="251" t="s">
        <v>351</v>
      </c>
      <c r="BK2123" s="251" t="s">
        <v>5730</v>
      </c>
      <c r="BL2123" s="251" t="s">
        <v>479</v>
      </c>
    </row>
    <row r="2124" spans="2:64" ht="15">
      <c r="B2124" s="84"/>
      <c r="D2124" s="84"/>
      <c r="E2124" s="84"/>
      <c r="F2124" s="84"/>
      <c r="G2124" s="84"/>
      <c r="R2124" s="251"/>
      <c r="S2124" s="251"/>
      <c r="BD2124" s="399">
        <v>2121</v>
      </c>
      <c r="BE2124" s="399" t="s">
        <v>5731</v>
      </c>
      <c r="BF2124" s="251" t="s">
        <v>5732</v>
      </c>
      <c r="BG2124" s="399" t="s">
        <v>435</v>
      </c>
      <c r="BH2124" s="252" t="s">
        <v>2383</v>
      </c>
      <c r="BI2124" s="251" t="s">
        <v>5733</v>
      </c>
      <c r="BJ2124" s="251" t="s">
        <v>539</v>
      </c>
      <c r="BK2124" s="251" t="s">
        <v>5734</v>
      </c>
      <c r="BL2124" s="251" t="s">
        <v>439</v>
      </c>
    </row>
    <row r="2125" spans="2:64" ht="15">
      <c r="B2125" s="84"/>
      <c r="D2125" s="84"/>
      <c r="E2125" s="84"/>
      <c r="F2125" s="84"/>
      <c r="G2125" s="84"/>
      <c r="R2125" s="251"/>
      <c r="S2125" s="251"/>
      <c r="BD2125" s="399">
        <v>2122</v>
      </c>
      <c r="BE2125" s="399" t="s">
        <v>5735</v>
      </c>
      <c r="BF2125" s="251" t="s">
        <v>5736</v>
      </c>
      <c r="BG2125" s="399" t="s">
        <v>395</v>
      </c>
      <c r="BH2125" s="252">
        <v>16</v>
      </c>
      <c r="BI2125" s="251" t="s">
        <v>365</v>
      </c>
      <c r="BJ2125" s="251" t="s">
        <v>390</v>
      </c>
      <c r="BK2125" s="251" t="s">
        <v>5737</v>
      </c>
      <c r="BL2125" s="251" t="s">
        <v>399</v>
      </c>
    </row>
    <row r="2126" spans="2:64" ht="15">
      <c r="B2126" s="84"/>
      <c r="D2126" s="84"/>
      <c r="E2126" s="84"/>
      <c r="F2126" s="84"/>
      <c r="G2126" s="84"/>
      <c r="R2126" s="251"/>
      <c r="S2126" s="251"/>
      <c r="BD2126" s="399">
        <v>2123</v>
      </c>
      <c r="BE2126" s="399" t="s">
        <v>5738</v>
      </c>
      <c r="BF2126" s="251" t="s">
        <v>5739</v>
      </c>
      <c r="BG2126" s="399" t="s">
        <v>469</v>
      </c>
      <c r="BH2126" s="252" t="s">
        <v>470</v>
      </c>
      <c r="BI2126" s="251" t="s">
        <v>357</v>
      </c>
      <c r="BJ2126" s="251" t="s">
        <v>351</v>
      </c>
      <c r="BK2126" s="251" t="s">
        <v>5740</v>
      </c>
      <c r="BL2126" s="251" t="s">
        <v>472</v>
      </c>
    </row>
    <row r="2127" spans="2:64" ht="15">
      <c r="B2127" s="84"/>
      <c r="D2127" s="84"/>
      <c r="E2127" s="84"/>
      <c r="F2127" s="84"/>
      <c r="G2127" s="84"/>
      <c r="R2127" s="251"/>
      <c r="S2127" s="251"/>
      <c r="BD2127" s="399">
        <v>2124</v>
      </c>
      <c r="BE2127" s="399" t="s">
        <v>5741</v>
      </c>
      <c r="BF2127" s="251" t="s">
        <v>5742</v>
      </c>
      <c r="BG2127" s="399" t="s">
        <v>590</v>
      </c>
      <c r="BH2127" s="252" t="s">
        <v>2031</v>
      </c>
      <c r="BI2127" s="251" t="s">
        <v>357</v>
      </c>
      <c r="BJ2127" s="251" t="s">
        <v>366</v>
      </c>
      <c r="BK2127" s="251" t="s">
        <v>5743</v>
      </c>
      <c r="BL2127" s="251" t="s">
        <v>592</v>
      </c>
    </row>
    <row r="2128" spans="2:64" ht="15">
      <c r="B2128" s="84"/>
      <c r="D2128" s="84"/>
      <c r="E2128" s="84"/>
      <c r="F2128" s="84"/>
      <c r="G2128" s="84"/>
      <c r="R2128" s="251"/>
      <c r="S2128" s="251"/>
      <c r="BD2128" s="399">
        <v>2125</v>
      </c>
      <c r="BE2128" s="399" t="s">
        <v>5744</v>
      </c>
      <c r="BF2128" s="251" t="s">
        <v>5745</v>
      </c>
      <c r="BG2128" s="399" t="s">
        <v>469</v>
      </c>
      <c r="BH2128" s="252" t="s">
        <v>470</v>
      </c>
      <c r="BI2128" s="251" t="s">
        <v>5746</v>
      </c>
      <c r="BJ2128" s="251" t="s">
        <v>413</v>
      </c>
      <c r="BK2128" s="251" t="s">
        <v>5747</v>
      </c>
      <c r="BL2128" s="251" t="s">
        <v>472</v>
      </c>
    </row>
    <row r="2129" spans="2:64" ht="15">
      <c r="B2129" s="84"/>
      <c r="D2129" s="84"/>
      <c r="E2129" s="84"/>
      <c r="F2129" s="84"/>
      <c r="G2129" s="84"/>
      <c r="R2129" s="251"/>
      <c r="S2129" s="251"/>
      <c r="BD2129" s="399">
        <v>2126</v>
      </c>
      <c r="BE2129" s="399" t="s">
        <v>5748</v>
      </c>
      <c r="BF2129" s="251" t="s">
        <v>5749</v>
      </c>
      <c r="BG2129" s="399" t="s">
        <v>429</v>
      </c>
      <c r="BH2129" s="252" t="s">
        <v>430</v>
      </c>
      <c r="BI2129" s="251" t="s">
        <v>334</v>
      </c>
      <c r="BJ2129" s="251" t="s">
        <v>397</v>
      </c>
      <c r="BK2129" s="251" t="s">
        <v>5750</v>
      </c>
      <c r="BL2129" s="251" t="s">
        <v>432</v>
      </c>
    </row>
    <row r="2130" spans="2:64" ht="15">
      <c r="B2130" s="84"/>
      <c r="D2130" s="84"/>
      <c r="E2130" s="84"/>
      <c r="F2130" s="84"/>
      <c r="G2130" s="84"/>
      <c r="R2130" s="251"/>
      <c r="S2130" s="251"/>
      <c r="BD2130" s="399">
        <v>2127</v>
      </c>
      <c r="BE2130" s="399" t="s">
        <v>5751</v>
      </c>
      <c r="BF2130" s="251" t="s">
        <v>5752</v>
      </c>
      <c r="BG2130" s="399" t="s">
        <v>489</v>
      </c>
      <c r="BH2130" s="252" t="s">
        <v>958</v>
      </c>
      <c r="BI2130" s="251" t="s">
        <v>728</v>
      </c>
      <c r="BJ2130" s="251" t="s">
        <v>396</v>
      </c>
      <c r="BK2130" s="251" t="s">
        <v>5753</v>
      </c>
      <c r="BL2130" s="251" t="s">
        <v>493</v>
      </c>
    </row>
    <row r="2131" spans="2:64" ht="15">
      <c r="B2131" s="84"/>
      <c r="D2131" s="84"/>
      <c r="E2131" s="84"/>
      <c r="F2131" s="84"/>
      <c r="G2131" s="84"/>
      <c r="R2131" s="251"/>
      <c r="S2131" s="251"/>
      <c r="BD2131" s="399">
        <v>2128</v>
      </c>
      <c r="BE2131" s="399" t="s">
        <v>5754</v>
      </c>
      <c r="BF2131" s="251" t="s">
        <v>5755</v>
      </c>
      <c r="BG2131" s="399" t="s">
        <v>435</v>
      </c>
      <c r="BH2131" s="252" t="s">
        <v>436</v>
      </c>
      <c r="BI2131" s="251" t="s">
        <v>450</v>
      </c>
      <c r="BJ2131" s="251" t="s">
        <v>407</v>
      </c>
      <c r="BK2131" s="251" t="s">
        <v>5756</v>
      </c>
      <c r="BL2131" s="251" t="s">
        <v>439</v>
      </c>
    </row>
    <row r="2132" spans="2:64" ht="15">
      <c r="B2132" s="84"/>
      <c r="D2132" s="84"/>
      <c r="E2132" s="84"/>
      <c r="F2132" s="84"/>
      <c r="G2132" s="84"/>
      <c r="R2132" s="251"/>
      <c r="S2132" s="251"/>
      <c r="BD2132" s="399">
        <v>2129</v>
      </c>
      <c r="BE2132" s="399" t="s">
        <v>5757</v>
      </c>
      <c r="BF2132" s="251" t="s">
        <v>5758</v>
      </c>
      <c r="BG2132" s="399">
        <v>54</v>
      </c>
      <c r="BH2132" s="252" t="s">
        <v>5759</v>
      </c>
      <c r="BI2132" s="251" t="s">
        <v>365</v>
      </c>
      <c r="BJ2132" s="251" t="s">
        <v>397</v>
      </c>
      <c r="BK2132" s="251" t="s">
        <v>5760</v>
      </c>
      <c r="BL2132" s="251" t="s">
        <v>930</v>
      </c>
    </row>
    <row r="2133" spans="2:64" ht="15">
      <c r="B2133" s="84"/>
      <c r="D2133" s="84"/>
      <c r="E2133" s="84"/>
      <c r="F2133" s="84"/>
      <c r="G2133" s="84"/>
      <c r="R2133" s="251"/>
      <c r="S2133" s="251"/>
      <c r="BD2133" s="399">
        <v>2130</v>
      </c>
      <c r="BE2133" s="399" t="s">
        <v>2500</v>
      </c>
      <c r="BF2133" s="251" t="s">
        <v>5761</v>
      </c>
      <c r="BG2133" s="399" t="s">
        <v>469</v>
      </c>
      <c r="BH2133" s="252" t="s">
        <v>470</v>
      </c>
      <c r="BI2133" s="251" t="s">
        <v>728</v>
      </c>
      <c r="BJ2133" s="251" t="s">
        <v>380</v>
      </c>
      <c r="BK2133" s="251" t="s">
        <v>2501</v>
      </c>
      <c r="BL2133" s="251" t="s">
        <v>472</v>
      </c>
    </row>
    <row r="2134" spans="2:64" ht="15">
      <c r="B2134" s="84"/>
      <c r="D2134" s="84"/>
      <c r="E2134" s="84"/>
      <c r="F2134" s="84"/>
      <c r="G2134" s="84"/>
      <c r="R2134" s="251"/>
      <c r="S2134" s="251"/>
      <c r="BD2134" s="399">
        <v>2131</v>
      </c>
      <c r="BE2134" s="399" t="s">
        <v>5762</v>
      </c>
      <c r="BF2134" s="251" t="s">
        <v>5763</v>
      </c>
      <c r="BG2134" s="399" t="s">
        <v>371</v>
      </c>
      <c r="BH2134" s="252">
        <v>28</v>
      </c>
      <c r="BI2134" s="251" t="s">
        <v>563</v>
      </c>
      <c r="BJ2134" s="251" t="s">
        <v>539</v>
      </c>
      <c r="BK2134" s="251" t="s">
        <v>5764</v>
      </c>
      <c r="BL2134" s="251" t="s">
        <v>375</v>
      </c>
    </row>
    <row r="2135" spans="2:64" ht="15">
      <c r="B2135" s="84"/>
      <c r="D2135" s="84"/>
      <c r="E2135" s="84"/>
      <c r="F2135" s="84"/>
      <c r="G2135" s="84"/>
      <c r="R2135" s="251"/>
      <c r="S2135" s="251"/>
      <c r="BD2135" s="399">
        <v>2132</v>
      </c>
      <c r="BE2135" s="399" t="s">
        <v>5765</v>
      </c>
      <c r="BF2135" s="251" t="s">
        <v>5766</v>
      </c>
      <c r="BG2135" s="399" t="s">
        <v>356</v>
      </c>
      <c r="BH2135" s="252">
        <v>18</v>
      </c>
      <c r="BI2135" s="251" t="s">
        <v>372</v>
      </c>
      <c r="BJ2135" s="251" t="s">
        <v>413</v>
      </c>
      <c r="BK2135" s="251" t="s">
        <v>5767</v>
      </c>
      <c r="BL2135" s="251" t="s">
        <v>360</v>
      </c>
    </row>
    <row r="2136" spans="2:64" ht="15">
      <c r="B2136" s="84"/>
      <c r="D2136" s="84"/>
      <c r="E2136" s="84"/>
      <c r="F2136" s="84"/>
      <c r="G2136" s="84"/>
      <c r="R2136" s="251"/>
      <c r="S2136" s="251"/>
      <c r="BD2136" s="399">
        <v>2133</v>
      </c>
      <c r="BE2136" s="399" t="s">
        <v>1899</v>
      </c>
      <c r="BF2136" s="251" t="s">
        <v>5768</v>
      </c>
      <c r="BG2136" s="399" t="s">
        <v>475</v>
      </c>
      <c r="BH2136" s="252" t="s">
        <v>1631</v>
      </c>
      <c r="BI2136" s="251" t="s">
        <v>728</v>
      </c>
      <c r="BJ2136" s="251" t="s">
        <v>351</v>
      </c>
      <c r="BK2136" s="251" t="s">
        <v>5769</v>
      </c>
      <c r="BL2136" s="251" t="s">
        <v>479</v>
      </c>
    </row>
    <row r="2137" spans="2:64" ht="15">
      <c r="B2137" s="84"/>
      <c r="D2137" s="84"/>
      <c r="E2137" s="84"/>
      <c r="F2137" s="84"/>
      <c r="G2137" s="84"/>
      <c r="R2137" s="251"/>
      <c r="S2137" s="251"/>
      <c r="BD2137" s="399">
        <v>2134</v>
      </c>
      <c r="BE2137" s="399" t="s">
        <v>1722</v>
      </c>
      <c r="BF2137" s="251" t="s">
        <v>5770</v>
      </c>
      <c r="BG2137" s="399" t="s">
        <v>363</v>
      </c>
      <c r="BH2137" s="252" t="s">
        <v>575</v>
      </c>
      <c r="BI2137" s="251" t="s">
        <v>334</v>
      </c>
      <c r="BJ2137" s="251" t="s">
        <v>539</v>
      </c>
      <c r="BK2137" s="251" t="s">
        <v>5771</v>
      </c>
      <c r="BL2137" s="251" t="s">
        <v>368</v>
      </c>
    </row>
    <row r="2138" spans="2:64" ht="15">
      <c r="B2138" s="84"/>
      <c r="D2138" s="84"/>
      <c r="E2138" s="84"/>
      <c r="F2138" s="84"/>
      <c r="G2138" s="84"/>
      <c r="R2138" s="251"/>
      <c r="S2138" s="251"/>
      <c r="BD2138" s="399">
        <v>2135</v>
      </c>
      <c r="BE2138" s="399" t="s">
        <v>5772</v>
      </c>
      <c r="BF2138" s="251" t="s">
        <v>5773</v>
      </c>
      <c r="BG2138" s="399" t="s">
        <v>566</v>
      </c>
      <c r="BH2138" s="252" t="s">
        <v>567</v>
      </c>
      <c r="BI2138" s="251" t="s">
        <v>450</v>
      </c>
      <c r="BJ2138" s="251" t="s">
        <v>380</v>
      </c>
      <c r="BK2138" s="251" t="s">
        <v>5774</v>
      </c>
      <c r="BL2138" s="251" t="s">
        <v>569</v>
      </c>
    </row>
    <row r="2139" spans="2:64" ht="15">
      <c r="B2139" s="84"/>
      <c r="D2139" s="84"/>
      <c r="E2139" s="84"/>
      <c r="F2139" s="84"/>
      <c r="G2139" s="84"/>
      <c r="R2139" s="251"/>
      <c r="S2139" s="251"/>
      <c r="BD2139" s="399">
        <v>2136</v>
      </c>
      <c r="BE2139" s="399" t="s">
        <v>5775</v>
      </c>
      <c r="BF2139" s="251" t="s">
        <v>5776</v>
      </c>
      <c r="BG2139" s="399" t="s">
        <v>356</v>
      </c>
      <c r="BH2139" s="252">
        <v>18</v>
      </c>
      <c r="BI2139" s="251" t="s">
        <v>728</v>
      </c>
      <c r="BJ2139" s="251" t="s">
        <v>413</v>
      </c>
      <c r="BK2139" s="251" t="s">
        <v>5777</v>
      </c>
      <c r="BL2139" s="251" t="s">
        <v>360</v>
      </c>
    </row>
    <row r="2140" spans="2:64" ht="15">
      <c r="B2140" s="84"/>
      <c r="D2140" s="84"/>
      <c r="E2140" s="84"/>
      <c r="F2140" s="84"/>
      <c r="G2140" s="84"/>
      <c r="R2140" s="251"/>
      <c r="S2140" s="251"/>
      <c r="BD2140" s="399">
        <v>2137</v>
      </c>
      <c r="BE2140" s="399" t="s">
        <v>5778</v>
      </c>
      <c r="BF2140" s="251" t="s">
        <v>5779</v>
      </c>
      <c r="BG2140" s="399" t="s">
        <v>489</v>
      </c>
      <c r="BH2140" s="252" t="s">
        <v>639</v>
      </c>
      <c r="BI2140" s="251" t="s">
        <v>873</v>
      </c>
      <c r="BJ2140" s="251" t="s">
        <v>380</v>
      </c>
      <c r="BK2140" s="251" t="s">
        <v>5780</v>
      </c>
      <c r="BL2140" s="251" t="s">
        <v>493</v>
      </c>
    </row>
    <row r="2141" spans="2:64" ht="15">
      <c r="B2141" s="84"/>
      <c r="D2141" s="84"/>
      <c r="E2141" s="84"/>
      <c r="F2141" s="84"/>
      <c r="G2141" s="84"/>
      <c r="R2141" s="251"/>
      <c r="S2141" s="251"/>
      <c r="BD2141" s="399">
        <v>2138</v>
      </c>
      <c r="BE2141" s="399" t="s">
        <v>5781</v>
      </c>
      <c r="BF2141" s="251" t="s">
        <v>5782</v>
      </c>
      <c r="BG2141" s="399" t="s">
        <v>469</v>
      </c>
      <c r="BH2141" s="252" t="s">
        <v>662</v>
      </c>
      <c r="BI2141" s="251" t="s">
        <v>615</v>
      </c>
      <c r="BJ2141" s="251" t="s">
        <v>366</v>
      </c>
      <c r="BK2141" s="251" t="s">
        <v>5783</v>
      </c>
      <c r="BL2141" s="251" t="s">
        <v>472</v>
      </c>
    </row>
    <row r="2142" spans="2:64" ht="15">
      <c r="B2142" s="84"/>
      <c r="D2142" s="84"/>
      <c r="E2142" s="84"/>
      <c r="F2142" s="84"/>
      <c r="G2142" s="84"/>
      <c r="R2142" s="251"/>
      <c r="S2142" s="251"/>
      <c r="BD2142" s="399">
        <v>2139</v>
      </c>
      <c r="BE2142" s="399" t="s">
        <v>5784</v>
      </c>
      <c r="BF2142" s="251" t="s">
        <v>5785</v>
      </c>
      <c r="BG2142" s="399" t="s">
        <v>429</v>
      </c>
      <c r="BH2142" s="252" t="s">
        <v>430</v>
      </c>
      <c r="BI2142" s="251" t="s">
        <v>365</v>
      </c>
      <c r="BJ2142" s="251" t="s">
        <v>397</v>
      </c>
      <c r="BK2142" s="251" t="s">
        <v>5786</v>
      </c>
      <c r="BL2142" s="251" t="s">
        <v>432</v>
      </c>
    </row>
    <row r="2143" spans="2:64" ht="15">
      <c r="B2143" s="84"/>
      <c r="D2143" s="84"/>
      <c r="E2143" s="84"/>
      <c r="F2143" s="84"/>
      <c r="G2143" s="84"/>
      <c r="R2143" s="251"/>
      <c r="S2143" s="251"/>
      <c r="BD2143" s="399">
        <v>2140</v>
      </c>
      <c r="BE2143" s="399" t="s">
        <v>5787</v>
      </c>
      <c r="BF2143" s="251" t="s">
        <v>5788</v>
      </c>
      <c r="BG2143" s="399" t="s">
        <v>566</v>
      </c>
      <c r="BH2143" s="252" t="s">
        <v>567</v>
      </c>
      <c r="BI2143" s="251" t="s">
        <v>563</v>
      </c>
      <c r="BJ2143" s="251" t="s">
        <v>539</v>
      </c>
      <c r="BK2143" s="251" t="s">
        <v>5789</v>
      </c>
      <c r="BL2143" s="251" t="s">
        <v>569</v>
      </c>
    </row>
    <row r="2144" spans="2:64" ht="15">
      <c r="B2144" s="84"/>
      <c r="D2144" s="84"/>
      <c r="E2144" s="84"/>
      <c r="F2144" s="84"/>
      <c r="G2144" s="84"/>
      <c r="R2144" s="251"/>
      <c r="S2144" s="251"/>
      <c r="BD2144" s="399">
        <v>2141</v>
      </c>
      <c r="BE2144" s="399" t="s">
        <v>5790</v>
      </c>
      <c r="BF2144" s="251" t="s">
        <v>5791</v>
      </c>
      <c r="BG2144" s="399" t="s">
        <v>363</v>
      </c>
      <c r="BH2144" s="252" t="s">
        <v>364</v>
      </c>
      <c r="BI2144" s="251" t="s">
        <v>563</v>
      </c>
      <c r="BJ2144" s="251" t="s">
        <v>366</v>
      </c>
      <c r="BK2144" s="251" t="s">
        <v>5792</v>
      </c>
      <c r="BL2144" s="251" t="s">
        <v>368</v>
      </c>
    </row>
    <row r="2145" spans="2:64" ht="15">
      <c r="B2145" s="84"/>
      <c r="D2145" s="84"/>
      <c r="E2145" s="84"/>
      <c r="F2145" s="84"/>
      <c r="G2145" s="84"/>
      <c r="R2145" s="251"/>
      <c r="S2145" s="251"/>
      <c r="BD2145" s="399">
        <v>2142</v>
      </c>
      <c r="BE2145" s="399" t="s">
        <v>5793</v>
      </c>
      <c r="BF2145" s="251" t="s">
        <v>5794</v>
      </c>
      <c r="BG2145" s="399" t="s">
        <v>435</v>
      </c>
      <c r="BH2145" s="252" t="s">
        <v>436</v>
      </c>
      <c r="BI2145" s="251" t="s">
        <v>333</v>
      </c>
      <c r="BJ2145" s="251" t="s">
        <v>539</v>
      </c>
      <c r="BK2145" s="251" t="s">
        <v>5795</v>
      </c>
      <c r="BL2145" s="251" t="s">
        <v>439</v>
      </c>
    </row>
    <row r="2146" spans="2:64" ht="15">
      <c r="B2146" s="84"/>
      <c r="D2146" s="84"/>
      <c r="E2146" s="84"/>
      <c r="F2146" s="84"/>
      <c r="G2146" s="84"/>
      <c r="R2146" s="251"/>
      <c r="S2146" s="251"/>
      <c r="BD2146" s="399">
        <v>2143</v>
      </c>
      <c r="BE2146" s="399" t="s">
        <v>5796</v>
      </c>
      <c r="BF2146" s="251" t="s">
        <v>5797</v>
      </c>
      <c r="BG2146" s="399" t="s">
        <v>363</v>
      </c>
      <c r="BH2146" s="252" t="s">
        <v>364</v>
      </c>
      <c r="BI2146" s="251" t="s">
        <v>332</v>
      </c>
      <c r="BJ2146" s="251" t="s">
        <v>366</v>
      </c>
      <c r="BK2146" s="251" t="s">
        <v>5798</v>
      </c>
      <c r="BL2146" s="251" t="s">
        <v>368</v>
      </c>
    </row>
    <row r="2147" spans="2:64" ht="15">
      <c r="B2147" s="84"/>
      <c r="D2147" s="84"/>
      <c r="E2147" s="84"/>
      <c r="F2147" s="84"/>
      <c r="G2147" s="84"/>
      <c r="R2147" s="251"/>
      <c r="S2147" s="251"/>
      <c r="BD2147" s="399">
        <v>2144</v>
      </c>
      <c r="BE2147" s="399" t="s">
        <v>5799</v>
      </c>
      <c r="BF2147" s="251" t="s">
        <v>5800</v>
      </c>
      <c r="BG2147" s="399" t="s">
        <v>405</v>
      </c>
      <c r="BH2147" s="252" t="s">
        <v>1395</v>
      </c>
      <c r="BI2147" s="251" t="s">
        <v>728</v>
      </c>
      <c r="BJ2147" s="251" t="s">
        <v>390</v>
      </c>
      <c r="BK2147" s="251" t="s">
        <v>5801</v>
      </c>
      <c r="BL2147" s="251" t="s">
        <v>409</v>
      </c>
    </row>
    <row r="2148" spans="2:64" ht="15">
      <c r="B2148" s="84"/>
      <c r="D2148" s="84"/>
      <c r="E2148" s="84"/>
      <c r="F2148" s="84"/>
      <c r="G2148" s="84"/>
      <c r="R2148" s="251"/>
      <c r="S2148" s="251"/>
      <c r="BD2148" s="399">
        <v>2145</v>
      </c>
      <c r="BE2148" s="399" t="s">
        <v>5802</v>
      </c>
      <c r="BF2148" s="251" t="s">
        <v>5803</v>
      </c>
      <c r="BG2148" s="399" t="s">
        <v>378</v>
      </c>
      <c r="BH2148" s="252">
        <v>11</v>
      </c>
      <c r="BI2148" s="251" t="s">
        <v>379</v>
      </c>
      <c r="BJ2148" s="251" t="s">
        <v>385</v>
      </c>
      <c r="BK2148" s="251" t="s">
        <v>5804</v>
      </c>
      <c r="BL2148" s="251" t="s">
        <v>382</v>
      </c>
    </row>
    <row r="2149" spans="2:64" ht="15">
      <c r="B2149" s="84"/>
      <c r="D2149" s="84"/>
      <c r="E2149" s="84"/>
      <c r="F2149" s="84"/>
      <c r="G2149" s="84"/>
      <c r="R2149" s="251"/>
      <c r="S2149" s="251"/>
      <c r="BD2149" s="399">
        <v>2146</v>
      </c>
      <c r="BE2149" s="399" t="s">
        <v>5805</v>
      </c>
      <c r="BF2149" s="251" t="s">
        <v>5806</v>
      </c>
      <c r="BG2149" s="399" t="s">
        <v>475</v>
      </c>
      <c r="BH2149" s="252" t="s">
        <v>476</v>
      </c>
      <c r="BI2149" s="251" t="s">
        <v>334</v>
      </c>
      <c r="BJ2149" s="251" t="s">
        <v>390</v>
      </c>
      <c r="BK2149" s="251" t="s">
        <v>5807</v>
      </c>
      <c r="BL2149" s="251" t="s">
        <v>479</v>
      </c>
    </row>
    <row r="2150" spans="2:64" ht="15">
      <c r="B2150" s="84"/>
      <c r="D2150" s="84"/>
      <c r="E2150" s="84"/>
      <c r="F2150" s="84"/>
      <c r="G2150" s="84"/>
      <c r="R2150" s="251"/>
      <c r="S2150" s="251"/>
      <c r="BD2150" s="399">
        <v>2147</v>
      </c>
      <c r="BE2150" s="399" t="s">
        <v>5808</v>
      </c>
      <c r="BF2150" s="251" t="s">
        <v>190</v>
      </c>
      <c r="BG2150" s="399" t="s">
        <v>590</v>
      </c>
      <c r="BH2150" s="252">
        <v>44</v>
      </c>
      <c r="BI2150" s="251" t="s">
        <v>333</v>
      </c>
      <c r="BJ2150" s="251" t="s">
        <v>366</v>
      </c>
      <c r="BK2150" s="251" t="s">
        <v>5809</v>
      </c>
      <c r="BL2150" s="251" t="s">
        <v>592</v>
      </c>
    </row>
    <row r="2151" spans="2:64" ht="15">
      <c r="B2151" s="84"/>
      <c r="D2151" s="84"/>
      <c r="E2151" s="84"/>
      <c r="F2151" s="84"/>
      <c r="G2151" s="84"/>
      <c r="R2151" s="251"/>
      <c r="S2151" s="251"/>
      <c r="BD2151" s="399">
        <v>2148</v>
      </c>
      <c r="BE2151" s="399" t="s">
        <v>5810</v>
      </c>
      <c r="BF2151" s="251" t="s">
        <v>5811</v>
      </c>
      <c r="BG2151" s="399" t="s">
        <v>429</v>
      </c>
      <c r="BH2151" s="252" t="s">
        <v>430</v>
      </c>
      <c r="BI2151" s="251" t="s">
        <v>334</v>
      </c>
      <c r="BJ2151" s="251" t="s">
        <v>351</v>
      </c>
      <c r="BK2151" s="251" t="s">
        <v>5812</v>
      </c>
      <c r="BL2151" s="251" t="s">
        <v>432</v>
      </c>
    </row>
    <row r="2152" spans="2:64" ht="15">
      <c r="B2152" s="84"/>
      <c r="D2152" s="84"/>
      <c r="E2152" s="84"/>
      <c r="F2152" s="84"/>
      <c r="G2152" s="84"/>
      <c r="R2152" s="251"/>
      <c r="S2152" s="251"/>
      <c r="BD2152" s="399">
        <v>2149</v>
      </c>
      <c r="BE2152" s="399" t="s">
        <v>5813</v>
      </c>
      <c r="BF2152" s="251" t="s">
        <v>5814</v>
      </c>
      <c r="BG2152" s="399" t="s">
        <v>519</v>
      </c>
      <c r="BH2152" s="252">
        <v>30</v>
      </c>
      <c r="BI2152" s="251" t="s">
        <v>477</v>
      </c>
      <c r="BJ2152" s="251" t="s">
        <v>351</v>
      </c>
      <c r="BK2152" s="251" t="s">
        <v>5815</v>
      </c>
      <c r="BL2152" s="251" t="s">
        <v>521</v>
      </c>
    </row>
    <row r="2153" spans="2:64" ht="15">
      <c r="B2153" s="84"/>
      <c r="D2153" s="84"/>
      <c r="E2153" s="84"/>
      <c r="F2153" s="84"/>
      <c r="G2153" s="84"/>
      <c r="R2153" s="251"/>
      <c r="S2153" s="251"/>
      <c r="BD2153" s="399">
        <v>2150</v>
      </c>
      <c r="BE2153" s="399" t="s">
        <v>5816</v>
      </c>
      <c r="BF2153" s="251" t="s">
        <v>5817</v>
      </c>
      <c r="BG2153" s="399" t="s">
        <v>602</v>
      </c>
      <c r="BH2153" s="252">
        <v>47</v>
      </c>
      <c r="BI2153" s="251" t="s">
        <v>1257</v>
      </c>
      <c r="BJ2153" s="251" t="s">
        <v>413</v>
      </c>
      <c r="BK2153" s="251" t="s">
        <v>5818</v>
      </c>
      <c r="BL2153" s="251" t="s">
        <v>604</v>
      </c>
    </row>
    <row r="2154" spans="2:64" ht="15">
      <c r="B2154" s="84"/>
      <c r="D2154" s="84"/>
      <c r="E2154" s="84"/>
      <c r="F2154" s="84"/>
      <c r="G2154" s="84"/>
      <c r="R2154" s="251"/>
      <c r="S2154" s="251"/>
      <c r="BD2154" s="399">
        <v>2151</v>
      </c>
      <c r="BE2154" s="399" t="s">
        <v>5819</v>
      </c>
      <c r="BF2154" s="251" t="s">
        <v>5820</v>
      </c>
      <c r="BG2154" s="399" t="s">
        <v>363</v>
      </c>
      <c r="BH2154" s="252" t="s">
        <v>364</v>
      </c>
      <c r="BI2154" s="251" t="s">
        <v>333</v>
      </c>
      <c r="BJ2154" s="251" t="s">
        <v>366</v>
      </c>
      <c r="BK2154" s="251" t="s">
        <v>5821</v>
      </c>
      <c r="BL2154" s="251" t="s">
        <v>368</v>
      </c>
    </row>
    <row r="2155" spans="2:64" ht="15">
      <c r="B2155" s="84"/>
      <c r="D2155" s="84"/>
      <c r="E2155" s="84"/>
      <c r="F2155" s="84"/>
      <c r="G2155" s="84"/>
      <c r="R2155" s="251"/>
      <c r="S2155" s="251"/>
      <c r="BD2155" s="399">
        <v>2152</v>
      </c>
      <c r="BE2155" s="399" t="s">
        <v>5822</v>
      </c>
      <c r="BF2155" s="251" t="s">
        <v>5823</v>
      </c>
      <c r="BG2155" s="399" t="s">
        <v>519</v>
      </c>
      <c r="BH2155" s="252">
        <v>30</v>
      </c>
      <c r="BI2155" s="251" t="s">
        <v>379</v>
      </c>
      <c r="BJ2155" s="251" t="s">
        <v>380</v>
      </c>
      <c r="BK2155" s="251" t="s">
        <v>5824</v>
      </c>
      <c r="BL2155" s="251" t="s">
        <v>521</v>
      </c>
    </row>
    <row r="2156" spans="2:64" ht="15">
      <c r="B2156" s="84"/>
      <c r="D2156" s="84"/>
      <c r="E2156" s="84"/>
      <c r="F2156" s="84"/>
      <c r="G2156" s="84"/>
      <c r="R2156" s="251"/>
      <c r="S2156" s="251"/>
      <c r="BD2156" s="399">
        <v>2153</v>
      </c>
      <c r="BE2156" s="399" t="s">
        <v>5825</v>
      </c>
      <c r="BF2156" s="251" t="s">
        <v>5826</v>
      </c>
      <c r="BG2156" s="399" t="s">
        <v>371</v>
      </c>
      <c r="BH2156" s="252">
        <v>28</v>
      </c>
      <c r="BI2156" s="251" t="s">
        <v>390</v>
      </c>
      <c r="BJ2156" s="251" t="s">
        <v>351</v>
      </c>
      <c r="BK2156" s="251" t="s">
        <v>5827</v>
      </c>
      <c r="BL2156" s="251" t="s">
        <v>375</v>
      </c>
    </row>
    <row r="2157" spans="2:64" ht="15">
      <c r="B2157" s="84"/>
      <c r="D2157" s="84"/>
      <c r="E2157" s="84"/>
      <c r="F2157" s="84"/>
      <c r="G2157" s="84"/>
      <c r="R2157" s="251"/>
      <c r="S2157" s="251"/>
      <c r="BD2157" s="399">
        <v>2154</v>
      </c>
      <c r="BE2157" s="399" t="s">
        <v>5828</v>
      </c>
      <c r="BF2157" s="251" t="s">
        <v>5829</v>
      </c>
      <c r="BG2157" s="399" t="s">
        <v>435</v>
      </c>
      <c r="BH2157" s="252" t="s">
        <v>436</v>
      </c>
      <c r="BI2157" s="251" t="s">
        <v>350</v>
      </c>
      <c r="BJ2157" s="251" t="s">
        <v>351</v>
      </c>
      <c r="BK2157" s="251" t="s">
        <v>5830</v>
      </c>
      <c r="BL2157" s="251" t="s">
        <v>439</v>
      </c>
    </row>
    <row r="2158" spans="2:64" ht="15">
      <c r="B2158" s="84"/>
      <c r="D2158" s="84"/>
      <c r="E2158" s="84"/>
      <c r="F2158" s="84"/>
      <c r="G2158" s="84"/>
      <c r="R2158" s="251"/>
      <c r="S2158" s="251"/>
      <c r="BD2158" s="399">
        <v>2155</v>
      </c>
      <c r="BE2158" s="399" t="s">
        <v>5831</v>
      </c>
      <c r="BF2158" s="251" t="s">
        <v>5832</v>
      </c>
      <c r="BG2158" s="399" t="s">
        <v>475</v>
      </c>
      <c r="BH2158" s="252" t="s">
        <v>534</v>
      </c>
      <c r="BI2158" s="251" t="s">
        <v>456</v>
      </c>
      <c r="BJ2158" s="251" t="s">
        <v>407</v>
      </c>
      <c r="BK2158" s="251" t="s">
        <v>5833</v>
      </c>
      <c r="BL2158" s="251" t="s">
        <v>479</v>
      </c>
    </row>
    <row r="2159" spans="2:64" ht="15">
      <c r="B2159" s="84"/>
      <c r="D2159" s="84"/>
      <c r="E2159" s="84"/>
      <c r="F2159" s="84"/>
      <c r="G2159" s="84"/>
      <c r="R2159" s="251"/>
      <c r="S2159" s="251"/>
      <c r="BD2159" s="399">
        <v>2156</v>
      </c>
      <c r="BE2159" s="399" t="s">
        <v>5834</v>
      </c>
      <c r="BF2159" s="251" t="s">
        <v>5835</v>
      </c>
      <c r="BG2159" s="399" t="s">
        <v>356</v>
      </c>
      <c r="BH2159" s="252" t="s">
        <v>1075</v>
      </c>
      <c r="BI2159" s="251" t="s">
        <v>333</v>
      </c>
      <c r="BJ2159" s="251" t="s">
        <v>407</v>
      </c>
      <c r="BK2159" s="251" t="s">
        <v>5836</v>
      </c>
      <c r="BL2159" s="251" t="s">
        <v>360</v>
      </c>
    </row>
    <row r="2160" spans="2:64" ht="15">
      <c r="B2160" s="84"/>
      <c r="D2160" s="84"/>
      <c r="E2160" s="84"/>
      <c r="F2160" s="84"/>
      <c r="G2160" s="84"/>
      <c r="R2160" s="251"/>
      <c r="S2160" s="251"/>
      <c r="BD2160" s="399">
        <v>2157</v>
      </c>
      <c r="BE2160" s="399" t="s">
        <v>5837</v>
      </c>
      <c r="BF2160" s="251" t="s">
        <v>5838</v>
      </c>
      <c r="BG2160" s="399" t="s">
        <v>405</v>
      </c>
      <c r="BH2160" s="252" t="s">
        <v>528</v>
      </c>
      <c r="BI2160" s="251" t="s">
        <v>445</v>
      </c>
      <c r="BJ2160" s="251" t="s">
        <v>380</v>
      </c>
      <c r="BK2160" s="251" t="s">
        <v>5839</v>
      </c>
      <c r="BL2160" s="251" t="s">
        <v>409</v>
      </c>
    </row>
    <row r="2161" spans="2:64" ht="15">
      <c r="B2161" s="84"/>
      <c r="D2161" s="84"/>
      <c r="E2161" s="84"/>
      <c r="F2161" s="84"/>
      <c r="G2161" s="84"/>
      <c r="R2161" s="251"/>
      <c r="S2161" s="251"/>
      <c r="BD2161" s="399">
        <v>2158</v>
      </c>
      <c r="BE2161" s="399" t="s">
        <v>5840</v>
      </c>
      <c r="BF2161" s="251" t="s">
        <v>5841</v>
      </c>
      <c r="BG2161" s="399" t="s">
        <v>363</v>
      </c>
      <c r="BH2161" s="252" t="s">
        <v>575</v>
      </c>
      <c r="BI2161" s="251" t="s">
        <v>445</v>
      </c>
      <c r="BJ2161" s="251" t="s">
        <v>397</v>
      </c>
      <c r="BK2161" s="251" t="s">
        <v>5842</v>
      </c>
      <c r="BL2161" s="251" t="s">
        <v>368</v>
      </c>
    </row>
    <row r="2162" spans="2:64" ht="15">
      <c r="B2162" s="84"/>
      <c r="D2162" s="84"/>
      <c r="E2162" s="84"/>
      <c r="F2162" s="84"/>
      <c r="G2162" s="84"/>
      <c r="R2162" s="251"/>
      <c r="S2162" s="251"/>
      <c r="BD2162" s="399">
        <v>2159</v>
      </c>
      <c r="BE2162" s="399" t="s">
        <v>5843</v>
      </c>
      <c r="BF2162" s="251" t="s">
        <v>5844</v>
      </c>
      <c r="BG2162" s="399" t="s">
        <v>469</v>
      </c>
      <c r="BH2162" s="252" t="s">
        <v>470</v>
      </c>
      <c r="BI2162" s="251" t="s">
        <v>450</v>
      </c>
      <c r="BJ2162" s="251" t="s">
        <v>397</v>
      </c>
      <c r="BK2162" s="251" t="s">
        <v>5845</v>
      </c>
      <c r="BL2162" s="251" t="s">
        <v>472</v>
      </c>
    </row>
    <row r="2163" spans="2:64" ht="15">
      <c r="B2163" s="84"/>
      <c r="D2163" s="84"/>
      <c r="E2163" s="84"/>
      <c r="F2163" s="84"/>
      <c r="G2163" s="84"/>
      <c r="R2163" s="251"/>
      <c r="S2163" s="251"/>
      <c r="BD2163" s="399">
        <v>2160</v>
      </c>
      <c r="BE2163" s="399" t="s">
        <v>5846</v>
      </c>
      <c r="BF2163" s="251" t="s">
        <v>5847</v>
      </c>
      <c r="BG2163" s="399" t="s">
        <v>378</v>
      </c>
      <c r="BH2163" s="252">
        <v>11</v>
      </c>
      <c r="BI2163" s="251" t="s">
        <v>445</v>
      </c>
      <c r="BJ2163" s="251" t="s">
        <v>396</v>
      </c>
      <c r="BK2163" s="251" t="s">
        <v>5848</v>
      </c>
      <c r="BL2163" s="251" t="s">
        <v>382</v>
      </c>
    </row>
    <row r="2164" spans="2:64" ht="15">
      <c r="B2164" s="84"/>
      <c r="D2164" s="84"/>
      <c r="E2164" s="84"/>
      <c r="F2164" s="84"/>
      <c r="G2164" s="84"/>
      <c r="R2164" s="251"/>
      <c r="S2164" s="251"/>
      <c r="BD2164" s="399">
        <v>2161</v>
      </c>
      <c r="BE2164" s="399" t="s">
        <v>5849</v>
      </c>
      <c r="BF2164" s="251" t="s">
        <v>5850</v>
      </c>
      <c r="BG2164" s="399" t="s">
        <v>395</v>
      </c>
      <c r="BH2164" s="252">
        <v>16</v>
      </c>
      <c r="BI2164" s="251" t="s">
        <v>450</v>
      </c>
      <c r="BJ2164" s="251" t="s">
        <v>366</v>
      </c>
      <c r="BK2164" s="251" t="s">
        <v>5851</v>
      </c>
      <c r="BL2164" s="251" t="s">
        <v>399</v>
      </c>
    </row>
    <row r="2165" spans="2:64" ht="15">
      <c r="B2165" s="84"/>
      <c r="D2165" s="84"/>
      <c r="E2165" s="84"/>
      <c r="F2165" s="84"/>
      <c r="G2165" s="84"/>
      <c r="R2165" s="251"/>
      <c r="S2165" s="251"/>
      <c r="BD2165" s="399">
        <v>2162</v>
      </c>
      <c r="BE2165" s="399" t="s">
        <v>5852</v>
      </c>
      <c r="BF2165" s="251" t="s">
        <v>5853</v>
      </c>
      <c r="BG2165" s="399" t="s">
        <v>435</v>
      </c>
      <c r="BH2165" s="252" t="s">
        <v>436</v>
      </c>
      <c r="BI2165" s="251" t="s">
        <v>2272</v>
      </c>
      <c r="BJ2165" s="251" t="s">
        <v>2032</v>
      </c>
      <c r="BK2165" s="251" t="s">
        <v>5854</v>
      </c>
      <c r="BL2165" s="251" t="s">
        <v>439</v>
      </c>
    </row>
    <row r="2166" spans="2:64" ht="15">
      <c r="B2166" s="84"/>
      <c r="D2166" s="84"/>
      <c r="E2166" s="84"/>
      <c r="F2166" s="84"/>
      <c r="G2166" s="84"/>
      <c r="R2166" s="251"/>
      <c r="S2166" s="251"/>
      <c r="BD2166" s="399">
        <v>2163</v>
      </c>
      <c r="BE2166" s="399" t="s">
        <v>5855</v>
      </c>
      <c r="BF2166" s="251" t="s">
        <v>5856</v>
      </c>
      <c r="BG2166" s="399" t="s">
        <v>405</v>
      </c>
      <c r="BH2166" s="252" t="s">
        <v>412</v>
      </c>
      <c r="BI2166" s="251" t="s">
        <v>491</v>
      </c>
      <c r="BJ2166" s="251" t="s">
        <v>407</v>
      </c>
      <c r="BK2166" s="251" t="s">
        <v>5857</v>
      </c>
      <c r="BL2166" s="251" t="s">
        <v>409</v>
      </c>
    </row>
    <row r="2167" spans="2:64" ht="15">
      <c r="B2167" s="84"/>
      <c r="D2167" s="84"/>
      <c r="E2167" s="84"/>
      <c r="F2167" s="84"/>
      <c r="G2167" s="84"/>
      <c r="R2167" s="251"/>
      <c r="S2167" s="251"/>
      <c r="BD2167" s="399">
        <v>2164</v>
      </c>
      <c r="BE2167" s="399" t="s">
        <v>5858</v>
      </c>
      <c r="BF2167" s="251" t="s">
        <v>5859</v>
      </c>
      <c r="BG2167" s="399" t="s">
        <v>378</v>
      </c>
      <c r="BH2167" s="252">
        <v>11</v>
      </c>
      <c r="BI2167" s="251" t="s">
        <v>357</v>
      </c>
      <c r="BJ2167" s="251" t="s">
        <v>351</v>
      </c>
      <c r="BK2167" s="251" t="s">
        <v>5860</v>
      </c>
      <c r="BL2167" s="251" t="s">
        <v>382</v>
      </c>
    </row>
    <row r="2168" spans="2:64" ht="15">
      <c r="B2168" s="84"/>
      <c r="D2168" s="84"/>
      <c r="E2168" s="84"/>
      <c r="F2168" s="84"/>
      <c r="G2168" s="84"/>
      <c r="R2168" s="251"/>
      <c r="S2168" s="251"/>
      <c r="BD2168" s="399">
        <v>2165</v>
      </c>
      <c r="BE2168" s="399" t="s">
        <v>5861</v>
      </c>
      <c r="BF2168" s="251" t="s">
        <v>5862</v>
      </c>
      <c r="BG2168" s="399" t="s">
        <v>363</v>
      </c>
      <c r="BH2168" s="252" t="s">
        <v>575</v>
      </c>
      <c r="BI2168" s="251" t="s">
        <v>450</v>
      </c>
      <c r="BJ2168" s="251" t="s">
        <v>390</v>
      </c>
      <c r="BK2168" s="251" t="s">
        <v>5863</v>
      </c>
      <c r="BL2168" s="251" t="s">
        <v>368</v>
      </c>
    </row>
    <row r="2169" spans="2:64" ht="15">
      <c r="B2169" s="84"/>
      <c r="D2169" s="84"/>
      <c r="E2169" s="84"/>
      <c r="F2169" s="84"/>
      <c r="G2169" s="84"/>
      <c r="R2169" s="251"/>
      <c r="S2169" s="251"/>
      <c r="BD2169" s="399">
        <v>2166</v>
      </c>
      <c r="BE2169" s="399" t="s">
        <v>5864</v>
      </c>
      <c r="BF2169" s="251" t="s">
        <v>5865</v>
      </c>
      <c r="BG2169" s="399" t="s">
        <v>405</v>
      </c>
      <c r="BH2169" s="252" t="s">
        <v>830</v>
      </c>
      <c r="BI2169" s="251" t="s">
        <v>477</v>
      </c>
      <c r="BJ2169" s="251" t="s">
        <v>539</v>
      </c>
      <c r="BK2169" s="251" t="s">
        <v>5866</v>
      </c>
      <c r="BL2169" s="251" t="s">
        <v>409</v>
      </c>
    </row>
    <row r="2170" spans="2:64" ht="15">
      <c r="B2170" s="84"/>
      <c r="D2170" s="84"/>
      <c r="E2170" s="84"/>
      <c r="F2170" s="84"/>
      <c r="G2170" s="84"/>
      <c r="R2170" s="251"/>
      <c r="S2170" s="251"/>
      <c r="BD2170" s="399">
        <v>2167</v>
      </c>
      <c r="BE2170" s="399" t="s">
        <v>5867</v>
      </c>
      <c r="BF2170" s="251" t="s">
        <v>5868</v>
      </c>
      <c r="BG2170" s="399" t="s">
        <v>363</v>
      </c>
      <c r="BH2170" s="252" t="s">
        <v>575</v>
      </c>
      <c r="BI2170" s="251" t="s">
        <v>1295</v>
      </c>
      <c r="BJ2170" s="251" t="s">
        <v>413</v>
      </c>
      <c r="BK2170" s="251" t="s">
        <v>5869</v>
      </c>
      <c r="BL2170" s="251" t="s">
        <v>368</v>
      </c>
    </row>
    <row r="2171" spans="2:64" ht="15">
      <c r="B2171" s="84"/>
      <c r="D2171" s="84"/>
      <c r="E2171" s="84"/>
      <c r="F2171" s="84"/>
      <c r="G2171" s="84"/>
      <c r="R2171" s="251"/>
      <c r="S2171" s="251"/>
      <c r="BD2171" s="399">
        <v>2168</v>
      </c>
      <c r="BE2171" s="399" t="s">
        <v>2902</v>
      </c>
      <c r="BF2171" s="251" t="s">
        <v>5870</v>
      </c>
      <c r="BG2171" s="399" t="s">
        <v>777</v>
      </c>
      <c r="BH2171" s="252">
        <v>21</v>
      </c>
      <c r="BI2171" s="251" t="s">
        <v>333</v>
      </c>
      <c r="BJ2171" s="251" t="s">
        <v>407</v>
      </c>
      <c r="BK2171" s="251" t="s">
        <v>2903</v>
      </c>
      <c r="BL2171" s="251" t="s">
        <v>780</v>
      </c>
    </row>
    <row r="2172" spans="2:64" ht="15">
      <c r="B2172" s="84"/>
      <c r="D2172" s="84"/>
      <c r="E2172" s="84"/>
      <c r="F2172" s="84"/>
      <c r="G2172" s="84"/>
      <c r="R2172" s="251"/>
      <c r="S2172" s="251"/>
      <c r="BD2172" s="399">
        <v>2169</v>
      </c>
      <c r="BE2172" s="399" t="s">
        <v>5871</v>
      </c>
      <c r="BF2172" s="251" t="s">
        <v>5872</v>
      </c>
      <c r="BG2172" s="399" t="s">
        <v>395</v>
      </c>
      <c r="BH2172" s="252">
        <v>16</v>
      </c>
      <c r="BI2172" s="251" t="s">
        <v>445</v>
      </c>
      <c r="BJ2172" s="251" t="s">
        <v>407</v>
      </c>
      <c r="BK2172" s="251" t="s">
        <v>5873</v>
      </c>
      <c r="BL2172" s="251" t="s">
        <v>399</v>
      </c>
    </row>
    <row r="2173" spans="2:64" ht="15">
      <c r="B2173" s="84"/>
      <c r="D2173" s="84"/>
      <c r="E2173" s="84"/>
      <c r="F2173" s="84"/>
      <c r="G2173" s="84"/>
      <c r="R2173" s="251"/>
      <c r="S2173" s="251"/>
      <c r="BD2173" s="399">
        <v>2170</v>
      </c>
      <c r="BE2173" s="399" t="s">
        <v>5874</v>
      </c>
      <c r="BF2173" s="251" t="s">
        <v>5875</v>
      </c>
      <c r="BG2173" s="399" t="s">
        <v>469</v>
      </c>
      <c r="BH2173" s="252" t="s">
        <v>470</v>
      </c>
      <c r="BI2173" s="251" t="s">
        <v>563</v>
      </c>
      <c r="BJ2173" s="251" t="s">
        <v>385</v>
      </c>
      <c r="BK2173" s="251" t="s">
        <v>5876</v>
      </c>
      <c r="BL2173" s="251" t="s">
        <v>472</v>
      </c>
    </row>
    <row r="2174" spans="2:64" ht="15">
      <c r="B2174" s="84"/>
      <c r="D2174" s="84"/>
      <c r="E2174" s="84"/>
      <c r="F2174" s="84"/>
      <c r="G2174" s="84"/>
      <c r="R2174" s="251"/>
      <c r="S2174" s="251"/>
      <c r="BD2174" s="399">
        <v>2171</v>
      </c>
      <c r="BE2174" s="399" t="s">
        <v>5877</v>
      </c>
      <c r="BF2174" s="251" t="s">
        <v>5878</v>
      </c>
      <c r="BG2174" s="399" t="s">
        <v>423</v>
      </c>
      <c r="BH2174" s="252" t="s">
        <v>424</v>
      </c>
      <c r="BI2174" s="251" t="s">
        <v>456</v>
      </c>
      <c r="BJ2174" s="251" t="s">
        <v>413</v>
      </c>
      <c r="BK2174" s="251" t="s">
        <v>5879</v>
      </c>
      <c r="BL2174" s="251" t="s">
        <v>426</v>
      </c>
    </row>
    <row r="2175" spans="2:64" ht="15">
      <c r="B2175" s="84"/>
      <c r="D2175" s="84"/>
      <c r="E2175" s="84"/>
      <c r="F2175" s="84"/>
      <c r="G2175" s="84"/>
      <c r="R2175" s="251"/>
      <c r="S2175" s="251"/>
      <c r="BD2175" s="399">
        <v>2172</v>
      </c>
      <c r="BE2175" s="399" t="s">
        <v>5880</v>
      </c>
      <c r="BF2175" s="251" t="s">
        <v>5881</v>
      </c>
      <c r="BG2175" s="399" t="s">
        <v>566</v>
      </c>
      <c r="BH2175" s="252" t="s">
        <v>567</v>
      </c>
      <c r="BI2175" s="251" t="s">
        <v>333</v>
      </c>
      <c r="BJ2175" s="251" t="s">
        <v>397</v>
      </c>
      <c r="BK2175" s="251" t="s">
        <v>5882</v>
      </c>
      <c r="BL2175" s="251" t="s">
        <v>569</v>
      </c>
    </row>
    <row r="2176" spans="2:64" ht="15">
      <c r="B2176" s="84"/>
      <c r="D2176" s="84"/>
      <c r="E2176" s="84"/>
      <c r="F2176" s="84"/>
      <c r="G2176" s="84"/>
      <c r="R2176" s="251"/>
      <c r="S2176" s="251"/>
      <c r="BD2176" s="399">
        <v>2173</v>
      </c>
      <c r="BE2176" s="399" t="s">
        <v>5883</v>
      </c>
      <c r="BF2176" s="251" t="s">
        <v>5884</v>
      </c>
      <c r="BG2176" s="399" t="s">
        <v>475</v>
      </c>
      <c r="BH2176" s="252" t="s">
        <v>1631</v>
      </c>
      <c r="BI2176" s="251" t="s">
        <v>357</v>
      </c>
      <c r="BJ2176" s="251" t="s">
        <v>373</v>
      </c>
      <c r="BK2176" s="251" t="s">
        <v>5885</v>
      </c>
      <c r="BL2176" s="251" t="s">
        <v>479</v>
      </c>
    </row>
    <row r="2177" spans="2:64" ht="15">
      <c r="B2177" s="84"/>
      <c r="D2177" s="84"/>
      <c r="E2177" s="84"/>
      <c r="F2177" s="84"/>
      <c r="G2177" s="84"/>
      <c r="R2177" s="251"/>
      <c r="S2177" s="251"/>
      <c r="BD2177" s="399">
        <v>2174</v>
      </c>
      <c r="BE2177" s="399" t="s">
        <v>5886</v>
      </c>
      <c r="BF2177" s="251" t="s">
        <v>5887</v>
      </c>
      <c r="BG2177" s="399" t="s">
        <v>469</v>
      </c>
      <c r="BH2177" s="252" t="s">
        <v>470</v>
      </c>
      <c r="BI2177" s="251" t="s">
        <v>5888</v>
      </c>
      <c r="BJ2177" s="251" t="s">
        <v>413</v>
      </c>
      <c r="BK2177" s="251" t="s">
        <v>5889</v>
      </c>
      <c r="BL2177" s="251" t="s">
        <v>472</v>
      </c>
    </row>
    <row r="2178" spans="2:64" ht="15">
      <c r="B2178" s="84"/>
      <c r="D2178" s="84"/>
      <c r="E2178" s="84"/>
      <c r="F2178" s="84"/>
      <c r="G2178" s="84"/>
      <c r="R2178" s="251"/>
      <c r="S2178" s="251"/>
      <c r="BD2178" s="399">
        <v>2175</v>
      </c>
      <c r="BE2178" s="399" t="s">
        <v>5890</v>
      </c>
      <c r="BF2178" s="251" t="s">
        <v>5891</v>
      </c>
      <c r="BG2178" s="399" t="s">
        <v>623</v>
      </c>
      <c r="BH2178" s="252">
        <v>40</v>
      </c>
      <c r="BI2178" s="251" t="s">
        <v>332</v>
      </c>
      <c r="BJ2178" s="251" t="s">
        <v>380</v>
      </c>
      <c r="BK2178" s="251" t="s">
        <v>5892</v>
      </c>
      <c r="BL2178" s="251" t="s">
        <v>626</v>
      </c>
    </row>
    <row r="2179" spans="2:64" ht="15">
      <c r="B2179" s="84"/>
      <c r="D2179" s="84"/>
      <c r="E2179" s="84"/>
      <c r="F2179" s="84"/>
      <c r="G2179" s="84"/>
      <c r="R2179" s="251"/>
      <c r="S2179" s="251"/>
      <c r="BD2179" s="399">
        <v>2176</v>
      </c>
      <c r="BE2179" s="399" t="s">
        <v>5893</v>
      </c>
      <c r="BF2179" s="251" t="s">
        <v>5894</v>
      </c>
      <c r="BG2179" s="399" t="s">
        <v>469</v>
      </c>
      <c r="BH2179" s="252" t="s">
        <v>662</v>
      </c>
      <c r="BI2179" s="251" t="s">
        <v>456</v>
      </c>
      <c r="BJ2179" s="251" t="s">
        <v>413</v>
      </c>
      <c r="BK2179" s="251" t="s">
        <v>5895</v>
      </c>
      <c r="BL2179" s="251" t="s">
        <v>472</v>
      </c>
    </row>
    <row r="2180" spans="2:64" ht="15">
      <c r="B2180" s="84"/>
      <c r="D2180" s="84"/>
      <c r="E2180" s="84"/>
      <c r="F2180" s="84"/>
      <c r="G2180" s="84"/>
      <c r="R2180" s="251"/>
      <c r="S2180" s="251"/>
      <c r="BD2180" s="399">
        <v>2177</v>
      </c>
      <c r="BE2180" s="399" t="s">
        <v>5896</v>
      </c>
      <c r="BF2180" s="251" t="s">
        <v>5897</v>
      </c>
      <c r="BG2180" s="399" t="s">
        <v>614</v>
      </c>
      <c r="BH2180" s="252">
        <v>38</v>
      </c>
      <c r="BI2180" s="251" t="s">
        <v>332</v>
      </c>
      <c r="BJ2180" s="251" t="s">
        <v>366</v>
      </c>
      <c r="BK2180" s="251" t="s">
        <v>5898</v>
      </c>
      <c r="BL2180" s="251" t="s">
        <v>617</v>
      </c>
    </row>
    <row r="2181" spans="2:64" ht="15">
      <c r="B2181" s="84"/>
      <c r="D2181" s="84"/>
      <c r="E2181" s="84"/>
      <c r="F2181" s="84"/>
      <c r="G2181" s="84"/>
      <c r="R2181" s="251"/>
      <c r="S2181" s="251"/>
      <c r="BD2181" s="399">
        <v>2178</v>
      </c>
      <c r="BE2181" s="399" t="s">
        <v>5899</v>
      </c>
      <c r="BF2181" s="251" t="s">
        <v>5900</v>
      </c>
      <c r="BG2181" s="399" t="s">
        <v>739</v>
      </c>
      <c r="BH2181" s="252">
        <v>45</v>
      </c>
      <c r="BI2181" s="251" t="s">
        <v>332</v>
      </c>
      <c r="BJ2181" s="251" t="s">
        <v>380</v>
      </c>
      <c r="BK2181" s="251" t="s">
        <v>5901</v>
      </c>
      <c r="BL2181" s="251" t="s">
        <v>742</v>
      </c>
    </row>
    <row r="2182" spans="2:64" ht="15">
      <c r="B2182" s="84"/>
      <c r="D2182" s="84"/>
      <c r="E2182" s="84"/>
      <c r="F2182" s="84"/>
      <c r="G2182" s="84"/>
      <c r="R2182" s="251"/>
      <c r="S2182" s="251"/>
      <c r="BD2182" s="399">
        <v>2179</v>
      </c>
      <c r="BE2182" s="399" t="s">
        <v>5902</v>
      </c>
      <c r="BF2182" s="251" t="s">
        <v>5903</v>
      </c>
      <c r="BG2182" s="399" t="s">
        <v>614</v>
      </c>
      <c r="BH2182" s="252">
        <v>38</v>
      </c>
      <c r="BI2182" s="251" t="s">
        <v>615</v>
      </c>
      <c r="BJ2182" s="251" t="s">
        <v>407</v>
      </c>
      <c r="BK2182" s="251" t="s">
        <v>5904</v>
      </c>
      <c r="BL2182" s="251" t="s">
        <v>617</v>
      </c>
    </row>
    <row r="2183" spans="2:64" ht="15">
      <c r="B2183" s="84"/>
      <c r="D2183" s="84"/>
      <c r="E2183" s="84"/>
      <c r="F2183" s="84"/>
      <c r="G2183" s="84"/>
      <c r="R2183" s="251"/>
      <c r="S2183" s="251"/>
      <c r="BD2183" s="399">
        <v>2180</v>
      </c>
      <c r="BE2183" s="399" t="s">
        <v>5905</v>
      </c>
      <c r="BF2183" s="251" t="s">
        <v>5906</v>
      </c>
      <c r="BG2183" s="399" t="s">
        <v>1688</v>
      </c>
      <c r="BH2183" s="252">
        <v>50</v>
      </c>
      <c r="BI2183" s="251" t="s">
        <v>332</v>
      </c>
      <c r="BJ2183" s="251" t="s">
        <v>407</v>
      </c>
      <c r="BK2183" s="251" t="s">
        <v>5907</v>
      </c>
      <c r="BL2183" s="251" t="s">
        <v>1690</v>
      </c>
    </row>
    <row r="2184" spans="2:64" ht="15">
      <c r="B2184" s="84"/>
      <c r="D2184" s="84"/>
      <c r="E2184" s="84"/>
      <c r="F2184" s="84"/>
      <c r="G2184" s="84"/>
      <c r="R2184" s="251"/>
      <c r="S2184" s="251"/>
      <c r="BD2184" s="399">
        <v>2181</v>
      </c>
      <c r="BE2184" s="399" t="s">
        <v>5908</v>
      </c>
      <c r="BF2184" s="251" t="s">
        <v>5909</v>
      </c>
      <c r="BG2184" s="399" t="s">
        <v>371</v>
      </c>
      <c r="BH2184" s="252">
        <v>28</v>
      </c>
      <c r="BI2184" s="251" t="s">
        <v>450</v>
      </c>
      <c r="BJ2184" s="251" t="s">
        <v>385</v>
      </c>
      <c r="BK2184" s="251" t="s">
        <v>5910</v>
      </c>
      <c r="BL2184" s="251" t="s">
        <v>375</v>
      </c>
    </row>
    <row r="2185" spans="2:64" ht="15">
      <c r="B2185" s="84"/>
      <c r="D2185" s="84"/>
      <c r="E2185" s="84"/>
      <c r="F2185" s="84"/>
      <c r="G2185" s="84"/>
      <c r="R2185" s="251"/>
      <c r="S2185" s="251"/>
      <c r="BD2185" s="399">
        <v>2182</v>
      </c>
      <c r="BE2185" s="399" t="s">
        <v>3427</v>
      </c>
      <c r="BF2185" s="251" t="s">
        <v>5911</v>
      </c>
      <c r="BG2185" s="399" t="s">
        <v>475</v>
      </c>
      <c r="BH2185" s="252" t="s">
        <v>510</v>
      </c>
      <c r="BI2185" s="251" t="s">
        <v>583</v>
      </c>
      <c r="BJ2185" s="251" t="s">
        <v>413</v>
      </c>
      <c r="BK2185" s="251" t="s">
        <v>5912</v>
      </c>
      <c r="BL2185" s="251" t="s">
        <v>479</v>
      </c>
    </row>
    <row r="2186" spans="2:64" ht="15">
      <c r="B2186" s="84"/>
      <c r="D2186" s="84"/>
      <c r="E2186" s="84"/>
      <c r="F2186" s="84"/>
      <c r="G2186" s="84"/>
      <c r="R2186" s="251"/>
      <c r="S2186" s="251"/>
      <c r="BD2186" s="399">
        <v>2183</v>
      </c>
      <c r="BE2186" s="399" t="s">
        <v>5913</v>
      </c>
      <c r="BF2186" s="251" t="s">
        <v>5914</v>
      </c>
      <c r="BG2186" s="399" t="s">
        <v>475</v>
      </c>
      <c r="BH2186" s="252" t="s">
        <v>1631</v>
      </c>
      <c r="BI2186" s="251" t="s">
        <v>450</v>
      </c>
      <c r="BJ2186" s="251" t="s">
        <v>380</v>
      </c>
      <c r="BK2186" s="251" t="s">
        <v>5915</v>
      </c>
      <c r="BL2186" s="251" t="s">
        <v>479</v>
      </c>
    </row>
    <row r="2187" spans="2:64" ht="15">
      <c r="B2187" s="84"/>
      <c r="D2187" s="84"/>
      <c r="E2187" s="84"/>
      <c r="F2187" s="84"/>
      <c r="G2187" s="84"/>
      <c r="R2187" s="251"/>
      <c r="S2187" s="251"/>
      <c r="BD2187" s="399">
        <v>2184</v>
      </c>
      <c r="BE2187" s="399" t="s">
        <v>5916</v>
      </c>
      <c r="BF2187" s="251" t="s">
        <v>5917</v>
      </c>
      <c r="BG2187" s="399" t="s">
        <v>566</v>
      </c>
      <c r="BH2187" s="252" t="s">
        <v>567</v>
      </c>
      <c r="BI2187" s="251" t="s">
        <v>5918</v>
      </c>
      <c r="BJ2187" s="251" t="s">
        <v>413</v>
      </c>
      <c r="BK2187" s="251" t="s">
        <v>5919</v>
      </c>
      <c r="BL2187" s="251" t="s">
        <v>569</v>
      </c>
    </row>
    <row r="2188" spans="2:64" ht="15">
      <c r="B2188" s="84"/>
      <c r="D2188" s="84"/>
      <c r="E2188" s="84"/>
      <c r="F2188" s="84"/>
      <c r="G2188" s="84"/>
      <c r="R2188" s="251"/>
      <c r="S2188" s="251"/>
      <c r="BD2188" s="399">
        <v>2185</v>
      </c>
      <c r="BE2188" s="399" t="s">
        <v>5920</v>
      </c>
      <c r="BF2188" s="251" t="s">
        <v>5921</v>
      </c>
      <c r="BG2188" s="399">
        <v>54</v>
      </c>
      <c r="BH2188" s="252" t="s">
        <v>5922</v>
      </c>
      <c r="BI2188" s="251" t="s">
        <v>445</v>
      </c>
      <c r="BJ2188" s="251" t="s">
        <v>351</v>
      </c>
      <c r="BK2188" s="251" t="s">
        <v>5923</v>
      </c>
      <c r="BL2188" s="251" t="s">
        <v>930</v>
      </c>
    </row>
    <row r="2189" spans="2:64" ht="15">
      <c r="B2189" s="84"/>
      <c r="D2189" s="84"/>
      <c r="E2189" s="84"/>
      <c r="F2189" s="84"/>
      <c r="G2189" s="84"/>
      <c r="R2189" s="251"/>
      <c r="S2189" s="251"/>
      <c r="BD2189" s="399">
        <v>2186</v>
      </c>
      <c r="BE2189" s="399" t="s">
        <v>5924</v>
      </c>
      <c r="BF2189" s="251" t="s">
        <v>5925</v>
      </c>
      <c r="BG2189" s="399" t="s">
        <v>566</v>
      </c>
      <c r="BH2189" s="252" t="s">
        <v>1004</v>
      </c>
      <c r="BI2189" s="251" t="s">
        <v>5926</v>
      </c>
      <c r="BJ2189" s="251" t="s">
        <v>413</v>
      </c>
      <c r="BK2189" s="251" t="s">
        <v>5927</v>
      </c>
      <c r="BL2189" s="251" t="s">
        <v>569</v>
      </c>
    </row>
    <row r="2190" spans="2:64" ht="15">
      <c r="B2190" s="84"/>
      <c r="D2190" s="84"/>
      <c r="E2190" s="84"/>
      <c r="F2190" s="84"/>
      <c r="G2190" s="84"/>
      <c r="R2190" s="251"/>
      <c r="S2190" s="251"/>
      <c r="BD2190" s="399">
        <v>2187</v>
      </c>
      <c r="BE2190" s="399" t="s">
        <v>5928</v>
      </c>
      <c r="BF2190" s="251" t="s">
        <v>5929</v>
      </c>
      <c r="BG2190" s="399" t="s">
        <v>614</v>
      </c>
      <c r="BH2190" s="252">
        <v>38</v>
      </c>
      <c r="BI2190" s="251" t="s">
        <v>740</v>
      </c>
      <c r="BJ2190" s="251" t="s">
        <v>413</v>
      </c>
      <c r="BK2190" s="251" t="s">
        <v>5930</v>
      </c>
      <c r="BL2190" s="251" t="s">
        <v>617</v>
      </c>
    </row>
    <row r="2191" spans="2:64" ht="15">
      <c r="B2191" s="84"/>
      <c r="D2191" s="84"/>
      <c r="E2191" s="84"/>
      <c r="F2191" s="84"/>
      <c r="G2191" s="84"/>
      <c r="R2191" s="251"/>
      <c r="S2191" s="251"/>
      <c r="BD2191" s="399">
        <v>2188</v>
      </c>
      <c r="BE2191" s="399" t="s">
        <v>5931</v>
      </c>
      <c r="BF2191" s="251" t="s">
        <v>5932</v>
      </c>
      <c r="BG2191" s="399" t="s">
        <v>475</v>
      </c>
      <c r="BH2191" s="252" t="s">
        <v>1631</v>
      </c>
      <c r="BI2191" s="251" t="s">
        <v>332</v>
      </c>
      <c r="BJ2191" s="251" t="s">
        <v>539</v>
      </c>
      <c r="BK2191" s="251" t="s">
        <v>5933</v>
      </c>
      <c r="BL2191" s="251" t="s">
        <v>479</v>
      </c>
    </row>
    <row r="2192" spans="2:64" ht="15">
      <c r="B2192" s="84"/>
      <c r="D2192" s="84"/>
      <c r="E2192" s="84"/>
      <c r="F2192" s="84"/>
      <c r="G2192" s="84"/>
      <c r="R2192" s="251"/>
      <c r="S2192" s="251"/>
      <c r="BD2192" s="399">
        <v>2189</v>
      </c>
      <c r="BE2192" s="399" t="s">
        <v>5934</v>
      </c>
      <c r="BF2192" s="251" t="s">
        <v>5935</v>
      </c>
      <c r="BG2192" s="399" t="s">
        <v>395</v>
      </c>
      <c r="BH2192" s="252">
        <v>16</v>
      </c>
      <c r="BI2192" s="251" t="s">
        <v>496</v>
      </c>
      <c r="BJ2192" s="251" t="s">
        <v>380</v>
      </c>
      <c r="BK2192" s="251" t="s">
        <v>5936</v>
      </c>
      <c r="BL2192" s="251" t="s">
        <v>399</v>
      </c>
    </row>
    <row r="2193" spans="2:64" ht="15">
      <c r="B2193" s="84"/>
      <c r="D2193" s="84"/>
      <c r="E2193" s="84"/>
      <c r="F2193" s="84"/>
      <c r="G2193" s="84"/>
      <c r="R2193" s="251"/>
      <c r="S2193" s="251"/>
      <c r="BD2193" s="399">
        <v>2190</v>
      </c>
      <c r="BE2193" s="399" t="s">
        <v>5937</v>
      </c>
      <c r="BF2193" s="251" t="s">
        <v>5938</v>
      </c>
      <c r="BG2193" s="399" t="s">
        <v>489</v>
      </c>
      <c r="BH2193" s="252" t="s">
        <v>490</v>
      </c>
      <c r="BI2193" s="251" t="s">
        <v>728</v>
      </c>
      <c r="BJ2193" s="251" t="s">
        <v>366</v>
      </c>
      <c r="BK2193" s="251" t="s">
        <v>5939</v>
      </c>
      <c r="BL2193" s="251" t="s">
        <v>493</v>
      </c>
    </row>
    <row r="2194" spans="2:64" ht="15">
      <c r="B2194" s="84"/>
      <c r="D2194" s="84"/>
      <c r="E2194" s="84"/>
      <c r="F2194" s="84"/>
      <c r="G2194" s="84"/>
      <c r="R2194" s="251"/>
      <c r="S2194" s="251"/>
      <c r="BD2194" s="399">
        <v>2191</v>
      </c>
      <c r="BE2194" s="399" t="s">
        <v>5940</v>
      </c>
      <c r="BF2194" s="251" t="s">
        <v>5941</v>
      </c>
      <c r="BG2194" s="399" t="s">
        <v>566</v>
      </c>
      <c r="BH2194" s="252" t="s">
        <v>567</v>
      </c>
      <c r="BI2194" s="251" t="s">
        <v>450</v>
      </c>
      <c r="BJ2194" s="251" t="s">
        <v>366</v>
      </c>
      <c r="BK2194" s="251" t="s">
        <v>5942</v>
      </c>
      <c r="BL2194" s="251" t="s">
        <v>569</v>
      </c>
    </row>
    <row r="2195" spans="2:64" ht="15">
      <c r="B2195" s="84"/>
      <c r="D2195" s="84"/>
      <c r="E2195" s="84"/>
      <c r="F2195" s="84"/>
      <c r="G2195" s="84"/>
      <c r="R2195" s="251"/>
      <c r="S2195" s="251"/>
      <c r="BD2195" s="399">
        <v>2192</v>
      </c>
      <c r="BE2195" s="399" t="s">
        <v>5943</v>
      </c>
      <c r="BF2195" s="251" t="s">
        <v>5944</v>
      </c>
      <c r="BG2195" s="399" t="s">
        <v>378</v>
      </c>
      <c r="BH2195" s="252">
        <v>11</v>
      </c>
      <c r="BI2195" s="251" t="s">
        <v>477</v>
      </c>
      <c r="BJ2195" s="251" t="s">
        <v>407</v>
      </c>
      <c r="BK2195" s="251" t="s">
        <v>5945</v>
      </c>
      <c r="BL2195" s="251" t="s">
        <v>382</v>
      </c>
    </row>
    <row r="2196" spans="2:64" ht="15">
      <c r="B2196" s="84"/>
      <c r="D2196" s="84"/>
      <c r="E2196" s="84"/>
      <c r="F2196" s="84"/>
      <c r="G2196" s="84"/>
      <c r="R2196" s="251"/>
      <c r="S2196" s="251"/>
      <c r="BD2196" s="399">
        <v>2193</v>
      </c>
      <c r="BE2196" s="399" t="s">
        <v>5946</v>
      </c>
      <c r="BF2196" s="251" t="s">
        <v>5947</v>
      </c>
      <c r="BG2196" s="399" t="s">
        <v>777</v>
      </c>
      <c r="BH2196" s="252">
        <v>21</v>
      </c>
      <c r="BI2196" s="251" t="s">
        <v>563</v>
      </c>
      <c r="BJ2196" s="251" t="s">
        <v>407</v>
      </c>
      <c r="BK2196" s="251" t="s">
        <v>5948</v>
      </c>
      <c r="BL2196" s="251" t="s">
        <v>780</v>
      </c>
    </row>
    <row r="2197" spans="2:64" ht="15">
      <c r="B2197" s="84"/>
      <c r="D2197" s="84"/>
      <c r="E2197" s="84"/>
      <c r="F2197" s="84"/>
      <c r="G2197" s="84"/>
      <c r="R2197" s="251"/>
      <c r="S2197" s="251"/>
      <c r="BD2197" s="399">
        <v>2194</v>
      </c>
      <c r="BE2197" s="399" t="s">
        <v>5949</v>
      </c>
      <c r="BF2197" s="251" t="s">
        <v>5950</v>
      </c>
      <c r="BG2197" s="399" t="s">
        <v>469</v>
      </c>
      <c r="BH2197" s="252" t="s">
        <v>470</v>
      </c>
      <c r="BI2197" s="251" t="s">
        <v>465</v>
      </c>
      <c r="BJ2197" s="251" t="s">
        <v>385</v>
      </c>
      <c r="BK2197" s="251" t="s">
        <v>5951</v>
      </c>
      <c r="BL2197" s="251" t="s">
        <v>472</v>
      </c>
    </row>
    <row r="2198" spans="2:64" ht="15">
      <c r="B2198" s="84"/>
      <c r="D2198" s="84"/>
      <c r="E2198" s="84"/>
      <c r="F2198" s="84"/>
      <c r="G2198" s="84"/>
      <c r="R2198" s="251"/>
      <c r="S2198" s="251"/>
      <c r="BD2198" s="399">
        <v>2195</v>
      </c>
      <c r="BE2198" s="399" t="s">
        <v>5952</v>
      </c>
      <c r="BF2198" s="251" t="s">
        <v>5953</v>
      </c>
      <c r="BG2198" s="399" t="s">
        <v>489</v>
      </c>
      <c r="BH2198" s="252" t="s">
        <v>490</v>
      </c>
      <c r="BI2198" s="251" t="s">
        <v>333</v>
      </c>
      <c r="BJ2198" s="251" t="s">
        <v>407</v>
      </c>
      <c r="BK2198" s="251" t="s">
        <v>5954</v>
      </c>
      <c r="BL2198" s="251" t="s">
        <v>493</v>
      </c>
    </row>
    <row r="2199" spans="2:64" ht="15">
      <c r="B2199" s="84"/>
      <c r="D2199" s="84"/>
      <c r="E2199" s="84"/>
      <c r="F2199" s="84"/>
      <c r="G2199" s="84"/>
      <c r="R2199" s="251"/>
      <c r="S2199" s="251"/>
      <c r="BD2199" s="399">
        <v>2196</v>
      </c>
      <c r="BE2199" s="399" t="s">
        <v>5955</v>
      </c>
      <c r="BF2199" s="251" t="s">
        <v>5956</v>
      </c>
      <c r="BG2199" s="399" t="s">
        <v>435</v>
      </c>
      <c r="BH2199" s="252" t="s">
        <v>436</v>
      </c>
      <c r="BI2199" s="251" t="s">
        <v>615</v>
      </c>
      <c r="BJ2199" s="251" t="s">
        <v>366</v>
      </c>
      <c r="BK2199" s="251" t="s">
        <v>5957</v>
      </c>
      <c r="BL2199" s="251" t="s">
        <v>439</v>
      </c>
    </row>
    <row r="2200" spans="2:64" ht="15">
      <c r="B2200" s="84"/>
      <c r="D2200" s="84"/>
      <c r="E2200" s="84"/>
      <c r="F2200" s="84"/>
      <c r="G2200" s="84"/>
      <c r="R2200" s="251"/>
      <c r="S2200" s="251"/>
      <c r="BD2200" s="399">
        <v>2197</v>
      </c>
      <c r="BE2200" s="399" t="s">
        <v>5958</v>
      </c>
      <c r="BF2200" s="251" t="s">
        <v>5959</v>
      </c>
      <c r="BG2200" s="399" t="s">
        <v>566</v>
      </c>
      <c r="BH2200" s="252" t="s">
        <v>1004</v>
      </c>
      <c r="BI2200" s="251" t="s">
        <v>331</v>
      </c>
      <c r="BJ2200" s="251" t="s">
        <v>539</v>
      </c>
      <c r="BK2200" s="251" t="s">
        <v>5960</v>
      </c>
      <c r="BL2200" s="251" t="s">
        <v>569</v>
      </c>
    </row>
    <row r="2201" spans="2:64" ht="15">
      <c r="B2201" s="84"/>
      <c r="D2201" s="84"/>
      <c r="E2201" s="84"/>
      <c r="F2201" s="84"/>
      <c r="G2201" s="84"/>
      <c r="R2201" s="251"/>
      <c r="S2201" s="251"/>
      <c r="BD2201" s="399">
        <v>2198</v>
      </c>
      <c r="BE2201" s="399" t="s">
        <v>5961</v>
      </c>
      <c r="BF2201" s="251" t="s">
        <v>5962</v>
      </c>
      <c r="BG2201" s="399" t="s">
        <v>395</v>
      </c>
      <c r="BH2201" s="252">
        <v>16</v>
      </c>
      <c r="BI2201" s="251" t="s">
        <v>445</v>
      </c>
      <c r="BJ2201" s="251" t="s">
        <v>380</v>
      </c>
      <c r="BK2201" s="251" t="s">
        <v>5963</v>
      </c>
      <c r="BL2201" s="251" t="s">
        <v>399</v>
      </c>
    </row>
    <row r="2202" spans="2:64" ht="15">
      <c r="B2202" s="84"/>
      <c r="D2202" s="84"/>
      <c r="E2202" s="84"/>
      <c r="F2202" s="84"/>
      <c r="G2202" s="84"/>
      <c r="R2202" s="251"/>
      <c r="S2202" s="251"/>
      <c r="BD2202" s="399">
        <v>2199</v>
      </c>
      <c r="BE2202" s="399" t="s">
        <v>5964</v>
      </c>
      <c r="BF2202" s="251" t="s">
        <v>5965</v>
      </c>
      <c r="BG2202" s="399" t="s">
        <v>519</v>
      </c>
      <c r="BH2202" s="252">
        <v>30</v>
      </c>
      <c r="BI2202" s="251" t="s">
        <v>450</v>
      </c>
      <c r="BJ2202" s="251" t="s">
        <v>385</v>
      </c>
      <c r="BK2202" s="251" t="s">
        <v>5966</v>
      </c>
      <c r="BL2202" s="251" t="s">
        <v>521</v>
      </c>
    </row>
    <row r="2203" spans="2:64" ht="15">
      <c r="B2203" s="84"/>
      <c r="D2203" s="84"/>
      <c r="E2203" s="84"/>
      <c r="F2203" s="84"/>
      <c r="G2203" s="84"/>
      <c r="R2203" s="251"/>
      <c r="S2203" s="251"/>
      <c r="BD2203" s="399">
        <v>2200</v>
      </c>
      <c r="BE2203" s="399" t="s">
        <v>3313</v>
      </c>
      <c r="BF2203" s="251" t="s">
        <v>5967</v>
      </c>
      <c r="BG2203" s="399">
        <v>52</v>
      </c>
      <c r="BH2203" s="252">
        <v>52</v>
      </c>
      <c r="BI2203" s="251" t="s">
        <v>524</v>
      </c>
      <c r="BJ2203" s="251" t="s">
        <v>413</v>
      </c>
      <c r="BK2203" s="251" t="s">
        <v>3314</v>
      </c>
      <c r="BL2203" s="251" t="s">
        <v>1121</v>
      </c>
    </row>
    <row r="2204" spans="2:64" ht="15">
      <c r="B2204" s="84"/>
      <c r="D2204" s="84"/>
      <c r="E2204" s="84"/>
      <c r="F2204" s="84"/>
      <c r="G2204" s="84"/>
      <c r="R2204" s="251"/>
      <c r="S2204" s="251"/>
      <c r="BD2204" s="399">
        <v>2201</v>
      </c>
      <c r="BE2204" s="399" t="s">
        <v>5968</v>
      </c>
      <c r="BF2204" s="251" t="s">
        <v>5969</v>
      </c>
      <c r="BG2204" s="399" t="s">
        <v>405</v>
      </c>
      <c r="BH2204" s="252" t="s">
        <v>528</v>
      </c>
      <c r="BI2204" s="251" t="s">
        <v>445</v>
      </c>
      <c r="BJ2204" s="251" t="s">
        <v>385</v>
      </c>
      <c r="BK2204" s="251" t="s">
        <v>5970</v>
      </c>
      <c r="BL2204" s="251" t="s">
        <v>409</v>
      </c>
    </row>
    <row r="2205" spans="2:64" ht="15">
      <c r="B2205" s="84"/>
      <c r="D2205" s="84"/>
      <c r="E2205" s="84"/>
      <c r="F2205" s="84"/>
      <c r="G2205" s="84"/>
      <c r="R2205" s="251"/>
      <c r="S2205" s="251"/>
      <c r="BD2205" s="399">
        <v>2202</v>
      </c>
      <c r="BE2205" s="399" t="s">
        <v>5971</v>
      </c>
      <c r="BF2205" s="251" t="s">
        <v>5972</v>
      </c>
      <c r="BG2205" s="399" t="s">
        <v>395</v>
      </c>
      <c r="BH2205" s="252">
        <v>16</v>
      </c>
      <c r="BI2205" s="251" t="s">
        <v>615</v>
      </c>
      <c r="BJ2205" s="251" t="s">
        <v>407</v>
      </c>
      <c r="BK2205" s="251" t="s">
        <v>5973</v>
      </c>
      <c r="BL2205" s="251" t="s">
        <v>399</v>
      </c>
    </row>
    <row r="2206" spans="2:64" ht="15">
      <c r="B2206" s="84"/>
      <c r="D2206" s="84"/>
      <c r="E2206" s="84"/>
      <c r="F2206" s="84"/>
      <c r="G2206" s="84"/>
      <c r="R2206" s="251"/>
      <c r="S2206" s="251"/>
      <c r="BD2206" s="399">
        <v>2203</v>
      </c>
      <c r="BE2206" s="399" t="s">
        <v>5974</v>
      </c>
      <c r="BF2206" s="251" t="s">
        <v>5975</v>
      </c>
      <c r="BG2206" s="399" t="s">
        <v>623</v>
      </c>
      <c r="BH2206" s="252">
        <v>40</v>
      </c>
      <c r="BI2206" s="251" t="s">
        <v>331</v>
      </c>
      <c r="BJ2206" s="251" t="s">
        <v>539</v>
      </c>
      <c r="BK2206" s="251" t="s">
        <v>5976</v>
      </c>
      <c r="BL2206" s="251" t="s">
        <v>626</v>
      </c>
    </row>
    <row r="2207" spans="2:64" ht="15">
      <c r="B2207" s="84"/>
      <c r="D2207" s="84"/>
      <c r="E2207" s="84"/>
      <c r="F2207" s="84"/>
      <c r="G2207" s="84"/>
      <c r="R2207" s="251"/>
      <c r="S2207" s="251"/>
      <c r="BD2207" s="399">
        <v>2204</v>
      </c>
      <c r="BE2207" s="399" t="s">
        <v>5977</v>
      </c>
      <c r="BF2207" s="251" t="s">
        <v>5978</v>
      </c>
      <c r="BG2207" s="399" t="s">
        <v>549</v>
      </c>
      <c r="BH2207" s="252">
        <v>41</v>
      </c>
      <c r="BI2207" s="251" t="s">
        <v>728</v>
      </c>
      <c r="BJ2207" s="251" t="s">
        <v>351</v>
      </c>
      <c r="BK2207" s="251" t="s">
        <v>5979</v>
      </c>
      <c r="BL2207" s="251" t="s">
        <v>551</v>
      </c>
    </row>
    <row r="2208" spans="2:64" ht="15">
      <c r="B2208" s="84"/>
      <c r="D2208" s="84"/>
      <c r="E2208" s="84"/>
      <c r="F2208" s="84"/>
      <c r="G2208" s="84"/>
      <c r="R2208" s="251"/>
      <c r="S2208" s="251"/>
      <c r="BD2208" s="399">
        <v>2205</v>
      </c>
      <c r="BE2208" s="399" t="s">
        <v>5980</v>
      </c>
      <c r="BF2208" s="251" t="s">
        <v>5981</v>
      </c>
      <c r="BG2208" s="399" t="s">
        <v>395</v>
      </c>
      <c r="BH2208" s="252">
        <v>16</v>
      </c>
      <c r="BI2208" s="251" t="s">
        <v>535</v>
      </c>
      <c r="BJ2208" s="251" t="s">
        <v>413</v>
      </c>
      <c r="BK2208" s="251" t="s">
        <v>5982</v>
      </c>
      <c r="BL2208" s="251" t="s">
        <v>399</v>
      </c>
    </row>
    <row r="2209" spans="2:64" ht="15">
      <c r="B2209" s="84"/>
      <c r="D2209" s="84"/>
      <c r="E2209" s="84"/>
      <c r="F2209" s="84"/>
      <c r="G2209" s="84"/>
      <c r="R2209" s="251"/>
      <c r="S2209" s="251"/>
      <c r="BD2209" s="399">
        <v>2206</v>
      </c>
      <c r="BE2209" s="399" t="s">
        <v>5983</v>
      </c>
      <c r="BF2209" s="251" t="s">
        <v>5984</v>
      </c>
      <c r="BG2209" s="399" t="s">
        <v>549</v>
      </c>
      <c r="BH2209" s="252">
        <v>41</v>
      </c>
      <c r="BI2209" s="251" t="s">
        <v>365</v>
      </c>
      <c r="BJ2209" s="251" t="s">
        <v>380</v>
      </c>
      <c r="BK2209" s="251" t="s">
        <v>5985</v>
      </c>
      <c r="BL2209" s="251" t="s">
        <v>551</v>
      </c>
    </row>
    <row r="2210" spans="2:64" ht="15">
      <c r="B2210" s="84"/>
      <c r="D2210" s="84"/>
      <c r="E2210" s="84"/>
      <c r="F2210" s="84"/>
      <c r="G2210" s="84"/>
      <c r="R2210" s="251"/>
      <c r="S2210" s="251"/>
      <c r="BD2210" s="399">
        <v>2207</v>
      </c>
      <c r="BE2210" s="399" t="s">
        <v>5986</v>
      </c>
      <c r="BF2210" s="251" t="s">
        <v>5987</v>
      </c>
      <c r="BG2210" s="399" t="s">
        <v>423</v>
      </c>
      <c r="BH2210" s="252" t="s">
        <v>424</v>
      </c>
      <c r="BI2210" s="251" t="s">
        <v>583</v>
      </c>
      <c r="BJ2210" s="251" t="s">
        <v>413</v>
      </c>
      <c r="BK2210" s="251" t="s">
        <v>5988</v>
      </c>
      <c r="BL2210" s="251" t="s">
        <v>426</v>
      </c>
    </row>
    <row r="2211" spans="2:64" ht="15">
      <c r="B2211" s="84"/>
      <c r="D2211" s="84"/>
      <c r="E2211" s="84"/>
      <c r="F2211" s="84"/>
      <c r="G2211" s="84"/>
      <c r="R2211" s="251"/>
      <c r="S2211" s="251"/>
      <c r="BD2211" s="399">
        <v>2208</v>
      </c>
      <c r="BE2211" s="399" t="s">
        <v>5989</v>
      </c>
      <c r="BF2211" s="251" t="s">
        <v>5990</v>
      </c>
      <c r="BG2211" s="399" t="s">
        <v>435</v>
      </c>
      <c r="BH2211" s="252" t="s">
        <v>436</v>
      </c>
      <c r="BI2211" s="251" t="s">
        <v>465</v>
      </c>
      <c r="BJ2211" s="251" t="s">
        <v>385</v>
      </c>
      <c r="BK2211" s="251" t="s">
        <v>5991</v>
      </c>
      <c r="BL2211" s="251" t="s">
        <v>439</v>
      </c>
    </row>
    <row r="2212" spans="2:64" ht="15">
      <c r="B2212" s="84"/>
      <c r="D2212" s="84"/>
      <c r="E2212" s="84"/>
      <c r="F2212" s="84"/>
      <c r="G2212" s="84"/>
      <c r="R2212" s="251"/>
      <c r="S2212" s="251"/>
      <c r="BD2212" s="399">
        <v>2209</v>
      </c>
      <c r="BE2212" s="399" t="s">
        <v>5992</v>
      </c>
      <c r="BF2212" s="251" t="s">
        <v>5993</v>
      </c>
      <c r="BG2212" s="399" t="s">
        <v>405</v>
      </c>
      <c r="BH2212" s="252" t="s">
        <v>528</v>
      </c>
      <c r="BI2212" s="251" t="s">
        <v>445</v>
      </c>
      <c r="BJ2212" s="251" t="s">
        <v>366</v>
      </c>
      <c r="BK2212" s="251" t="s">
        <v>5994</v>
      </c>
      <c r="BL2212" s="251" t="s">
        <v>409</v>
      </c>
    </row>
    <row r="2213" spans="2:64" ht="15">
      <c r="B2213" s="84"/>
      <c r="D2213" s="84"/>
      <c r="E2213" s="84"/>
      <c r="F2213" s="84"/>
      <c r="G2213" s="84"/>
      <c r="R2213" s="251"/>
      <c r="S2213" s="251"/>
      <c r="BD2213" s="399">
        <v>2210</v>
      </c>
      <c r="BE2213" s="399" t="s">
        <v>5995</v>
      </c>
      <c r="BF2213" s="251" t="s">
        <v>5996</v>
      </c>
      <c r="BG2213" s="399" t="s">
        <v>363</v>
      </c>
      <c r="BH2213" s="252" t="s">
        <v>364</v>
      </c>
      <c r="BI2213" s="251" t="s">
        <v>456</v>
      </c>
      <c r="BJ2213" s="251" t="s">
        <v>366</v>
      </c>
      <c r="BK2213" s="251" t="s">
        <v>5997</v>
      </c>
      <c r="BL2213" s="251" t="s">
        <v>368</v>
      </c>
    </row>
    <row r="2214" spans="2:64" ht="15">
      <c r="B2214" s="84"/>
      <c r="D2214" s="84"/>
      <c r="E2214" s="84"/>
      <c r="F2214" s="84"/>
      <c r="G2214" s="84"/>
      <c r="R2214" s="251"/>
      <c r="S2214" s="251"/>
      <c r="BD2214" s="399">
        <v>2211</v>
      </c>
      <c r="BE2214" s="399" t="s">
        <v>1748</v>
      </c>
      <c r="BF2214" s="251" t="s">
        <v>5998</v>
      </c>
      <c r="BG2214" s="399" t="s">
        <v>363</v>
      </c>
      <c r="BH2214" s="252">
        <v>8</v>
      </c>
      <c r="BI2214" s="251" t="s">
        <v>332</v>
      </c>
      <c r="BJ2214" s="251" t="s">
        <v>539</v>
      </c>
      <c r="BK2214" s="251" t="s">
        <v>5999</v>
      </c>
      <c r="BL2214" s="251" t="s">
        <v>368</v>
      </c>
    </row>
    <row r="2215" spans="2:64" ht="15">
      <c r="B2215" s="84"/>
      <c r="D2215" s="84"/>
      <c r="E2215" s="84"/>
      <c r="F2215" s="84"/>
      <c r="G2215" s="84"/>
      <c r="R2215" s="251"/>
      <c r="S2215" s="251"/>
      <c r="BD2215" s="399">
        <v>2212</v>
      </c>
      <c r="BE2215" s="399" t="s">
        <v>6000</v>
      </c>
      <c r="BF2215" s="251" t="s">
        <v>6001</v>
      </c>
      <c r="BG2215" s="399" t="s">
        <v>429</v>
      </c>
      <c r="BH2215" s="252" t="s">
        <v>430</v>
      </c>
      <c r="BI2215" s="251" t="s">
        <v>740</v>
      </c>
      <c r="BJ2215" s="251" t="s">
        <v>413</v>
      </c>
      <c r="BK2215" s="251" t="s">
        <v>6002</v>
      </c>
      <c r="BL2215" s="251" t="s">
        <v>432</v>
      </c>
    </row>
    <row r="2216" spans="2:64" ht="15">
      <c r="B2216" s="84"/>
      <c r="D2216" s="84"/>
      <c r="E2216" s="84"/>
      <c r="F2216" s="84"/>
      <c r="G2216" s="84"/>
      <c r="R2216" s="251"/>
      <c r="S2216" s="251"/>
      <c r="BD2216" s="399">
        <v>2213</v>
      </c>
      <c r="BE2216" s="399" t="s">
        <v>6003</v>
      </c>
      <c r="BF2216" s="251" t="s">
        <v>6004</v>
      </c>
      <c r="BG2216" s="399" t="s">
        <v>395</v>
      </c>
      <c r="BH2216" s="252">
        <v>16</v>
      </c>
      <c r="BI2216" s="251" t="s">
        <v>332</v>
      </c>
      <c r="BJ2216" s="251" t="s">
        <v>366</v>
      </c>
      <c r="BK2216" s="251" t="s">
        <v>6005</v>
      </c>
      <c r="BL2216" s="251" t="s">
        <v>399</v>
      </c>
    </row>
    <row r="2217" spans="2:64" ht="15">
      <c r="B2217" s="84"/>
      <c r="D2217" s="84"/>
      <c r="E2217" s="84"/>
      <c r="F2217" s="84"/>
      <c r="G2217" s="84"/>
      <c r="R2217" s="251"/>
      <c r="S2217" s="251"/>
      <c r="BD2217" s="399">
        <v>2214</v>
      </c>
      <c r="BE2217" s="399" t="s">
        <v>2456</v>
      </c>
      <c r="BF2217" s="251" t="s">
        <v>6006</v>
      </c>
      <c r="BG2217" s="399" t="s">
        <v>469</v>
      </c>
      <c r="BH2217" s="252" t="s">
        <v>470</v>
      </c>
      <c r="BI2217" s="251" t="s">
        <v>331</v>
      </c>
      <c r="BJ2217" s="251" t="s">
        <v>380</v>
      </c>
      <c r="BK2217" s="251" t="s">
        <v>6007</v>
      </c>
      <c r="BL2217" s="251" t="s">
        <v>472</v>
      </c>
    </row>
    <row r="2218" spans="2:64" ht="15">
      <c r="B2218" s="84"/>
      <c r="D2218" s="84"/>
      <c r="E2218" s="84"/>
      <c r="F2218" s="84"/>
      <c r="G2218" s="84"/>
      <c r="R2218" s="251"/>
      <c r="S2218" s="251"/>
      <c r="BD2218" s="399">
        <v>2215</v>
      </c>
      <c r="BE2218" s="399" t="s">
        <v>6008</v>
      </c>
      <c r="BF2218" s="251" t="s">
        <v>6009</v>
      </c>
      <c r="BG2218" s="399" t="s">
        <v>371</v>
      </c>
      <c r="BH2218" s="252">
        <v>28</v>
      </c>
      <c r="BI2218" s="251" t="s">
        <v>647</v>
      </c>
      <c r="BJ2218" s="251" t="s">
        <v>366</v>
      </c>
      <c r="BK2218" s="251" t="s">
        <v>6010</v>
      </c>
      <c r="BL2218" s="251" t="s">
        <v>375</v>
      </c>
    </row>
    <row r="2219" spans="2:64" ht="15">
      <c r="B2219" s="84"/>
      <c r="D2219" s="84"/>
      <c r="E2219" s="84"/>
      <c r="F2219" s="84"/>
      <c r="G2219" s="84"/>
      <c r="R2219" s="251"/>
      <c r="S2219" s="251"/>
      <c r="BD2219" s="399">
        <v>2216</v>
      </c>
      <c r="BE2219" s="399" t="s">
        <v>6011</v>
      </c>
      <c r="BF2219" s="251" t="s">
        <v>6012</v>
      </c>
      <c r="BG2219" s="399" t="s">
        <v>475</v>
      </c>
      <c r="BH2219" s="252" t="s">
        <v>476</v>
      </c>
      <c r="BI2219" s="251" t="s">
        <v>332</v>
      </c>
      <c r="BJ2219" s="251" t="s">
        <v>390</v>
      </c>
      <c r="BK2219" s="251" t="s">
        <v>6013</v>
      </c>
      <c r="BL2219" s="251" t="s">
        <v>479</v>
      </c>
    </row>
    <row r="2220" spans="2:64" ht="15">
      <c r="B2220" s="84"/>
      <c r="D2220" s="84"/>
      <c r="E2220" s="84"/>
      <c r="F2220" s="84"/>
      <c r="G2220" s="84"/>
      <c r="R2220" s="251"/>
      <c r="S2220" s="251"/>
      <c r="BD2220" s="399">
        <v>2217</v>
      </c>
      <c r="BE2220" s="399" t="s">
        <v>6014</v>
      </c>
      <c r="BF2220" s="251" t="s">
        <v>6015</v>
      </c>
      <c r="BG2220" s="399" t="s">
        <v>423</v>
      </c>
      <c r="BH2220" s="252" t="s">
        <v>424</v>
      </c>
      <c r="BI2220" s="251" t="s">
        <v>445</v>
      </c>
      <c r="BJ2220" s="251" t="s">
        <v>539</v>
      </c>
      <c r="BK2220" s="251" t="s">
        <v>6016</v>
      </c>
      <c r="BL2220" s="251" t="s">
        <v>426</v>
      </c>
    </row>
    <row r="2221" spans="2:64" ht="15">
      <c r="B2221" s="84"/>
      <c r="D2221" s="84"/>
      <c r="E2221" s="84"/>
      <c r="F2221" s="84"/>
      <c r="G2221" s="84"/>
      <c r="R2221" s="251"/>
      <c r="S2221" s="251"/>
      <c r="BD2221" s="399">
        <v>2218</v>
      </c>
      <c r="BE2221" s="399" t="s">
        <v>6017</v>
      </c>
      <c r="BF2221" s="251" t="s">
        <v>6018</v>
      </c>
      <c r="BG2221" s="399" t="s">
        <v>371</v>
      </c>
      <c r="BH2221" s="252">
        <v>28</v>
      </c>
      <c r="BI2221" s="251" t="s">
        <v>350</v>
      </c>
      <c r="BJ2221" s="251" t="s">
        <v>366</v>
      </c>
      <c r="BK2221" s="251" t="s">
        <v>6019</v>
      </c>
      <c r="BL2221" s="251" t="s">
        <v>375</v>
      </c>
    </row>
    <row r="2222" spans="2:64" ht="15">
      <c r="B2222" s="84"/>
      <c r="D2222" s="84"/>
      <c r="E2222" s="84"/>
      <c r="F2222" s="84"/>
      <c r="G2222" s="84"/>
      <c r="R2222" s="251"/>
      <c r="S2222" s="251"/>
      <c r="BD2222" s="399">
        <v>2219</v>
      </c>
      <c r="BE2222" s="399" t="s">
        <v>6020</v>
      </c>
      <c r="BF2222" s="251" t="s">
        <v>6021</v>
      </c>
      <c r="BG2222" s="399" t="s">
        <v>623</v>
      </c>
      <c r="BH2222" s="252">
        <v>40</v>
      </c>
      <c r="BI2222" s="251" t="s">
        <v>491</v>
      </c>
      <c r="BJ2222" s="251" t="s">
        <v>351</v>
      </c>
      <c r="BK2222" s="251" t="s">
        <v>6022</v>
      </c>
      <c r="BL2222" s="251" t="s">
        <v>626</v>
      </c>
    </row>
    <row r="2223" spans="2:64" ht="15">
      <c r="B2223" s="84"/>
      <c r="D2223" s="84"/>
      <c r="E2223" s="84"/>
      <c r="F2223" s="84"/>
      <c r="G2223" s="84"/>
      <c r="R2223" s="251"/>
      <c r="S2223" s="251"/>
      <c r="BD2223" s="399">
        <v>2220</v>
      </c>
      <c r="BE2223" s="399" t="s">
        <v>963</v>
      </c>
      <c r="BF2223" s="251" t="s">
        <v>6023</v>
      </c>
      <c r="BG2223" s="399" t="s">
        <v>363</v>
      </c>
      <c r="BH2223" s="252" t="s">
        <v>575</v>
      </c>
      <c r="BI2223" s="251" t="s">
        <v>333</v>
      </c>
      <c r="BJ2223" s="251" t="s">
        <v>407</v>
      </c>
      <c r="BK2223" s="251" t="s">
        <v>6024</v>
      </c>
      <c r="BL2223" s="251" t="s">
        <v>368</v>
      </c>
    </row>
    <row r="2224" spans="2:64" ht="15">
      <c r="B2224" s="84"/>
      <c r="D2224" s="84"/>
      <c r="E2224" s="84"/>
      <c r="F2224" s="84"/>
      <c r="G2224" s="84"/>
      <c r="R2224" s="251"/>
      <c r="S2224" s="251"/>
      <c r="BD2224" s="399">
        <v>2221</v>
      </c>
      <c r="BE2224" s="399" t="s">
        <v>6025</v>
      </c>
      <c r="BF2224" s="251" t="s">
        <v>6026</v>
      </c>
      <c r="BG2224" s="399" t="s">
        <v>423</v>
      </c>
      <c r="BH2224" s="252" t="s">
        <v>424</v>
      </c>
      <c r="BI2224" s="251" t="s">
        <v>445</v>
      </c>
      <c r="BJ2224" s="251" t="s">
        <v>366</v>
      </c>
      <c r="BK2224" s="251" t="s">
        <v>6027</v>
      </c>
      <c r="BL2224" s="251" t="s">
        <v>426</v>
      </c>
    </row>
    <row r="2225" spans="2:64" ht="15">
      <c r="B2225" s="84"/>
      <c r="D2225" s="84"/>
      <c r="E2225" s="84"/>
      <c r="F2225" s="84"/>
      <c r="G2225" s="84"/>
      <c r="R2225" s="251"/>
      <c r="S2225" s="251"/>
      <c r="BD2225" s="399">
        <v>2222</v>
      </c>
      <c r="BE2225" s="399" t="s">
        <v>6028</v>
      </c>
      <c r="BF2225" s="251" t="s">
        <v>6029</v>
      </c>
      <c r="BG2225" s="399" t="s">
        <v>475</v>
      </c>
      <c r="BH2225" s="252" t="s">
        <v>476</v>
      </c>
      <c r="BI2225" s="251" t="s">
        <v>450</v>
      </c>
      <c r="BJ2225" s="251" t="s">
        <v>366</v>
      </c>
      <c r="BK2225" s="251" t="s">
        <v>6030</v>
      </c>
      <c r="BL2225" s="251" t="s">
        <v>479</v>
      </c>
    </row>
    <row r="2226" spans="2:64" ht="15">
      <c r="B2226" s="84"/>
      <c r="D2226" s="84"/>
      <c r="E2226" s="84"/>
      <c r="F2226" s="84"/>
      <c r="G2226" s="84"/>
      <c r="R2226" s="251"/>
      <c r="S2226" s="251"/>
      <c r="BD2226" s="399">
        <v>2223</v>
      </c>
      <c r="BE2226" s="399" t="s">
        <v>6031</v>
      </c>
      <c r="BF2226" s="251" t="s">
        <v>6032</v>
      </c>
      <c r="BG2226" s="399" t="s">
        <v>395</v>
      </c>
      <c r="BH2226" s="252">
        <v>16</v>
      </c>
      <c r="BI2226" s="251" t="s">
        <v>563</v>
      </c>
      <c r="BJ2226" s="251" t="s">
        <v>380</v>
      </c>
      <c r="BK2226" s="251" t="s">
        <v>6033</v>
      </c>
      <c r="BL2226" s="251" t="s">
        <v>399</v>
      </c>
    </row>
    <row r="2227" spans="2:64" ht="15">
      <c r="B2227" s="84"/>
      <c r="D2227" s="84"/>
      <c r="E2227" s="84"/>
      <c r="F2227" s="84"/>
      <c r="G2227" s="84"/>
      <c r="R2227" s="251"/>
      <c r="S2227" s="251"/>
      <c r="BD2227" s="399">
        <v>2224</v>
      </c>
      <c r="BE2227" s="399" t="s">
        <v>6034</v>
      </c>
      <c r="BF2227" s="251" t="s">
        <v>6035</v>
      </c>
      <c r="BG2227" s="399" t="s">
        <v>489</v>
      </c>
      <c r="BH2227" s="252" t="s">
        <v>490</v>
      </c>
      <c r="BI2227" s="251" t="s">
        <v>465</v>
      </c>
      <c r="BJ2227" s="251" t="s">
        <v>1385</v>
      </c>
      <c r="BK2227" s="251" t="s">
        <v>6036</v>
      </c>
      <c r="BL2227" s="251" t="s">
        <v>493</v>
      </c>
    </row>
    <row r="2228" spans="2:64" ht="15">
      <c r="B2228" s="84"/>
      <c r="D2228" s="84"/>
      <c r="E2228" s="84"/>
      <c r="F2228" s="84"/>
      <c r="G2228" s="84"/>
      <c r="R2228" s="251"/>
      <c r="S2228" s="251"/>
      <c r="BD2228" s="399">
        <v>2225</v>
      </c>
      <c r="BE2228" s="399" t="s">
        <v>6037</v>
      </c>
      <c r="BF2228" s="251" t="s">
        <v>6038</v>
      </c>
      <c r="BG2228" s="399" t="s">
        <v>405</v>
      </c>
      <c r="BH2228" s="252" t="s">
        <v>406</v>
      </c>
      <c r="BI2228" s="251" t="s">
        <v>6039</v>
      </c>
      <c r="BJ2228" s="251" t="s">
        <v>407</v>
      </c>
      <c r="BK2228" s="251" t="s">
        <v>6040</v>
      </c>
      <c r="BL2228" s="251" t="s">
        <v>409</v>
      </c>
    </row>
    <row r="2229" spans="2:64" ht="15">
      <c r="B2229" s="84"/>
      <c r="D2229" s="84"/>
      <c r="E2229" s="84"/>
      <c r="F2229" s="84"/>
      <c r="G2229" s="84"/>
      <c r="R2229" s="251"/>
      <c r="S2229" s="251"/>
      <c r="BD2229" s="399">
        <v>2226</v>
      </c>
      <c r="BE2229" s="399" t="s">
        <v>6041</v>
      </c>
      <c r="BF2229" s="251" t="s">
        <v>6042</v>
      </c>
      <c r="BG2229" s="399" t="s">
        <v>623</v>
      </c>
      <c r="BH2229" s="252">
        <v>40</v>
      </c>
      <c r="BI2229" s="251" t="s">
        <v>332</v>
      </c>
      <c r="BJ2229" s="251" t="s">
        <v>539</v>
      </c>
      <c r="BK2229" s="251" t="s">
        <v>6043</v>
      </c>
      <c r="BL2229" s="251" t="s">
        <v>626</v>
      </c>
    </row>
    <row r="2230" spans="2:64" ht="15">
      <c r="B2230" s="84"/>
      <c r="D2230" s="84"/>
      <c r="E2230" s="84"/>
      <c r="F2230" s="84"/>
      <c r="G2230" s="84"/>
      <c r="R2230" s="251"/>
      <c r="S2230" s="251"/>
      <c r="BD2230" s="399">
        <v>2227</v>
      </c>
      <c r="BE2230" s="399" t="s">
        <v>6044</v>
      </c>
      <c r="BF2230" s="251" t="s">
        <v>6045</v>
      </c>
      <c r="BG2230" s="399" t="s">
        <v>519</v>
      </c>
      <c r="BH2230" s="252">
        <v>30</v>
      </c>
      <c r="BI2230" s="251" t="s">
        <v>379</v>
      </c>
      <c r="BJ2230" s="251" t="s">
        <v>396</v>
      </c>
      <c r="BK2230" s="251" t="s">
        <v>6046</v>
      </c>
      <c r="BL2230" s="251" t="s">
        <v>521</v>
      </c>
    </row>
    <row r="2231" spans="2:64" ht="15">
      <c r="B2231" s="84"/>
      <c r="D2231" s="84"/>
      <c r="E2231" s="84"/>
      <c r="F2231" s="84"/>
      <c r="G2231" s="84"/>
      <c r="R2231" s="251"/>
      <c r="S2231" s="251"/>
      <c r="BD2231" s="399">
        <v>2228</v>
      </c>
      <c r="BE2231" s="399" t="s">
        <v>5320</v>
      </c>
      <c r="BF2231" s="251" t="s">
        <v>6047</v>
      </c>
      <c r="BG2231" s="399" t="s">
        <v>489</v>
      </c>
      <c r="BH2231" s="252" t="s">
        <v>860</v>
      </c>
      <c r="BI2231" s="251" t="s">
        <v>365</v>
      </c>
      <c r="BJ2231" s="251" t="s">
        <v>366</v>
      </c>
      <c r="BK2231" s="251" t="s">
        <v>6048</v>
      </c>
      <c r="BL2231" s="251" t="s">
        <v>493</v>
      </c>
    </row>
    <row r="2232" spans="2:64" ht="15">
      <c r="B2232" s="84"/>
      <c r="D2232" s="84"/>
      <c r="E2232" s="84"/>
      <c r="F2232" s="84"/>
      <c r="G2232" s="84"/>
      <c r="R2232" s="251"/>
      <c r="S2232" s="251"/>
      <c r="BD2232" s="399">
        <v>2229</v>
      </c>
      <c r="BE2232" s="399" t="s">
        <v>6049</v>
      </c>
      <c r="BF2232" s="251" t="s">
        <v>6050</v>
      </c>
      <c r="BG2232" s="399" t="s">
        <v>405</v>
      </c>
      <c r="BH2232" s="252" t="s">
        <v>1267</v>
      </c>
      <c r="BI2232" s="251" t="s">
        <v>332</v>
      </c>
      <c r="BJ2232" s="251" t="s">
        <v>413</v>
      </c>
      <c r="BK2232" s="251" t="s">
        <v>6051</v>
      </c>
      <c r="BL2232" s="251" t="s">
        <v>409</v>
      </c>
    </row>
    <row r="2233" spans="2:64" ht="15">
      <c r="B2233" s="84"/>
      <c r="D2233" s="84"/>
      <c r="E2233" s="84"/>
      <c r="F2233" s="84"/>
      <c r="G2233" s="84"/>
      <c r="R2233" s="251"/>
      <c r="S2233" s="251"/>
      <c r="BD2233" s="399">
        <v>2230</v>
      </c>
      <c r="BE2233" s="399" t="s">
        <v>6052</v>
      </c>
      <c r="BF2233" s="251" t="s">
        <v>6053</v>
      </c>
      <c r="BG2233" s="399" t="s">
        <v>423</v>
      </c>
      <c r="BH2233" s="252" t="s">
        <v>424</v>
      </c>
      <c r="BI2233" s="251" t="s">
        <v>728</v>
      </c>
      <c r="BJ2233" s="251" t="s">
        <v>366</v>
      </c>
      <c r="BK2233" s="251" t="s">
        <v>6054</v>
      </c>
      <c r="BL2233" s="251" t="s">
        <v>426</v>
      </c>
    </row>
    <row r="2234" spans="2:64" ht="15">
      <c r="B2234" s="84"/>
      <c r="D2234" s="84"/>
      <c r="E2234" s="84"/>
      <c r="F2234" s="84"/>
      <c r="G2234" s="84"/>
      <c r="R2234" s="251"/>
      <c r="S2234" s="251"/>
      <c r="BD2234" s="399">
        <v>2231</v>
      </c>
      <c r="BE2234" s="399" t="s">
        <v>6055</v>
      </c>
      <c r="BF2234" s="251" t="s">
        <v>6056</v>
      </c>
      <c r="BG2234" s="399" t="s">
        <v>469</v>
      </c>
      <c r="BH2234" s="252" t="s">
        <v>470</v>
      </c>
      <c r="BI2234" s="251" t="s">
        <v>333</v>
      </c>
      <c r="BJ2234" s="251" t="s">
        <v>539</v>
      </c>
      <c r="BK2234" s="251" t="s">
        <v>6057</v>
      </c>
      <c r="BL2234" s="251" t="s">
        <v>472</v>
      </c>
    </row>
    <row r="2235" spans="2:64" ht="15">
      <c r="B2235" s="84"/>
      <c r="D2235" s="84"/>
      <c r="E2235" s="84"/>
      <c r="F2235" s="84"/>
      <c r="G2235" s="84"/>
      <c r="R2235" s="251"/>
      <c r="S2235" s="251"/>
      <c r="BD2235" s="399">
        <v>2232</v>
      </c>
      <c r="BE2235" s="399" t="s">
        <v>6058</v>
      </c>
      <c r="BF2235" s="251" t="s">
        <v>6059</v>
      </c>
      <c r="BG2235" s="399" t="s">
        <v>405</v>
      </c>
      <c r="BH2235" s="252" t="s">
        <v>6060</v>
      </c>
      <c r="BI2235" s="251" t="s">
        <v>334</v>
      </c>
      <c r="BJ2235" s="251" t="s">
        <v>539</v>
      </c>
      <c r="BK2235" s="251" t="s">
        <v>6061</v>
      </c>
      <c r="BL2235" s="251" t="s">
        <v>409</v>
      </c>
    </row>
    <row r="2236" spans="2:64" ht="15">
      <c r="B2236" s="84"/>
      <c r="D2236" s="84"/>
      <c r="E2236" s="84"/>
      <c r="F2236" s="84"/>
      <c r="G2236" s="84"/>
      <c r="R2236" s="251"/>
      <c r="S2236" s="251"/>
      <c r="BD2236" s="399">
        <v>2233</v>
      </c>
      <c r="BE2236" s="399" t="s">
        <v>6062</v>
      </c>
      <c r="BF2236" s="251" t="s">
        <v>6063</v>
      </c>
      <c r="BG2236" s="399" t="s">
        <v>363</v>
      </c>
      <c r="BH2236" s="252" t="s">
        <v>364</v>
      </c>
      <c r="BI2236" s="251" t="s">
        <v>379</v>
      </c>
      <c r="BJ2236" s="251" t="s">
        <v>407</v>
      </c>
      <c r="BK2236" s="251" t="s">
        <v>6064</v>
      </c>
      <c r="BL2236" s="251" t="s">
        <v>368</v>
      </c>
    </row>
    <row r="2237" spans="2:64" ht="15">
      <c r="B2237" s="84"/>
      <c r="D2237" s="84"/>
      <c r="E2237" s="84"/>
      <c r="F2237" s="84"/>
      <c r="G2237" s="84"/>
      <c r="R2237" s="251"/>
      <c r="S2237" s="251"/>
      <c r="BD2237" s="399">
        <v>2234</v>
      </c>
      <c r="BE2237" s="399" t="s">
        <v>2824</v>
      </c>
      <c r="BF2237" s="251" t="s">
        <v>6065</v>
      </c>
      <c r="BG2237" s="399" t="s">
        <v>395</v>
      </c>
      <c r="BH2237" s="252">
        <v>16</v>
      </c>
      <c r="BI2237" s="251" t="s">
        <v>334</v>
      </c>
      <c r="BJ2237" s="251" t="s">
        <v>380</v>
      </c>
      <c r="BK2237" s="251" t="s">
        <v>2825</v>
      </c>
      <c r="BL2237" s="251" t="s">
        <v>399</v>
      </c>
    </row>
    <row r="2238" spans="2:64" ht="15">
      <c r="B2238" s="84"/>
      <c r="D2238" s="84"/>
      <c r="E2238" s="84"/>
      <c r="F2238" s="84"/>
      <c r="G2238" s="84"/>
      <c r="R2238" s="251"/>
      <c r="S2238" s="251"/>
      <c r="BD2238" s="399">
        <v>2235</v>
      </c>
      <c r="BE2238" s="399" t="s">
        <v>2915</v>
      </c>
      <c r="BF2238" s="251" t="s">
        <v>6066</v>
      </c>
      <c r="BG2238" s="399" t="s">
        <v>371</v>
      </c>
      <c r="BH2238" s="252">
        <v>28</v>
      </c>
      <c r="BI2238" s="251" t="s">
        <v>331</v>
      </c>
      <c r="BJ2238" s="251" t="s">
        <v>407</v>
      </c>
      <c r="BK2238" s="251" t="s">
        <v>2916</v>
      </c>
      <c r="BL2238" s="251" t="s">
        <v>375</v>
      </c>
    </row>
    <row r="2239" spans="2:64" ht="15">
      <c r="B2239" s="84"/>
      <c r="D2239" s="84"/>
      <c r="E2239" s="84"/>
      <c r="F2239" s="84"/>
      <c r="G2239" s="84"/>
      <c r="R2239" s="251"/>
      <c r="S2239" s="251"/>
      <c r="BD2239" s="399">
        <v>2236</v>
      </c>
      <c r="BE2239" s="399" t="s">
        <v>6067</v>
      </c>
      <c r="BF2239" s="251" t="s">
        <v>6068</v>
      </c>
      <c r="BG2239" s="399" t="s">
        <v>590</v>
      </c>
      <c r="BH2239" s="252">
        <v>44</v>
      </c>
      <c r="BI2239" s="251" t="s">
        <v>332</v>
      </c>
      <c r="BJ2239" s="251" t="s">
        <v>366</v>
      </c>
      <c r="BK2239" s="251" t="s">
        <v>6069</v>
      </c>
      <c r="BL2239" s="251" t="s">
        <v>592</v>
      </c>
    </row>
    <row r="2240" spans="2:64" ht="15">
      <c r="B2240" s="84"/>
      <c r="D2240" s="84"/>
      <c r="E2240" s="84"/>
      <c r="F2240" s="84"/>
      <c r="G2240" s="84"/>
      <c r="R2240" s="251"/>
      <c r="S2240" s="251"/>
      <c r="BD2240" s="399">
        <v>2237</v>
      </c>
      <c r="BE2240" s="399" t="s">
        <v>6070</v>
      </c>
      <c r="BF2240" s="251" t="s">
        <v>6071</v>
      </c>
      <c r="BG2240" s="399" t="s">
        <v>435</v>
      </c>
      <c r="BH2240" s="252" t="s">
        <v>436</v>
      </c>
      <c r="BI2240" s="251" t="s">
        <v>496</v>
      </c>
      <c r="BJ2240" s="251" t="s">
        <v>385</v>
      </c>
      <c r="BK2240" s="251" t="s">
        <v>6072</v>
      </c>
      <c r="BL2240" s="251" t="s">
        <v>439</v>
      </c>
    </row>
    <row r="2241" spans="2:64" ht="15">
      <c r="B2241" s="84"/>
      <c r="D2241" s="84"/>
      <c r="E2241" s="84"/>
      <c r="F2241" s="84"/>
      <c r="G2241" s="84"/>
      <c r="R2241" s="251"/>
      <c r="S2241" s="251"/>
      <c r="BD2241" s="399">
        <v>2238</v>
      </c>
      <c r="BE2241" s="399" t="s">
        <v>6073</v>
      </c>
      <c r="BF2241" s="251" t="s">
        <v>6074</v>
      </c>
      <c r="BG2241" s="399" t="s">
        <v>435</v>
      </c>
      <c r="BH2241" s="252" t="s">
        <v>436</v>
      </c>
      <c r="BI2241" s="251" t="s">
        <v>445</v>
      </c>
      <c r="BJ2241" s="251" t="s">
        <v>397</v>
      </c>
      <c r="BK2241" s="251" t="s">
        <v>6075</v>
      </c>
      <c r="BL2241" s="251" t="s">
        <v>439</v>
      </c>
    </row>
    <row r="2242" spans="2:64" ht="15">
      <c r="B2242" s="84"/>
      <c r="D2242" s="84"/>
      <c r="E2242" s="84"/>
      <c r="F2242" s="84"/>
      <c r="G2242" s="84"/>
      <c r="R2242" s="251"/>
      <c r="S2242" s="251"/>
      <c r="BD2242" s="399">
        <v>2239</v>
      </c>
      <c r="BE2242" s="399" t="s">
        <v>6076</v>
      </c>
      <c r="BF2242" s="251" t="s">
        <v>6077</v>
      </c>
      <c r="BG2242" s="399" t="s">
        <v>371</v>
      </c>
      <c r="BH2242" s="252">
        <v>28</v>
      </c>
      <c r="BI2242" s="251" t="s">
        <v>563</v>
      </c>
      <c r="BJ2242" s="251" t="s">
        <v>397</v>
      </c>
      <c r="BK2242" s="251" t="s">
        <v>6078</v>
      </c>
      <c r="BL2242" s="251" t="s">
        <v>375</v>
      </c>
    </row>
    <row r="2243" spans="2:64" ht="15">
      <c r="B2243" s="84"/>
      <c r="D2243" s="84"/>
      <c r="E2243" s="84"/>
      <c r="F2243" s="84"/>
      <c r="G2243" s="84"/>
      <c r="R2243" s="251"/>
      <c r="S2243" s="251"/>
      <c r="BD2243" s="399">
        <v>2240</v>
      </c>
      <c r="BE2243" s="399" t="s">
        <v>2555</v>
      </c>
      <c r="BF2243" s="251" t="s">
        <v>6079</v>
      </c>
      <c r="BG2243" s="399" t="s">
        <v>566</v>
      </c>
      <c r="BH2243" s="252" t="s">
        <v>1004</v>
      </c>
      <c r="BI2243" s="251" t="s">
        <v>331</v>
      </c>
      <c r="BJ2243" s="251" t="s">
        <v>380</v>
      </c>
      <c r="BK2243" s="251" t="s">
        <v>5195</v>
      </c>
      <c r="BL2243" s="251" t="s">
        <v>569</v>
      </c>
    </row>
    <row r="2244" spans="2:64" ht="15">
      <c r="B2244" s="84"/>
      <c r="D2244" s="84"/>
      <c r="E2244" s="84"/>
      <c r="F2244" s="84"/>
      <c r="G2244" s="84"/>
      <c r="R2244" s="251"/>
      <c r="S2244" s="251"/>
      <c r="BD2244" s="399">
        <v>2241</v>
      </c>
      <c r="BE2244" s="399" t="s">
        <v>6080</v>
      </c>
      <c r="BF2244" s="251" t="s">
        <v>6081</v>
      </c>
      <c r="BG2244" s="399" t="s">
        <v>378</v>
      </c>
      <c r="BH2244" s="252">
        <v>11</v>
      </c>
      <c r="BI2244" s="251" t="s">
        <v>477</v>
      </c>
      <c r="BJ2244" s="251" t="s">
        <v>380</v>
      </c>
      <c r="BK2244" s="251" t="s">
        <v>6082</v>
      </c>
      <c r="BL2244" s="251" t="s">
        <v>382</v>
      </c>
    </row>
    <row r="2245" spans="2:64" ht="15">
      <c r="B2245" s="84"/>
      <c r="D2245" s="84"/>
      <c r="E2245" s="84"/>
      <c r="F2245" s="84"/>
      <c r="G2245" s="84"/>
      <c r="R2245" s="251"/>
      <c r="S2245" s="251"/>
      <c r="BD2245" s="399">
        <v>2242</v>
      </c>
      <c r="BE2245" s="399" t="s">
        <v>6083</v>
      </c>
      <c r="BF2245" s="251" t="s">
        <v>6084</v>
      </c>
      <c r="BG2245" s="399" t="s">
        <v>423</v>
      </c>
      <c r="BH2245" s="252" t="s">
        <v>424</v>
      </c>
      <c r="BI2245" s="251" t="s">
        <v>2757</v>
      </c>
      <c r="BJ2245" s="251" t="s">
        <v>413</v>
      </c>
      <c r="BK2245" s="251" t="s">
        <v>6085</v>
      </c>
      <c r="BL2245" s="251" t="s">
        <v>426</v>
      </c>
    </row>
    <row r="2246" spans="2:64" ht="15">
      <c r="B2246" s="84"/>
      <c r="D2246" s="84"/>
      <c r="E2246" s="84"/>
      <c r="F2246" s="84"/>
      <c r="G2246" s="84"/>
      <c r="R2246" s="251"/>
      <c r="S2246" s="251"/>
      <c r="BD2246" s="399">
        <v>2243</v>
      </c>
      <c r="BE2246" s="399" t="s">
        <v>6086</v>
      </c>
      <c r="BF2246" s="251" t="s">
        <v>6087</v>
      </c>
      <c r="BG2246" s="399" t="s">
        <v>519</v>
      </c>
      <c r="BH2246" s="252">
        <v>30</v>
      </c>
      <c r="BI2246" s="251" t="s">
        <v>450</v>
      </c>
      <c r="BJ2246" s="251" t="s">
        <v>380</v>
      </c>
      <c r="BK2246" s="251" t="s">
        <v>6088</v>
      </c>
      <c r="BL2246" s="251" t="s">
        <v>521</v>
      </c>
    </row>
    <row r="2247" spans="2:64" ht="15">
      <c r="B2247" s="84"/>
      <c r="D2247" s="84"/>
      <c r="E2247" s="84"/>
      <c r="F2247" s="84"/>
      <c r="G2247" s="84"/>
      <c r="R2247" s="251"/>
      <c r="S2247" s="251"/>
      <c r="BD2247" s="399">
        <v>2244</v>
      </c>
      <c r="BE2247" s="399" t="s">
        <v>6089</v>
      </c>
      <c r="BF2247" s="251" t="s">
        <v>6090</v>
      </c>
      <c r="BG2247" s="399" t="s">
        <v>566</v>
      </c>
      <c r="BH2247" s="252" t="s">
        <v>567</v>
      </c>
      <c r="BI2247" s="251" t="s">
        <v>365</v>
      </c>
      <c r="BJ2247" s="251" t="s">
        <v>380</v>
      </c>
      <c r="BK2247" s="251" t="s">
        <v>6091</v>
      </c>
      <c r="BL2247" s="251" t="s">
        <v>569</v>
      </c>
    </row>
    <row r="2248" spans="2:64" ht="15">
      <c r="B2248" s="84"/>
      <c r="D2248" s="84"/>
      <c r="E2248" s="84"/>
      <c r="F2248" s="84"/>
      <c r="G2248" s="84"/>
      <c r="R2248" s="251"/>
      <c r="S2248" s="251"/>
      <c r="BD2248" s="399">
        <v>2245</v>
      </c>
      <c r="BE2248" s="399" t="s">
        <v>6092</v>
      </c>
      <c r="BF2248" s="251" t="s">
        <v>6093</v>
      </c>
      <c r="BG2248" s="399" t="s">
        <v>435</v>
      </c>
      <c r="BH2248" s="252" t="s">
        <v>436</v>
      </c>
      <c r="BI2248" s="251" t="s">
        <v>379</v>
      </c>
      <c r="BJ2248" s="251" t="s">
        <v>539</v>
      </c>
      <c r="BK2248" s="251" t="s">
        <v>6094</v>
      </c>
      <c r="BL2248" s="251" t="s">
        <v>439</v>
      </c>
    </row>
    <row r="2249" spans="2:64" ht="15">
      <c r="B2249" s="84"/>
      <c r="D2249" s="84"/>
      <c r="E2249" s="84"/>
      <c r="F2249" s="84"/>
      <c r="G2249" s="84"/>
      <c r="R2249" s="251"/>
      <c r="S2249" s="251"/>
      <c r="BD2249" s="399">
        <v>2246</v>
      </c>
      <c r="BE2249" s="399" t="s">
        <v>6095</v>
      </c>
      <c r="BF2249" s="251" t="s">
        <v>6096</v>
      </c>
      <c r="BG2249" s="399" t="s">
        <v>590</v>
      </c>
      <c r="BH2249" s="252">
        <v>44</v>
      </c>
      <c r="BI2249" s="251" t="s">
        <v>332</v>
      </c>
      <c r="BJ2249" s="251" t="s">
        <v>351</v>
      </c>
      <c r="BK2249" s="251" t="s">
        <v>6097</v>
      </c>
      <c r="BL2249" s="251" t="s">
        <v>592</v>
      </c>
    </row>
    <row r="2250" spans="2:64" ht="15">
      <c r="B2250" s="84"/>
      <c r="D2250" s="84"/>
      <c r="E2250" s="84"/>
      <c r="F2250" s="84"/>
      <c r="G2250" s="84"/>
      <c r="R2250" s="251"/>
      <c r="S2250" s="251"/>
      <c r="BD2250" s="399">
        <v>2247</v>
      </c>
      <c r="BE2250" s="399" t="s">
        <v>6098</v>
      </c>
      <c r="BF2250" s="251" t="s">
        <v>6099</v>
      </c>
      <c r="BG2250" s="399" t="s">
        <v>395</v>
      </c>
      <c r="BH2250" s="252">
        <v>16</v>
      </c>
      <c r="BI2250" s="251" t="s">
        <v>333</v>
      </c>
      <c r="BJ2250" s="251" t="s">
        <v>407</v>
      </c>
      <c r="BK2250" s="251" t="s">
        <v>6100</v>
      </c>
      <c r="BL2250" s="251" t="s">
        <v>399</v>
      </c>
    </row>
    <row r="2251" spans="2:64" ht="15">
      <c r="B2251" s="84"/>
      <c r="D2251" s="84"/>
      <c r="E2251" s="84"/>
      <c r="F2251" s="84"/>
      <c r="G2251" s="84"/>
      <c r="R2251" s="251"/>
      <c r="S2251" s="251"/>
      <c r="BD2251" s="399">
        <v>2248</v>
      </c>
      <c r="BE2251" s="399" t="s">
        <v>6101</v>
      </c>
      <c r="BF2251" s="251" t="s">
        <v>6102</v>
      </c>
      <c r="BG2251" s="399" t="s">
        <v>435</v>
      </c>
      <c r="BH2251" s="252" t="s">
        <v>651</v>
      </c>
      <c r="BI2251" s="251" t="s">
        <v>334</v>
      </c>
      <c r="BJ2251" s="251" t="s">
        <v>380</v>
      </c>
      <c r="BK2251" s="251" t="s">
        <v>6103</v>
      </c>
      <c r="BL2251" s="251" t="s">
        <v>439</v>
      </c>
    </row>
    <row r="2252" spans="2:64" ht="15">
      <c r="B2252" s="84"/>
      <c r="D2252" s="84"/>
      <c r="E2252" s="84"/>
      <c r="F2252" s="84"/>
      <c r="G2252" s="84"/>
      <c r="R2252" s="251"/>
      <c r="S2252" s="251"/>
      <c r="BD2252" s="399">
        <v>2249</v>
      </c>
      <c r="BE2252" s="399" t="s">
        <v>6104</v>
      </c>
      <c r="BF2252" s="251" t="s">
        <v>6105</v>
      </c>
      <c r="BG2252" s="399" t="s">
        <v>395</v>
      </c>
      <c r="BH2252" s="252">
        <v>16</v>
      </c>
      <c r="BI2252" s="251" t="s">
        <v>615</v>
      </c>
      <c r="BJ2252" s="251" t="s">
        <v>351</v>
      </c>
      <c r="BK2252" s="251" t="s">
        <v>6106</v>
      </c>
      <c r="BL2252" s="251" t="s">
        <v>399</v>
      </c>
    </row>
    <row r="2253" spans="2:64" ht="15">
      <c r="B2253" s="84"/>
      <c r="D2253" s="84"/>
      <c r="E2253" s="84"/>
      <c r="F2253" s="84"/>
      <c r="G2253" s="84"/>
      <c r="R2253" s="251"/>
      <c r="S2253" s="251"/>
      <c r="BD2253" s="399">
        <v>2250</v>
      </c>
      <c r="BE2253" s="399" t="s">
        <v>6107</v>
      </c>
      <c r="BF2253" s="251" t="s">
        <v>6108</v>
      </c>
      <c r="BG2253" s="399" t="s">
        <v>435</v>
      </c>
      <c r="BH2253" s="252" t="s">
        <v>436</v>
      </c>
      <c r="BI2253" s="251" t="s">
        <v>350</v>
      </c>
      <c r="BJ2253" s="251" t="s">
        <v>390</v>
      </c>
      <c r="BK2253" s="251" t="s">
        <v>6109</v>
      </c>
      <c r="BL2253" s="251" t="s">
        <v>439</v>
      </c>
    </row>
    <row r="2254" spans="2:64" ht="15">
      <c r="B2254" s="84"/>
      <c r="D2254" s="84"/>
      <c r="E2254" s="84"/>
      <c r="F2254" s="84"/>
      <c r="G2254" s="84"/>
      <c r="R2254" s="251"/>
      <c r="S2254" s="251"/>
      <c r="BD2254" s="399">
        <v>2251</v>
      </c>
      <c r="BE2254" s="399" t="s">
        <v>6110</v>
      </c>
      <c r="BF2254" s="251" t="s">
        <v>6111</v>
      </c>
      <c r="BG2254" s="399" t="s">
        <v>378</v>
      </c>
      <c r="BH2254" s="252">
        <v>11</v>
      </c>
      <c r="BI2254" s="251" t="s">
        <v>379</v>
      </c>
      <c r="BJ2254" s="251" t="s">
        <v>351</v>
      </c>
      <c r="BK2254" s="251" t="s">
        <v>6112</v>
      </c>
      <c r="BL2254" s="251" t="s">
        <v>382</v>
      </c>
    </row>
    <row r="2255" spans="2:64" ht="15">
      <c r="B2255" s="84"/>
      <c r="D2255" s="84"/>
      <c r="E2255" s="84"/>
      <c r="F2255" s="84"/>
      <c r="G2255" s="84"/>
      <c r="R2255" s="251"/>
      <c r="S2255" s="251"/>
      <c r="BD2255" s="399">
        <v>2252</v>
      </c>
      <c r="BE2255" s="399" t="s">
        <v>6113</v>
      </c>
      <c r="BF2255" s="251" t="s">
        <v>6114</v>
      </c>
      <c r="BG2255" s="399" t="s">
        <v>614</v>
      </c>
      <c r="BH2255" s="252">
        <v>38</v>
      </c>
      <c r="BI2255" s="251" t="s">
        <v>333</v>
      </c>
      <c r="BJ2255" s="251" t="s">
        <v>380</v>
      </c>
      <c r="BK2255" s="251" t="s">
        <v>6115</v>
      </c>
      <c r="BL2255" s="251" t="s">
        <v>617</v>
      </c>
    </row>
    <row r="2256" spans="2:64" ht="15">
      <c r="B2256" s="84"/>
      <c r="D2256" s="84"/>
      <c r="E2256" s="84"/>
      <c r="F2256" s="84"/>
      <c r="G2256" s="84"/>
      <c r="R2256" s="251"/>
      <c r="S2256" s="251"/>
      <c r="BD2256" s="399">
        <v>2253</v>
      </c>
      <c r="BE2256" s="399" t="s">
        <v>6116</v>
      </c>
      <c r="BF2256" s="251" t="s">
        <v>6117</v>
      </c>
      <c r="BG2256" s="399" t="s">
        <v>395</v>
      </c>
      <c r="BH2256" s="252">
        <v>16</v>
      </c>
      <c r="BI2256" s="251" t="s">
        <v>334</v>
      </c>
      <c r="BJ2256" s="251" t="s">
        <v>351</v>
      </c>
      <c r="BK2256" s="251" t="s">
        <v>6118</v>
      </c>
      <c r="BL2256" s="251" t="s">
        <v>399</v>
      </c>
    </row>
    <row r="2257" spans="2:64" ht="15">
      <c r="B2257" s="84"/>
      <c r="D2257" s="84"/>
      <c r="E2257" s="84"/>
      <c r="F2257" s="84"/>
      <c r="G2257" s="84"/>
      <c r="R2257" s="251"/>
      <c r="S2257" s="251"/>
      <c r="BD2257" s="399">
        <v>2254</v>
      </c>
      <c r="BE2257" s="399" t="s">
        <v>6119</v>
      </c>
      <c r="BF2257" s="251" t="s">
        <v>6120</v>
      </c>
      <c r="BG2257" s="399" t="s">
        <v>623</v>
      </c>
      <c r="BH2257" s="252">
        <v>40</v>
      </c>
      <c r="BI2257" s="251" t="s">
        <v>331</v>
      </c>
      <c r="BJ2257" s="251" t="s">
        <v>380</v>
      </c>
      <c r="BK2257" s="251" t="s">
        <v>6121</v>
      </c>
      <c r="BL2257" s="251" t="s">
        <v>626</v>
      </c>
    </row>
    <row r="2258" spans="2:64" ht="15">
      <c r="B2258" s="84"/>
      <c r="D2258" s="84"/>
      <c r="E2258" s="84"/>
      <c r="F2258" s="84"/>
      <c r="G2258" s="84"/>
      <c r="R2258" s="251"/>
      <c r="S2258" s="251"/>
      <c r="BD2258" s="399">
        <v>2255</v>
      </c>
      <c r="BE2258" s="399" t="s">
        <v>5796</v>
      </c>
      <c r="BF2258" s="251" t="s">
        <v>6122</v>
      </c>
      <c r="BG2258" s="399" t="s">
        <v>363</v>
      </c>
      <c r="BH2258" s="252" t="s">
        <v>575</v>
      </c>
      <c r="BI2258" s="251" t="s">
        <v>332</v>
      </c>
      <c r="BJ2258" s="251" t="s">
        <v>366</v>
      </c>
      <c r="BK2258" s="251" t="s">
        <v>6123</v>
      </c>
      <c r="BL2258" s="251" t="s">
        <v>368</v>
      </c>
    </row>
    <row r="2259" spans="2:64" ht="15">
      <c r="B2259" s="84"/>
      <c r="D2259" s="84"/>
      <c r="E2259" s="84"/>
      <c r="F2259" s="84"/>
      <c r="G2259" s="84"/>
      <c r="R2259" s="251"/>
      <c r="S2259" s="251"/>
      <c r="BD2259" s="399">
        <v>2256</v>
      </c>
      <c r="BE2259" s="399" t="s">
        <v>6124</v>
      </c>
      <c r="BF2259" s="251" t="s">
        <v>6125</v>
      </c>
      <c r="BG2259" s="399" t="s">
        <v>371</v>
      </c>
      <c r="BH2259" s="252">
        <v>28</v>
      </c>
      <c r="BI2259" s="251" t="s">
        <v>563</v>
      </c>
      <c r="BJ2259" s="251" t="s">
        <v>390</v>
      </c>
      <c r="BK2259" s="251" t="s">
        <v>6126</v>
      </c>
      <c r="BL2259" s="251" t="s">
        <v>375</v>
      </c>
    </row>
    <row r="2260" spans="2:64" ht="15">
      <c r="B2260" s="84"/>
      <c r="D2260" s="84"/>
      <c r="E2260" s="84"/>
      <c r="F2260" s="84"/>
      <c r="G2260" s="84"/>
      <c r="R2260" s="251"/>
      <c r="S2260" s="251"/>
      <c r="BD2260" s="399">
        <v>2257</v>
      </c>
      <c r="BE2260" s="399" t="s">
        <v>6127</v>
      </c>
      <c r="BF2260" s="251" t="s">
        <v>6128</v>
      </c>
      <c r="BG2260" s="399" t="s">
        <v>429</v>
      </c>
      <c r="BH2260" s="252" t="s">
        <v>430</v>
      </c>
      <c r="BI2260" s="251" t="s">
        <v>477</v>
      </c>
      <c r="BJ2260" s="251" t="s">
        <v>366</v>
      </c>
      <c r="BK2260" s="251" t="s">
        <v>6129</v>
      </c>
      <c r="BL2260" s="251" t="s">
        <v>432</v>
      </c>
    </row>
    <row r="2261" spans="2:64" ht="15">
      <c r="B2261" s="84"/>
      <c r="D2261" s="84"/>
      <c r="E2261" s="84"/>
      <c r="F2261" s="84"/>
      <c r="G2261" s="84"/>
      <c r="R2261" s="251"/>
      <c r="S2261" s="251"/>
      <c r="BD2261" s="399">
        <v>2258</v>
      </c>
      <c r="BE2261" s="399" t="s">
        <v>6130</v>
      </c>
      <c r="BF2261" s="251" t="s">
        <v>6131</v>
      </c>
      <c r="BG2261" s="399" t="s">
        <v>405</v>
      </c>
      <c r="BH2261" s="252" t="s">
        <v>760</v>
      </c>
      <c r="BI2261" s="251" t="s">
        <v>728</v>
      </c>
      <c r="BJ2261" s="251" t="s">
        <v>385</v>
      </c>
      <c r="BK2261" s="251" t="s">
        <v>6132</v>
      </c>
      <c r="BL2261" s="251" t="s">
        <v>409</v>
      </c>
    </row>
    <row r="2262" spans="2:64" ht="15">
      <c r="B2262" s="84"/>
      <c r="D2262" s="84"/>
      <c r="E2262" s="84"/>
      <c r="F2262" s="84"/>
      <c r="G2262" s="84"/>
      <c r="R2262" s="251"/>
      <c r="S2262" s="251"/>
      <c r="BD2262" s="399">
        <v>2259</v>
      </c>
      <c r="BE2262" s="399" t="s">
        <v>6133</v>
      </c>
      <c r="BF2262" s="251" t="s">
        <v>6134</v>
      </c>
      <c r="BG2262" s="399" t="s">
        <v>549</v>
      </c>
      <c r="BH2262" s="252">
        <v>41</v>
      </c>
      <c r="BI2262" s="251" t="s">
        <v>332</v>
      </c>
      <c r="BJ2262" s="251" t="s">
        <v>366</v>
      </c>
      <c r="BK2262" s="251" t="s">
        <v>6135</v>
      </c>
      <c r="BL2262" s="251" t="s">
        <v>551</v>
      </c>
    </row>
    <row r="2263" spans="2:64" ht="15">
      <c r="B2263" s="84"/>
      <c r="D2263" s="84"/>
      <c r="E2263" s="84"/>
      <c r="F2263" s="84"/>
      <c r="G2263" s="84"/>
      <c r="R2263" s="251"/>
      <c r="S2263" s="251"/>
      <c r="BD2263" s="399">
        <v>2260</v>
      </c>
      <c r="BE2263" s="399" t="s">
        <v>6136</v>
      </c>
      <c r="BF2263" s="251" t="s">
        <v>6137</v>
      </c>
      <c r="BG2263" s="399" t="s">
        <v>435</v>
      </c>
      <c r="BH2263" s="252" t="s">
        <v>436</v>
      </c>
      <c r="BI2263" s="251" t="s">
        <v>477</v>
      </c>
      <c r="BJ2263" s="251" t="s">
        <v>366</v>
      </c>
      <c r="BK2263" s="251" t="s">
        <v>6138</v>
      </c>
      <c r="BL2263" s="251" t="s">
        <v>439</v>
      </c>
    </row>
    <row r="2264" spans="2:64" ht="15">
      <c r="B2264" s="84"/>
      <c r="D2264" s="84"/>
      <c r="E2264" s="84"/>
      <c r="F2264" s="84"/>
      <c r="G2264" s="84"/>
      <c r="R2264" s="251"/>
      <c r="S2264" s="251"/>
      <c r="BD2264" s="399">
        <v>2261</v>
      </c>
      <c r="BE2264" s="399" t="s">
        <v>6139</v>
      </c>
      <c r="BF2264" s="251" t="s">
        <v>6140</v>
      </c>
      <c r="BG2264" s="399" t="s">
        <v>435</v>
      </c>
      <c r="BH2264" s="252" t="s">
        <v>436</v>
      </c>
      <c r="BI2264" s="251" t="s">
        <v>615</v>
      </c>
      <c r="BJ2264" s="251" t="s">
        <v>350</v>
      </c>
      <c r="BK2264" s="251" t="s">
        <v>6141</v>
      </c>
      <c r="BL2264" s="251" t="s">
        <v>439</v>
      </c>
    </row>
    <row r="2265" spans="2:64" ht="15">
      <c r="B2265" s="84"/>
      <c r="D2265" s="84"/>
      <c r="E2265" s="84"/>
      <c r="F2265" s="84"/>
      <c r="G2265" s="84"/>
      <c r="R2265" s="251"/>
      <c r="S2265" s="251"/>
      <c r="BD2265" s="399">
        <v>2262</v>
      </c>
      <c r="BE2265" s="399" t="s">
        <v>981</v>
      </c>
      <c r="BF2265" s="251" t="s">
        <v>6142</v>
      </c>
      <c r="BG2265" s="399" t="s">
        <v>363</v>
      </c>
      <c r="BH2265" s="252" t="s">
        <v>575</v>
      </c>
      <c r="BI2265" s="251" t="s">
        <v>563</v>
      </c>
      <c r="BJ2265" s="251" t="s">
        <v>390</v>
      </c>
      <c r="BK2265" s="251" t="s">
        <v>6143</v>
      </c>
      <c r="BL2265" s="251" t="s">
        <v>368</v>
      </c>
    </row>
    <row r="2266" spans="2:64" ht="15">
      <c r="B2266" s="84"/>
      <c r="D2266" s="84"/>
      <c r="E2266" s="84"/>
      <c r="F2266" s="84"/>
      <c r="G2266" s="84"/>
      <c r="R2266" s="251"/>
      <c r="S2266" s="251"/>
      <c r="BD2266" s="399">
        <v>2263</v>
      </c>
      <c r="BE2266" s="399" t="s">
        <v>6144</v>
      </c>
      <c r="BF2266" s="251" t="s">
        <v>6145</v>
      </c>
      <c r="BG2266" s="399" t="s">
        <v>469</v>
      </c>
      <c r="BH2266" s="252" t="s">
        <v>470</v>
      </c>
      <c r="BI2266" s="251" t="s">
        <v>379</v>
      </c>
      <c r="BJ2266" s="251" t="s">
        <v>407</v>
      </c>
      <c r="BK2266" s="251" t="s">
        <v>6146</v>
      </c>
      <c r="BL2266" s="251" t="s">
        <v>472</v>
      </c>
    </row>
    <row r="2267" spans="2:64" ht="15">
      <c r="B2267" s="84"/>
      <c r="D2267" s="84"/>
      <c r="E2267" s="84"/>
      <c r="F2267" s="84"/>
      <c r="G2267" s="84"/>
      <c r="R2267" s="251"/>
      <c r="S2267" s="251"/>
      <c r="BD2267" s="399">
        <v>2264</v>
      </c>
      <c r="BE2267" s="399" t="s">
        <v>6147</v>
      </c>
      <c r="BF2267" s="251" t="s">
        <v>6148</v>
      </c>
      <c r="BG2267" s="399" t="s">
        <v>435</v>
      </c>
      <c r="BH2267" s="252" t="s">
        <v>436</v>
      </c>
      <c r="BI2267" s="251" t="s">
        <v>615</v>
      </c>
      <c r="BJ2267" s="251" t="s">
        <v>380</v>
      </c>
      <c r="BK2267" s="251" t="s">
        <v>6149</v>
      </c>
      <c r="BL2267" s="251" t="s">
        <v>439</v>
      </c>
    </row>
    <row r="2268" spans="2:64" ht="15">
      <c r="B2268" s="84"/>
      <c r="D2268" s="84"/>
      <c r="E2268" s="84"/>
      <c r="F2268" s="84"/>
      <c r="G2268" s="84"/>
      <c r="R2268" s="251"/>
      <c r="S2268" s="251"/>
      <c r="BD2268" s="399">
        <v>2265</v>
      </c>
      <c r="BE2268" s="399" t="s">
        <v>6150</v>
      </c>
      <c r="BF2268" s="251" t="s">
        <v>6151</v>
      </c>
      <c r="BG2268" s="399" t="s">
        <v>356</v>
      </c>
      <c r="BH2268" s="252">
        <v>18</v>
      </c>
      <c r="BI2268" s="251" t="s">
        <v>465</v>
      </c>
      <c r="BJ2268" s="251" t="s">
        <v>413</v>
      </c>
      <c r="BK2268" s="251" t="s">
        <v>6152</v>
      </c>
      <c r="BL2268" s="251" t="s">
        <v>360</v>
      </c>
    </row>
    <row r="2269" spans="2:64" ht="15">
      <c r="B2269" s="84"/>
      <c r="D2269" s="84"/>
      <c r="E2269" s="84"/>
      <c r="F2269" s="84"/>
      <c r="G2269" s="84"/>
      <c r="R2269" s="251"/>
      <c r="S2269" s="251"/>
      <c r="BD2269" s="399">
        <v>2266</v>
      </c>
      <c r="BE2269" s="399" t="s">
        <v>6153</v>
      </c>
      <c r="BF2269" s="251" t="s">
        <v>6154</v>
      </c>
      <c r="BG2269" s="399" t="s">
        <v>733</v>
      </c>
      <c r="BH2269" s="252" t="s">
        <v>734</v>
      </c>
      <c r="BI2269" s="251" t="s">
        <v>477</v>
      </c>
      <c r="BJ2269" s="251" t="s">
        <v>366</v>
      </c>
      <c r="BK2269" s="251" t="s">
        <v>6155</v>
      </c>
      <c r="BL2269" s="251" t="s">
        <v>736</v>
      </c>
    </row>
    <row r="2270" spans="2:64" ht="15">
      <c r="B2270" s="84"/>
      <c r="D2270" s="84"/>
      <c r="E2270" s="84"/>
      <c r="F2270" s="84"/>
      <c r="G2270" s="84"/>
      <c r="R2270" s="251"/>
      <c r="S2270" s="251"/>
      <c r="BD2270" s="399">
        <v>2267</v>
      </c>
      <c r="BE2270" s="399" t="s">
        <v>1649</v>
      </c>
      <c r="BF2270" s="251" t="s">
        <v>6156</v>
      </c>
      <c r="BG2270" s="399" t="s">
        <v>363</v>
      </c>
      <c r="BH2270" s="252" t="s">
        <v>364</v>
      </c>
      <c r="BI2270" s="251" t="s">
        <v>332</v>
      </c>
      <c r="BJ2270" s="251" t="s">
        <v>385</v>
      </c>
      <c r="BK2270" s="251" t="s">
        <v>6157</v>
      </c>
      <c r="BL2270" s="251" t="s">
        <v>368</v>
      </c>
    </row>
    <row r="2271" spans="2:64" ht="15">
      <c r="B2271" s="84"/>
      <c r="D2271" s="84"/>
      <c r="E2271" s="84"/>
      <c r="F2271" s="84"/>
      <c r="G2271" s="84"/>
      <c r="R2271" s="251"/>
      <c r="S2271" s="251"/>
      <c r="BD2271" s="399">
        <v>2268</v>
      </c>
      <c r="BE2271" s="399" t="s">
        <v>6158</v>
      </c>
      <c r="BF2271" s="251" t="s">
        <v>6159</v>
      </c>
      <c r="BG2271" s="399" t="s">
        <v>423</v>
      </c>
      <c r="BH2271" s="252" t="s">
        <v>424</v>
      </c>
      <c r="BI2271" s="251" t="s">
        <v>563</v>
      </c>
      <c r="BJ2271" s="251" t="s">
        <v>366</v>
      </c>
      <c r="BK2271" s="251" t="s">
        <v>6160</v>
      </c>
      <c r="BL2271" s="251" t="s">
        <v>426</v>
      </c>
    </row>
    <row r="2272" spans="2:64" ht="15">
      <c r="B2272" s="84"/>
      <c r="D2272" s="84"/>
      <c r="E2272" s="84"/>
      <c r="F2272" s="84"/>
      <c r="G2272" s="84"/>
      <c r="R2272" s="251"/>
      <c r="S2272" s="251"/>
      <c r="BD2272" s="399">
        <v>2269</v>
      </c>
      <c r="BE2272" s="399" t="s">
        <v>6161</v>
      </c>
      <c r="BF2272" s="251" t="s">
        <v>6162</v>
      </c>
      <c r="BG2272" s="399" t="s">
        <v>602</v>
      </c>
      <c r="BH2272" s="252" t="s">
        <v>4976</v>
      </c>
      <c r="BI2272" s="251" t="s">
        <v>456</v>
      </c>
      <c r="BJ2272" s="251" t="s">
        <v>413</v>
      </c>
      <c r="BK2272" s="251" t="s">
        <v>6163</v>
      </c>
      <c r="BL2272" s="251" t="s">
        <v>604</v>
      </c>
    </row>
    <row r="2273" spans="2:64" ht="15">
      <c r="B2273" s="84"/>
      <c r="D2273" s="84"/>
      <c r="E2273" s="84"/>
      <c r="F2273" s="84"/>
      <c r="G2273" s="84"/>
      <c r="R2273" s="251"/>
      <c r="S2273" s="251"/>
      <c r="BD2273" s="399">
        <v>2270</v>
      </c>
      <c r="BE2273" s="399" t="s">
        <v>6164</v>
      </c>
      <c r="BF2273" s="251" t="s">
        <v>6165</v>
      </c>
      <c r="BG2273" s="399" t="s">
        <v>405</v>
      </c>
      <c r="BH2273" s="252" t="s">
        <v>830</v>
      </c>
      <c r="BI2273" s="251" t="s">
        <v>350</v>
      </c>
      <c r="BJ2273" s="251" t="s">
        <v>397</v>
      </c>
      <c r="BK2273" s="251" t="s">
        <v>6166</v>
      </c>
      <c r="BL2273" s="251" t="s">
        <v>409</v>
      </c>
    </row>
    <row r="2274" spans="2:64" ht="15">
      <c r="B2274" s="84"/>
      <c r="D2274" s="84"/>
      <c r="E2274" s="84"/>
      <c r="F2274" s="84"/>
      <c r="G2274" s="84"/>
      <c r="R2274" s="251"/>
      <c r="S2274" s="251"/>
      <c r="BD2274" s="399">
        <v>2271</v>
      </c>
      <c r="BE2274" s="399" t="s">
        <v>6167</v>
      </c>
      <c r="BF2274" s="251" t="s">
        <v>6168</v>
      </c>
      <c r="BG2274" s="399" t="s">
        <v>489</v>
      </c>
      <c r="BH2274" s="252" t="s">
        <v>658</v>
      </c>
      <c r="BI2274" s="251" t="s">
        <v>728</v>
      </c>
      <c r="BJ2274" s="251" t="s">
        <v>407</v>
      </c>
      <c r="BK2274" s="251" t="s">
        <v>6169</v>
      </c>
      <c r="BL2274" s="251" t="s">
        <v>493</v>
      </c>
    </row>
    <row r="2275" spans="2:64" ht="15">
      <c r="B2275" s="84"/>
      <c r="D2275" s="84"/>
      <c r="E2275" s="84"/>
      <c r="F2275" s="84"/>
      <c r="G2275" s="84"/>
      <c r="R2275" s="251"/>
      <c r="S2275" s="251"/>
      <c r="BD2275" s="399">
        <v>2272</v>
      </c>
      <c r="BE2275" s="399" t="s">
        <v>6170</v>
      </c>
      <c r="BF2275" s="251" t="s">
        <v>6171</v>
      </c>
      <c r="BG2275" s="399" t="s">
        <v>519</v>
      </c>
      <c r="BH2275" s="252">
        <v>30</v>
      </c>
      <c r="BI2275" s="251" t="s">
        <v>365</v>
      </c>
      <c r="BJ2275" s="251" t="s">
        <v>390</v>
      </c>
      <c r="BK2275" s="251" t="s">
        <v>6172</v>
      </c>
      <c r="BL2275" s="251" t="s">
        <v>521</v>
      </c>
    </row>
    <row r="2276" spans="2:64" ht="15">
      <c r="B2276" s="84"/>
      <c r="D2276" s="84"/>
      <c r="E2276" s="84"/>
      <c r="F2276" s="84"/>
      <c r="G2276" s="84"/>
      <c r="R2276" s="251"/>
      <c r="S2276" s="251"/>
      <c r="BD2276" s="399">
        <v>2273</v>
      </c>
      <c r="BE2276" s="399" t="s">
        <v>6173</v>
      </c>
      <c r="BF2276" s="251" t="s">
        <v>6174</v>
      </c>
      <c r="BG2276" s="399" t="s">
        <v>429</v>
      </c>
      <c r="BH2276" s="252" t="s">
        <v>430</v>
      </c>
      <c r="BI2276" s="251" t="s">
        <v>477</v>
      </c>
      <c r="BJ2276" s="251" t="s">
        <v>397</v>
      </c>
      <c r="BK2276" s="251" t="s">
        <v>6175</v>
      </c>
      <c r="BL2276" s="251" t="s">
        <v>432</v>
      </c>
    </row>
    <row r="2277" spans="2:64" ht="15">
      <c r="B2277" s="84"/>
      <c r="D2277" s="84"/>
      <c r="E2277" s="84"/>
      <c r="F2277" s="84"/>
      <c r="G2277" s="84"/>
      <c r="R2277" s="251"/>
      <c r="S2277" s="251"/>
      <c r="BD2277" s="399">
        <v>2274</v>
      </c>
      <c r="BE2277" s="399" t="s">
        <v>6176</v>
      </c>
      <c r="BF2277" s="251" t="s">
        <v>6177</v>
      </c>
      <c r="BG2277" s="399" t="s">
        <v>371</v>
      </c>
      <c r="BH2277" s="252">
        <v>28</v>
      </c>
      <c r="BI2277" s="251" t="s">
        <v>331</v>
      </c>
      <c r="BJ2277" s="251" t="s">
        <v>380</v>
      </c>
      <c r="BK2277" s="251" t="s">
        <v>6178</v>
      </c>
      <c r="BL2277" s="251" t="s">
        <v>375</v>
      </c>
    </row>
    <row r="2278" spans="2:64" ht="15">
      <c r="B2278" s="84"/>
      <c r="D2278" s="84"/>
      <c r="E2278" s="84"/>
      <c r="F2278" s="84"/>
      <c r="G2278" s="84"/>
      <c r="R2278" s="251"/>
      <c r="S2278" s="251"/>
      <c r="BD2278" s="399">
        <v>2275</v>
      </c>
      <c r="BE2278" s="399" t="s">
        <v>6179</v>
      </c>
      <c r="BF2278" s="251" t="s">
        <v>6180</v>
      </c>
      <c r="BG2278" s="399" t="s">
        <v>378</v>
      </c>
      <c r="BH2278" s="252">
        <v>11</v>
      </c>
      <c r="BI2278" s="251" t="s">
        <v>563</v>
      </c>
      <c r="BJ2278" s="251" t="s">
        <v>380</v>
      </c>
      <c r="BK2278" s="251" t="s">
        <v>6181</v>
      </c>
      <c r="BL2278" s="251" t="s">
        <v>382</v>
      </c>
    </row>
    <row r="2279" spans="2:64" ht="15">
      <c r="B2279" s="84"/>
      <c r="D2279" s="84"/>
      <c r="E2279" s="84"/>
      <c r="F2279" s="84"/>
      <c r="G2279" s="84"/>
      <c r="R2279" s="251"/>
      <c r="S2279" s="251"/>
      <c r="BD2279" s="399">
        <v>2276</v>
      </c>
      <c r="BE2279" s="399" t="s">
        <v>4353</v>
      </c>
      <c r="BF2279" s="251" t="s">
        <v>6182</v>
      </c>
      <c r="BG2279" s="399" t="s">
        <v>469</v>
      </c>
      <c r="BH2279" s="252" t="s">
        <v>470</v>
      </c>
      <c r="BI2279" s="251" t="s">
        <v>583</v>
      </c>
      <c r="BJ2279" s="251" t="s">
        <v>413</v>
      </c>
      <c r="BK2279" s="251" t="s">
        <v>4354</v>
      </c>
      <c r="BL2279" s="251" t="s">
        <v>472</v>
      </c>
    </row>
    <row r="2280" spans="2:64" ht="15">
      <c r="B2280" s="84"/>
      <c r="D2280" s="84"/>
      <c r="E2280" s="84"/>
      <c r="F2280" s="84"/>
      <c r="G2280" s="84"/>
      <c r="R2280" s="251"/>
      <c r="S2280" s="251"/>
      <c r="BD2280" s="399">
        <v>2277</v>
      </c>
      <c r="BE2280" s="399" t="s">
        <v>6183</v>
      </c>
      <c r="BF2280" s="251" t="s">
        <v>6184</v>
      </c>
      <c r="BG2280" s="399" t="s">
        <v>429</v>
      </c>
      <c r="BH2280" s="252" t="s">
        <v>430</v>
      </c>
      <c r="BI2280" s="251" t="s">
        <v>334</v>
      </c>
      <c r="BJ2280" s="251" t="s">
        <v>350</v>
      </c>
      <c r="BK2280" s="251" t="s">
        <v>6185</v>
      </c>
      <c r="BL2280" s="251" t="s">
        <v>432</v>
      </c>
    </row>
    <row r="2281" spans="2:64" ht="15">
      <c r="B2281" s="84"/>
      <c r="D2281" s="84"/>
      <c r="E2281" s="84"/>
      <c r="F2281" s="84"/>
      <c r="G2281" s="84"/>
      <c r="R2281" s="251"/>
      <c r="S2281" s="251"/>
      <c r="BD2281" s="399">
        <v>2278</v>
      </c>
      <c r="BE2281" s="399" t="s">
        <v>2917</v>
      </c>
      <c r="BF2281" s="251" t="s">
        <v>6186</v>
      </c>
      <c r="BG2281" s="399" t="s">
        <v>371</v>
      </c>
      <c r="BH2281" s="252">
        <v>28</v>
      </c>
      <c r="BI2281" s="251" t="s">
        <v>332</v>
      </c>
      <c r="BJ2281" s="251" t="s">
        <v>407</v>
      </c>
      <c r="BK2281" s="251" t="s">
        <v>2918</v>
      </c>
      <c r="BL2281" s="251" t="s">
        <v>375</v>
      </c>
    </row>
    <row r="2282" spans="2:64" ht="15">
      <c r="B2282" s="84"/>
      <c r="D2282" s="84"/>
      <c r="E2282" s="84"/>
      <c r="F2282" s="84"/>
      <c r="G2282" s="84"/>
      <c r="R2282" s="251"/>
      <c r="S2282" s="251"/>
      <c r="BD2282" s="399">
        <v>2279</v>
      </c>
      <c r="BE2282" s="399" t="s">
        <v>6187</v>
      </c>
      <c r="BF2282" s="251" t="s">
        <v>6188</v>
      </c>
      <c r="BG2282" s="399" t="s">
        <v>405</v>
      </c>
      <c r="BH2282" s="252" t="s">
        <v>1267</v>
      </c>
      <c r="BI2282" s="251" t="s">
        <v>477</v>
      </c>
      <c r="BJ2282" s="251" t="s">
        <v>397</v>
      </c>
      <c r="BK2282" s="251" t="s">
        <v>6189</v>
      </c>
      <c r="BL2282" s="251" t="s">
        <v>409</v>
      </c>
    </row>
    <row r="2283" spans="2:64" ht="15">
      <c r="B2283" s="84"/>
      <c r="D2283" s="84"/>
      <c r="E2283" s="84"/>
      <c r="F2283" s="84"/>
      <c r="G2283" s="84"/>
      <c r="R2283" s="251"/>
      <c r="S2283" s="251"/>
      <c r="BD2283" s="399">
        <v>2280</v>
      </c>
      <c r="BE2283" s="399" t="s">
        <v>6190</v>
      </c>
      <c r="BF2283" s="251" t="s">
        <v>6191</v>
      </c>
      <c r="BG2283" s="399" t="s">
        <v>435</v>
      </c>
      <c r="BH2283" s="252" t="s">
        <v>681</v>
      </c>
      <c r="BI2283" s="251" t="s">
        <v>6192</v>
      </c>
      <c r="BJ2283" s="251" t="s">
        <v>2032</v>
      </c>
      <c r="BK2283" s="251" t="s">
        <v>6193</v>
      </c>
      <c r="BL2283" s="251" t="s">
        <v>439</v>
      </c>
    </row>
    <row r="2284" spans="2:64" ht="15">
      <c r="B2284" s="84"/>
      <c r="D2284" s="84"/>
      <c r="E2284" s="84"/>
      <c r="F2284" s="84"/>
      <c r="G2284" s="84"/>
      <c r="R2284" s="251"/>
      <c r="S2284" s="251"/>
      <c r="BD2284" s="399">
        <v>2281</v>
      </c>
      <c r="BE2284" s="399" t="s">
        <v>2673</v>
      </c>
      <c r="BF2284" s="251" t="s">
        <v>6194</v>
      </c>
      <c r="BG2284" s="399" t="s">
        <v>435</v>
      </c>
      <c r="BH2284" s="252" t="s">
        <v>651</v>
      </c>
      <c r="BI2284" s="251" t="s">
        <v>334</v>
      </c>
      <c r="BJ2284" s="251" t="s">
        <v>407</v>
      </c>
      <c r="BK2284" s="251" t="s">
        <v>6195</v>
      </c>
      <c r="BL2284" s="251" t="s">
        <v>439</v>
      </c>
    </row>
    <row r="2285" spans="2:64" ht="15">
      <c r="B2285" s="84"/>
      <c r="D2285" s="84"/>
      <c r="E2285" s="84"/>
      <c r="F2285" s="84"/>
      <c r="G2285" s="84"/>
      <c r="R2285" s="251"/>
      <c r="S2285" s="251"/>
      <c r="BD2285" s="399">
        <v>2282</v>
      </c>
      <c r="BE2285" s="399" t="s">
        <v>6196</v>
      </c>
      <c r="BF2285" s="251" t="s">
        <v>6197</v>
      </c>
      <c r="BG2285" s="399" t="s">
        <v>733</v>
      </c>
      <c r="BH2285" s="252" t="s">
        <v>734</v>
      </c>
      <c r="BI2285" s="251" t="s">
        <v>563</v>
      </c>
      <c r="BJ2285" s="251" t="s">
        <v>366</v>
      </c>
      <c r="BK2285" s="251" t="s">
        <v>6198</v>
      </c>
      <c r="BL2285" s="251" t="s">
        <v>736</v>
      </c>
    </row>
    <row r="2286" spans="2:64" ht="15">
      <c r="B2286" s="84"/>
      <c r="D2286" s="84"/>
      <c r="E2286" s="84"/>
      <c r="F2286" s="84"/>
      <c r="G2286" s="84"/>
      <c r="R2286" s="251"/>
      <c r="S2286" s="251"/>
      <c r="BD2286" s="399">
        <v>2283</v>
      </c>
      <c r="BE2286" s="399" t="s">
        <v>6199</v>
      </c>
      <c r="BF2286" s="251" t="s">
        <v>6200</v>
      </c>
      <c r="BG2286" s="399" t="s">
        <v>777</v>
      </c>
      <c r="BH2286" s="252">
        <v>21</v>
      </c>
      <c r="BI2286" s="251" t="s">
        <v>334</v>
      </c>
      <c r="BJ2286" s="251" t="s">
        <v>380</v>
      </c>
      <c r="BK2286" s="251" t="s">
        <v>6201</v>
      </c>
      <c r="BL2286" s="251" t="s">
        <v>780</v>
      </c>
    </row>
    <row r="2287" spans="2:64" ht="15">
      <c r="B2287" s="84"/>
      <c r="D2287" s="84"/>
      <c r="E2287" s="84"/>
      <c r="F2287" s="84"/>
      <c r="G2287" s="84"/>
      <c r="R2287" s="251"/>
      <c r="S2287" s="251"/>
      <c r="BD2287" s="399">
        <v>2284</v>
      </c>
      <c r="BE2287" s="399" t="s">
        <v>6202</v>
      </c>
      <c r="BF2287" s="251" t="s">
        <v>6203</v>
      </c>
      <c r="BG2287" s="399" t="s">
        <v>590</v>
      </c>
      <c r="BH2287" s="252">
        <v>44</v>
      </c>
      <c r="BI2287" s="251" t="s">
        <v>635</v>
      </c>
      <c r="BJ2287" s="251" t="s">
        <v>437</v>
      </c>
      <c r="BK2287" s="251" t="s">
        <v>6204</v>
      </c>
      <c r="BL2287" s="251" t="s">
        <v>592</v>
      </c>
    </row>
    <row r="2288" spans="2:64" ht="15">
      <c r="B2288" s="84"/>
      <c r="D2288" s="84"/>
      <c r="E2288" s="84"/>
      <c r="F2288" s="84"/>
      <c r="G2288" s="84"/>
      <c r="R2288" s="251"/>
      <c r="S2288" s="251"/>
      <c r="BD2288" s="399">
        <v>2285</v>
      </c>
      <c r="BE2288" s="399" t="s">
        <v>6205</v>
      </c>
      <c r="BF2288" s="251" t="s">
        <v>6206</v>
      </c>
      <c r="BG2288" s="399" t="s">
        <v>614</v>
      </c>
      <c r="BH2288" s="252">
        <v>38</v>
      </c>
      <c r="BI2288" s="251" t="s">
        <v>728</v>
      </c>
      <c r="BJ2288" s="251" t="s">
        <v>413</v>
      </c>
      <c r="BK2288" s="251" t="s">
        <v>6207</v>
      </c>
      <c r="BL2288" s="251" t="s">
        <v>617</v>
      </c>
    </row>
    <row r="2289" spans="2:64" ht="15">
      <c r="B2289" s="84"/>
      <c r="D2289" s="84"/>
      <c r="E2289" s="84"/>
      <c r="F2289" s="84"/>
      <c r="G2289" s="84"/>
      <c r="R2289" s="251"/>
      <c r="S2289" s="251"/>
      <c r="BD2289" s="399">
        <v>2286</v>
      </c>
      <c r="BE2289" s="399" t="s">
        <v>6208</v>
      </c>
      <c r="BF2289" s="251" t="s">
        <v>6209</v>
      </c>
      <c r="BG2289" s="399" t="s">
        <v>405</v>
      </c>
      <c r="BH2289" s="252" t="s">
        <v>406</v>
      </c>
      <c r="BI2289" s="251" t="s">
        <v>334</v>
      </c>
      <c r="BJ2289" s="251" t="s">
        <v>385</v>
      </c>
      <c r="BK2289" s="251" t="s">
        <v>6210</v>
      </c>
      <c r="BL2289" s="251" t="s">
        <v>409</v>
      </c>
    </row>
    <row r="2290" spans="2:64" ht="15">
      <c r="B2290" s="84"/>
      <c r="D2290" s="84"/>
      <c r="E2290" s="84"/>
      <c r="F2290" s="84"/>
      <c r="G2290" s="84"/>
      <c r="R2290" s="251"/>
      <c r="S2290" s="251"/>
      <c r="BD2290" s="399">
        <v>2287</v>
      </c>
      <c r="BE2290" s="399" t="s">
        <v>6211</v>
      </c>
      <c r="BF2290" s="251" t="s">
        <v>6212</v>
      </c>
      <c r="BG2290" s="399" t="s">
        <v>405</v>
      </c>
      <c r="BH2290" s="252" t="s">
        <v>406</v>
      </c>
      <c r="BI2290" s="251" t="s">
        <v>6213</v>
      </c>
      <c r="BJ2290" s="251" t="s">
        <v>530</v>
      </c>
      <c r="BK2290" s="251" t="s">
        <v>6214</v>
      </c>
      <c r="BL2290" s="251" t="s">
        <v>409</v>
      </c>
    </row>
    <row r="2291" spans="2:64" ht="15">
      <c r="B2291" s="84"/>
      <c r="D2291" s="84"/>
      <c r="E2291" s="84"/>
      <c r="F2291" s="84"/>
      <c r="G2291" s="84"/>
      <c r="R2291" s="251"/>
      <c r="S2291" s="251"/>
      <c r="BD2291" s="399">
        <v>2288</v>
      </c>
      <c r="BE2291" s="399" t="s">
        <v>6215</v>
      </c>
      <c r="BF2291" s="251" t="s">
        <v>6216</v>
      </c>
      <c r="BG2291" s="399" t="s">
        <v>602</v>
      </c>
      <c r="BH2291" s="252">
        <v>47</v>
      </c>
      <c r="BI2291" s="251" t="s">
        <v>379</v>
      </c>
      <c r="BJ2291" s="251" t="s">
        <v>385</v>
      </c>
      <c r="BK2291" s="251" t="s">
        <v>6217</v>
      </c>
      <c r="BL2291" s="251" t="s">
        <v>604</v>
      </c>
    </row>
    <row r="2292" spans="2:64" ht="15">
      <c r="B2292" s="84"/>
      <c r="D2292" s="84"/>
      <c r="E2292" s="84"/>
      <c r="F2292" s="84"/>
      <c r="G2292" s="84"/>
      <c r="R2292" s="251"/>
      <c r="S2292" s="251"/>
      <c r="BD2292" s="399">
        <v>2289</v>
      </c>
      <c r="BE2292" s="399" t="s">
        <v>6218</v>
      </c>
      <c r="BF2292" s="251" t="s">
        <v>6219</v>
      </c>
      <c r="BG2292" s="399" t="s">
        <v>519</v>
      </c>
      <c r="BH2292" s="252">
        <v>30</v>
      </c>
      <c r="BI2292" s="251" t="s">
        <v>563</v>
      </c>
      <c r="BJ2292" s="251" t="s">
        <v>351</v>
      </c>
      <c r="BK2292" s="251" t="s">
        <v>6220</v>
      </c>
      <c r="BL2292" s="251" t="s">
        <v>521</v>
      </c>
    </row>
    <row r="2293" spans="2:64" ht="15">
      <c r="B2293" s="84"/>
      <c r="D2293" s="84"/>
      <c r="E2293" s="84"/>
      <c r="F2293" s="84"/>
      <c r="G2293" s="84"/>
      <c r="R2293" s="251"/>
      <c r="S2293" s="251"/>
      <c r="BD2293" s="399">
        <v>2290</v>
      </c>
      <c r="BE2293" s="399" t="s">
        <v>6221</v>
      </c>
      <c r="BF2293" s="251" t="s">
        <v>6222</v>
      </c>
      <c r="BG2293" s="399">
        <v>54</v>
      </c>
      <c r="BH2293" s="252" t="s">
        <v>6223</v>
      </c>
      <c r="BI2293" s="251" t="s">
        <v>563</v>
      </c>
      <c r="BJ2293" s="251" t="s">
        <v>380</v>
      </c>
      <c r="BK2293" s="251" t="s">
        <v>6224</v>
      </c>
      <c r="BL2293" s="251" t="s">
        <v>930</v>
      </c>
    </row>
    <row r="2294" spans="2:64" ht="15">
      <c r="B2294" s="84"/>
      <c r="D2294" s="84"/>
      <c r="E2294" s="84"/>
      <c r="F2294" s="84"/>
      <c r="G2294" s="84"/>
      <c r="R2294" s="251"/>
      <c r="S2294" s="251"/>
      <c r="BD2294" s="399">
        <v>2291</v>
      </c>
      <c r="BE2294" s="399" t="s">
        <v>6225</v>
      </c>
      <c r="BF2294" s="251" t="s">
        <v>6226</v>
      </c>
      <c r="BG2294" s="399" t="s">
        <v>602</v>
      </c>
      <c r="BH2294" s="252">
        <v>47</v>
      </c>
      <c r="BI2294" s="251" t="s">
        <v>334</v>
      </c>
      <c r="BJ2294" s="251" t="s">
        <v>407</v>
      </c>
      <c r="BK2294" s="251" t="s">
        <v>6227</v>
      </c>
      <c r="BL2294" s="251" t="s">
        <v>604</v>
      </c>
    </row>
    <row r="2295" spans="2:64" ht="15">
      <c r="B2295" s="84"/>
      <c r="D2295" s="84"/>
      <c r="E2295" s="84"/>
      <c r="F2295" s="84"/>
      <c r="G2295" s="84"/>
      <c r="R2295" s="251"/>
      <c r="S2295" s="251"/>
      <c r="BD2295" s="399">
        <v>2292</v>
      </c>
      <c r="BE2295" s="399" t="s">
        <v>6228</v>
      </c>
      <c r="BF2295" s="251" t="s">
        <v>6229</v>
      </c>
      <c r="BG2295" s="399" t="s">
        <v>378</v>
      </c>
      <c r="BH2295" s="252">
        <v>11</v>
      </c>
      <c r="BI2295" s="251" t="s">
        <v>615</v>
      </c>
      <c r="BJ2295" s="251" t="s">
        <v>385</v>
      </c>
      <c r="BK2295" s="251" t="s">
        <v>6230</v>
      </c>
      <c r="BL2295" s="251" t="s">
        <v>382</v>
      </c>
    </row>
    <row r="2296" spans="2:64" ht="15">
      <c r="B2296" s="84"/>
      <c r="D2296" s="84"/>
      <c r="E2296" s="84"/>
      <c r="F2296" s="84"/>
      <c r="G2296" s="84"/>
      <c r="R2296" s="251"/>
      <c r="S2296" s="251"/>
      <c r="BD2296" s="399">
        <v>2293</v>
      </c>
      <c r="BE2296" s="399" t="s">
        <v>6231</v>
      </c>
      <c r="BF2296" s="251" t="s">
        <v>6232</v>
      </c>
      <c r="BG2296" s="399" t="s">
        <v>519</v>
      </c>
      <c r="BH2296" s="252">
        <v>30</v>
      </c>
      <c r="BI2296" s="251" t="s">
        <v>635</v>
      </c>
      <c r="BJ2296" s="251" t="s">
        <v>413</v>
      </c>
      <c r="BK2296" s="251" t="s">
        <v>6233</v>
      </c>
      <c r="BL2296" s="251" t="s">
        <v>521</v>
      </c>
    </row>
    <row r="2297" spans="2:64" ht="15">
      <c r="B2297" s="84"/>
      <c r="D2297" s="84"/>
      <c r="E2297" s="84"/>
      <c r="F2297" s="84"/>
      <c r="G2297" s="84"/>
      <c r="R2297" s="251"/>
      <c r="S2297" s="251"/>
      <c r="BD2297" s="399">
        <v>2294</v>
      </c>
      <c r="BE2297" s="399" t="s">
        <v>6234</v>
      </c>
      <c r="BF2297" s="251" t="s">
        <v>6235</v>
      </c>
      <c r="BG2297" s="399" t="s">
        <v>363</v>
      </c>
      <c r="BH2297" s="252" t="s">
        <v>364</v>
      </c>
      <c r="BI2297" s="251" t="s">
        <v>334</v>
      </c>
      <c r="BJ2297" s="251" t="s">
        <v>407</v>
      </c>
      <c r="BK2297" s="251" t="s">
        <v>6236</v>
      </c>
      <c r="BL2297" s="251" t="s">
        <v>368</v>
      </c>
    </row>
    <row r="2298" spans="2:64" ht="15">
      <c r="B2298" s="84"/>
      <c r="D2298" s="84"/>
      <c r="E2298" s="84"/>
      <c r="F2298" s="84"/>
      <c r="G2298" s="84"/>
      <c r="R2298" s="251"/>
      <c r="S2298" s="251"/>
      <c r="BD2298" s="399">
        <v>2295</v>
      </c>
      <c r="BE2298" s="399" t="s">
        <v>6237</v>
      </c>
      <c r="BF2298" s="251" t="s">
        <v>6238</v>
      </c>
      <c r="BG2298" s="399" t="s">
        <v>435</v>
      </c>
      <c r="BH2298" s="252" t="s">
        <v>651</v>
      </c>
      <c r="BI2298" s="251" t="s">
        <v>563</v>
      </c>
      <c r="BJ2298" s="251" t="s">
        <v>397</v>
      </c>
      <c r="BK2298" s="251" t="s">
        <v>6239</v>
      </c>
      <c r="BL2298" s="251" t="s">
        <v>439</v>
      </c>
    </row>
    <row r="2299" spans="2:64" ht="15">
      <c r="B2299" s="84"/>
      <c r="D2299" s="84"/>
      <c r="E2299" s="84"/>
      <c r="F2299" s="84"/>
      <c r="G2299" s="84"/>
      <c r="R2299" s="251"/>
      <c r="S2299" s="251"/>
      <c r="BD2299" s="399">
        <v>2296</v>
      </c>
      <c r="BE2299" s="399" t="s">
        <v>6240</v>
      </c>
      <c r="BF2299" s="251" t="s">
        <v>6241</v>
      </c>
      <c r="BG2299" s="399" t="s">
        <v>519</v>
      </c>
      <c r="BH2299" s="252">
        <v>30</v>
      </c>
      <c r="BI2299" s="251" t="s">
        <v>357</v>
      </c>
      <c r="BJ2299" s="251" t="s">
        <v>413</v>
      </c>
      <c r="BK2299" s="251" t="s">
        <v>6242</v>
      </c>
      <c r="BL2299" s="251" t="s">
        <v>521</v>
      </c>
    </row>
    <row r="2300" spans="2:64" ht="15">
      <c r="B2300" s="84"/>
      <c r="D2300" s="84"/>
      <c r="E2300" s="84"/>
      <c r="F2300" s="84"/>
      <c r="G2300" s="84"/>
      <c r="R2300" s="251"/>
      <c r="S2300" s="251"/>
      <c r="BD2300" s="399">
        <v>2297</v>
      </c>
      <c r="BE2300" s="399" t="s">
        <v>6243</v>
      </c>
      <c r="BF2300" s="251" t="s">
        <v>6244</v>
      </c>
      <c r="BG2300" s="399" t="s">
        <v>435</v>
      </c>
      <c r="BH2300" s="252" t="s">
        <v>436</v>
      </c>
      <c r="BI2300" s="251" t="s">
        <v>334</v>
      </c>
      <c r="BJ2300" s="251" t="s">
        <v>385</v>
      </c>
      <c r="BK2300" s="251" t="s">
        <v>6245</v>
      </c>
      <c r="BL2300" s="251" t="s">
        <v>439</v>
      </c>
    </row>
    <row r="2301" spans="2:64" ht="15">
      <c r="B2301" s="84"/>
      <c r="D2301" s="84"/>
      <c r="E2301" s="84"/>
      <c r="F2301" s="84"/>
      <c r="G2301" s="84"/>
      <c r="R2301" s="251"/>
      <c r="S2301" s="251"/>
      <c r="BD2301" s="399">
        <v>2298</v>
      </c>
      <c r="BE2301" s="399" t="s">
        <v>6246</v>
      </c>
      <c r="BF2301" s="251" t="s">
        <v>6247</v>
      </c>
      <c r="BG2301" s="399" t="s">
        <v>363</v>
      </c>
      <c r="BH2301" s="252" t="s">
        <v>364</v>
      </c>
      <c r="BI2301" s="251" t="s">
        <v>332</v>
      </c>
      <c r="BJ2301" s="251" t="s">
        <v>351</v>
      </c>
      <c r="BK2301" s="251" t="s">
        <v>6248</v>
      </c>
      <c r="BL2301" s="251" t="s">
        <v>368</v>
      </c>
    </row>
    <row r="2302" spans="2:64" ht="15">
      <c r="B2302" s="84"/>
      <c r="D2302" s="84"/>
      <c r="E2302" s="84"/>
      <c r="F2302" s="84"/>
      <c r="G2302" s="84"/>
      <c r="R2302" s="251"/>
      <c r="S2302" s="251"/>
      <c r="BD2302" s="399">
        <v>2299</v>
      </c>
      <c r="BE2302" s="399" t="s">
        <v>6249</v>
      </c>
      <c r="BF2302" s="251" t="s">
        <v>6250</v>
      </c>
      <c r="BG2302" s="399" t="s">
        <v>378</v>
      </c>
      <c r="BH2302" s="252">
        <v>11</v>
      </c>
      <c r="BI2302" s="251" t="s">
        <v>450</v>
      </c>
      <c r="BJ2302" s="251" t="s">
        <v>380</v>
      </c>
      <c r="BK2302" s="251" t="s">
        <v>6251</v>
      </c>
      <c r="BL2302" s="251" t="s">
        <v>382</v>
      </c>
    </row>
    <row r="2303" spans="2:64" ht="15">
      <c r="B2303" s="84"/>
      <c r="D2303" s="84"/>
      <c r="E2303" s="84"/>
      <c r="F2303" s="84"/>
      <c r="G2303" s="84"/>
      <c r="R2303" s="251"/>
      <c r="S2303" s="251"/>
      <c r="BD2303" s="399">
        <v>2300</v>
      </c>
      <c r="BE2303" s="399" t="s">
        <v>6252</v>
      </c>
      <c r="BF2303" s="251" t="s">
        <v>6253</v>
      </c>
      <c r="BG2303" s="399" t="s">
        <v>429</v>
      </c>
      <c r="BH2303" s="252" t="s">
        <v>430</v>
      </c>
      <c r="BI2303" s="251" t="s">
        <v>334</v>
      </c>
      <c r="BJ2303" s="251" t="s">
        <v>539</v>
      </c>
      <c r="BK2303" s="251" t="s">
        <v>6254</v>
      </c>
      <c r="BL2303" s="251" t="s">
        <v>432</v>
      </c>
    </row>
    <row r="2304" spans="2:64" ht="15">
      <c r="B2304" s="84"/>
      <c r="D2304" s="84"/>
      <c r="E2304" s="84"/>
      <c r="F2304" s="84"/>
      <c r="G2304" s="84"/>
      <c r="R2304" s="251"/>
      <c r="S2304" s="251"/>
      <c r="BD2304" s="399">
        <v>2301</v>
      </c>
      <c r="BE2304" s="399" t="s">
        <v>6255</v>
      </c>
      <c r="BF2304" s="251" t="s">
        <v>6256</v>
      </c>
      <c r="BG2304" s="399" t="s">
        <v>423</v>
      </c>
      <c r="BH2304" s="252" t="s">
        <v>424</v>
      </c>
      <c r="BI2304" s="251" t="s">
        <v>365</v>
      </c>
      <c r="BJ2304" s="251" t="s">
        <v>385</v>
      </c>
      <c r="BK2304" s="251" t="s">
        <v>6257</v>
      </c>
      <c r="BL2304" s="251" t="s">
        <v>426</v>
      </c>
    </row>
    <row r="2305" spans="2:64" ht="15">
      <c r="B2305" s="84"/>
      <c r="D2305" s="84"/>
      <c r="E2305" s="84"/>
      <c r="F2305" s="84"/>
      <c r="G2305" s="84"/>
      <c r="R2305" s="251"/>
      <c r="S2305" s="251"/>
      <c r="BD2305" s="399">
        <v>2302</v>
      </c>
      <c r="BE2305" s="399" t="s">
        <v>6258</v>
      </c>
      <c r="BF2305" s="251" t="s">
        <v>6259</v>
      </c>
      <c r="BG2305" s="399" t="s">
        <v>469</v>
      </c>
      <c r="BH2305" s="252" t="s">
        <v>470</v>
      </c>
      <c r="BI2305" s="251" t="s">
        <v>396</v>
      </c>
      <c r="BJ2305" s="251" t="s">
        <v>539</v>
      </c>
      <c r="BK2305" s="251" t="s">
        <v>6260</v>
      </c>
      <c r="BL2305" s="251" t="s">
        <v>472</v>
      </c>
    </row>
    <row r="2306" spans="2:64" ht="15">
      <c r="B2306" s="84"/>
      <c r="D2306" s="84"/>
      <c r="E2306" s="84"/>
      <c r="F2306" s="84"/>
      <c r="G2306" s="84"/>
      <c r="R2306" s="251"/>
      <c r="S2306" s="251"/>
      <c r="BD2306" s="399">
        <v>2303</v>
      </c>
      <c r="BE2306" s="399" t="s">
        <v>6261</v>
      </c>
      <c r="BF2306" s="251" t="s">
        <v>6262</v>
      </c>
      <c r="BG2306" s="399" t="s">
        <v>423</v>
      </c>
      <c r="BH2306" s="252" t="s">
        <v>424</v>
      </c>
      <c r="BI2306" s="251" t="s">
        <v>1817</v>
      </c>
      <c r="BJ2306" s="251" t="s">
        <v>380</v>
      </c>
      <c r="BK2306" s="251" t="s">
        <v>6263</v>
      </c>
      <c r="BL2306" s="251" t="s">
        <v>426</v>
      </c>
    </row>
    <row r="2307" spans="2:64" ht="15">
      <c r="B2307" s="84"/>
      <c r="D2307" s="84"/>
      <c r="E2307" s="84"/>
      <c r="F2307" s="84"/>
      <c r="G2307" s="84"/>
      <c r="R2307" s="251"/>
      <c r="S2307" s="251"/>
      <c r="BD2307" s="399">
        <v>2304</v>
      </c>
      <c r="BE2307" s="399" t="s">
        <v>6264</v>
      </c>
      <c r="BF2307" s="251" t="s">
        <v>6265</v>
      </c>
      <c r="BG2307" s="399" t="s">
        <v>469</v>
      </c>
      <c r="BH2307" s="252" t="s">
        <v>662</v>
      </c>
      <c r="BI2307" s="251" t="s">
        <v>365</v>
      </c>
      <c r="BJ2307" s="251" t="s">
        <v>397</v>
      </c>
      <c r="BK2307" s="251" t="s">
        <v>6266</v>
      </c>
      <c r="BL2307" s="251" t="s">
        <v>472</v>
      </c>
    </row>
    <row r="2308" spans="2:64" ht="15">
      <c r="B2308" s="84"/>
      <c r="D2308" s="84"/>
      <c r="E2308" s="84"/>
      <c r="F2308" s="84"/>
      <c r="G2308" s="84"/>
      <c r="R2308" s="251"/>
      <c r="S2308" s="251"/>
      <c r="BD2308" s="399">
        <v>2305</v>
      </c>
      <c r="BE2308" s="399" t="s">
        <v>6267</v>
      </c>
      <c r="BF2308" s="251" t="s">
        <v>6268</v>
      </c>
      <c r="BG2308" s="399" t="s">
        <v>435</v>
      </c>
      <c r="BH2308" s="252" t="s">
        <v>436</v>
      </c>
      <c r="BI2308" s="251" t="s">
        <v>372</v>
      </c>
      <c r="BJ2308" s="251" t="s">
        <v>413</v>
      </c>
      <c r="BK2308" s="251" t="s">
        <v>6269</v>
      </c>
      <c r="BL2308" s="251" t="s">
        <v>439</v>
      </c>
    </row>
    <row r="2309" spans="2:64" ht="15">
      <c r="B2309" s="84"/>
      <c r="D2309" s="84"/>
      <c r="E2309" s="84"/>
      <c r="F2309" s="84"/>
      <c r="G2309" s="84"/>
      <c r="R2309" s="251"/>
      <c r="S2309" s="251"/>
      <c r="BD2309" s="399">
        <v>2306</v>
      </c>
      <c r="BE2309" s="399" t="s">
        <v>6270</v>
      </c>
      <c r="BF2309" s="251" t="s">
        <v>6271</v>
      </c>
      <c r="BG2309" s="399" t="s">
        <v>449</v>
      </c>
      <c r="BH2309" s="252">
        <v>43</v>
      </c>
      <c r="BI2309" s="251" t="s">
        <v>1982</v>
      </c>
      <c r="BJ2309" s="251" t="s">
        <v>413</v>
      </c>
      <c r="BK2309" s="251" t="s">
        <v>6272</v>
      </c>
      <c r="BL2309" s="251" t="s">
        <v>452</v>
      </c>
    </row>
    <row r="2310" spans="2:64" ht="15">
      <c r="B2310" s="84"/>
      <c r="D2310" s="84"/>
      <c r="E2310" s="84"/>
      <c r="F2310" s="84"/>
      <c r="G2310" s="84"/>
      <c r="R2310" s="251"/>
      <c r="S2310" s="251"/>
      <c r="BD2310" s="399">
        <v>2307</v>
      </c>
      <c r="BE2310" s="399" t="s">
        <v>6273</v>
      </c>
      <c r="BF2310" s="251" t="s">
        <v>6274</v>
      </c>
      <c r="BG2310" s="399" t="s">
        <v>739</v>
      </c>
      <c r="BH2310" s="252">
        <v>45</v>
      </c>
      <c r="BI2310" s="251" t="s">
        <v>456</v>
      </c>
      <c r="BJ2310" s="251" t="s">
        <v>413</v>
      </c>
      <c r="BK2310" s="251" t="s">
        <v>6275</v>
      </c>
      <c r="BL2310" s="251" t="s">
        <v>742</v>
      </c>
    </row>
    <row r="2311" spans="2:64" ht="15">
      <c r="B2311" s="84"/>
      <c r="D2311" s="84"/>
      <c r="E2311" s="84"/>
      <c r="F2311" s="84"/>
      <c r="G2311" s="84"/>
      <c r="R2311" s="251"/>
      <c r="S2311" s="251"/>
      <c r="BD2311" s="399">
        <v>2308</v>
      </c>
      <c r="BE2311" s="399" t="s">
        <v>6167</v>
      </c>
      <c r="BF2311" s="251" t="s">
        <v>6276</v>
      </c>
      <c r="BG2311" s="399" t="s">
        <v>489</v>
      </c>
      <c r="BH2311" s="252" t="s">
        <v>958</v>
      </c>
      <c r="BI2311" s="251" t="s">
        <v>728</v>
      </c>
      <c r="BJ2311" s="251" t="s">
        <v>407</v>
      </c>
      <c r="BK2311" s="251" t="s">
        <v>6277</v>
      </c>
      <c r="BL2311" s="251" t="s">
        <v>493</v>
      </c>
    </row>
    <row r="2312" spans="2:64" ht="15">
      <c r="B2312" s="84"/>
      <c r="D2312" s="84"/>
      <c r="E2312" s="84"/>
      <c r="F2312" s="84"/>
      <c r="G2312" s="84"/>
      <c r="R2312" s="251"/>
      <c r="S2312" s="251"/>
      <c r="BD2312" s="399">
        <v>2309</v>
      </c>
      <c r="BE2312" s="399" t="s">
        <v>1543</v>
      </c>
      <c r="BF2312" s="251" t="s">
        <v>6278</v>
      </c>
      <c r="BG2312" s="399" t="s">
        <v>363</v>
      </c>
      <c r="BH2312" s="252">
        <v>8</v>
      </c>
      <c r="BI2312" s="251" t="s">
        <v>563</v>
      </c>
      <c r="BJ2312" s="251" t="s">
        <v>407</v>
      </c>
      <c r="BK2312" s="251" t="s">
        <v>6279</v>
      </c>
      <c r="BL2312" s="251" t="s">
        <v>368</v>
      </c>
    </row>
    <row r="2313" spans="2:64" ht="15">
      <c r="B2313" s="84"/>
      <c r="D2313" s="84"/>
      <c r="E2313" s="84"/>
      <c r="F2313" s="84"/>
      <c r="G2313" s="84"/>
      <c r="R2313" s="251"/>
      <c r="S2313" s="251"/>
      <c r="BD2313" s="399">
        <v>2310</v>
      </c>
      <c r="BE2313" s="399" t="s">
        <v>6280</v>
      </c>
      <c r="BF2313" s="251" t="s">
        <v>6281</v>
      </c>
      <c r="BG2313" s="399" t="s">
        <v>489</v>
      </c>
      <c r="BH2313" s="252" t="s">
        <v>958</v>
      </c>
      <c r="BI2313" s="251" t="s">
        <v>647</v>
      </c>
      <c r="BJ2313" s="251" t="s">
        <v>366</v>
      </c>
      <c r="BK2313" s="251" t="s">
        <v>6282</v>
      </c>
      <c r="BL2313" s="251" t="s">
        <v>493</v>
      </c>
    </row>
    <row r="2314" spans="2:64" ht="15">
      <c r="B2314" s="84"/>
      <c r="D2314" s="84"/>
      <c r="E2314" s="84"/>
      <c r="F2314" s="84"/>
      <c r="G2314" s="84"/>
      <c r="R2314" s="251"/>
      <c r="S2314" s="251"/>
      <c r="BD2314" s="399">
        <v>2311</v>
      </c>
      <c r="BE2314" s="399" t="s">
        <v>6283</v>
      </c>
      <c r="BF2314" s="251" t="s">
        <v>6284</v>
      </c>
      <c r="BG2314" s="399" t="s">
        <v>777</v>
      </c>
      <c r="BH2314" s="252">
        <v>21</v>
      </c>
      <c r="BI2314" s="251" t="s">
        <v>379</v>
      </c>
      <c r="BJ2314" s="251" t="s">
        <v>6285</v>
      </c>
      <c r="BK2314" s="251" t="s">
        <v>6286</v>
      </c>
      <c r="BL2314" s="251" t="s">
        <v>780</v>
      </c>
    </row>
    <row r="2315" spans="2:64" ht="15">
      <c r="B2315" s="84"/>
      <c r="D2315" s="84"/>
      <c r="E2315" s="84"/>
      <c r="F2315" s="84"/>
      <c r="G2315" s="84"/>
      <c r="R2315" s="251"/>
      <c r="S2315" s="251"/>
      <c r="BD2315" s="399">
        <v>2312</v>
      </c>
      <c r="BE2315" s="399" t="s">
        <v>6287</v>
      </c>
      <c r="BF2315" s="251" t="s">
        <v>6288</v>
      </c>
      <c r="BG2315" s="399" t="s">
        <v>423</v>
      </c>
      <c r="BH2315" s="252" t="s">
        <v>424</v>
      </c>
      <c r="BI2315" s="251" t="s">
        <v>615</v>
      </c>
      <c r="BJ2315" s="251" t="s">
        <v>366</v>
      </c>
      <c r="BK2315" s="251" t="s">
        <v>6289</v>
      </c>
      <c r="BL2315" s="251" t="s">
        <v>426</v>
      </c>
    </row>
    <row r="2316" spans="2:64" ht="15">
      <c r="B2316" s="84"/>
      <c r="D2316" s="84"/>
      <c r="E2316" s="84"/>
      <c r="F2316" s="84"/>
      <c r="G2316" s="84"/>
      <c r="R2316" s="251"/>
      <c r="S2316" s="251"/>
      <c r="BD2316" s="399">
        <v>2313</v>
      </c>
      <c r="BE2316" s="399" t="s">
        <v>3220</v>
      </c>
      <c r="BF2316" s="251" t="s">
        <v>6290</v>
      </c>
      <c r="BG2316" s="399" t="s">
        <v>602</v>
      </c>
      <c r="BH2316" s="252">
        <v>47</v>
      </c>
      <c r="BI2316" s="251" t="s">
        <v>332</v>
      </c>
      <c r="BJ2316" s="251" t="s">
        <v>397</v>
      </c>
      <c r="BK2316" s="251" t="s">
        <v>3221</v>
      </c>
      <c r="BL2316" s="251" t="s">
        <v>604</v>
      </c>
    </row>
    <row r="2317" spans="2:64" ht="15">
      <c r="B2317" s="84"/>
      <c r="D2317" s="84"/>
      <c r="E2317" s="84"/>
      <c r="F2317" s="84"/>
      <c r="G2317" s="84"/>
      <c r="R2317" s="251"/>
      <c r="S2317" s="251"/>
      <c r="BD2317" s="399">
        <v>2314</v>
      </c>
      <c r="BE2317" s="399" t="s">
        <v>6291</v>
      </c>
      <c r="BF2317" s="251" t="s">
        <v>6292</v>
      </c>
      <c r="BG2317" s="399" t="s">
        <v>489</v>
      </c>
      <c r="BH2317" s="252" t="s">
        <v>958</v>
      </c>
      <c r="BI2317" s="251" t="s">
        <v>1709</v>
      </c>
      <c r="BJ2317" s="251" t="s">
        <v>413</v>
      </c>
      <c r="BK2317" s="251" t="s">
        <v>6293</v>
      </c>
      <c r="BL2317" s="251" t="s">
        <v>493</v>
      </c>
    </row>
    <row r="2318" spans="2:64" ht="15">
      <c r="B2318" s="84"/>
      <c r="D2318" s="84"/>
      <c r="E2318" s="84"/>
      <c r="F2318" s="84"/>
      <c r="G2318" s="84"/>
      <c r="R2318" s="251"/>
      <c r="S2318" s="251"/>
      <c r="BD2318" s="399">
        <v>2315</v>
      </c>
      <c r="BE2318" s="399" t="s">
        <v>6294</v>
      </c>
      <c r="BF2318" s="251" t="s">
        <v>6295</v>
      </c>
      <c r="BG2318" s="399" t="s">
        <v>395</v>
      </c>
      <c r="BH2318" s="252">
        <v>16</v>
      </c>
      <c r="BI2318" s="251" t="s">
        <v>379</v>
      </c>
      <c r="BJ2318" s="251" t="s">
        <v>385</v>
      </c>
      <c r="BK2318" s="251" t="s">
        <v>6296</v>
      </c>
      <c r="BL2318" s="251" t="s">
        <v>399</v>
      </c>
    </row>
    <row r="2319" spans="2:64" ht="15">
      <c r="B2319" s="84"/>
      <c r="D2319" s="84"/>
      <c r="E2319" s="84"/>
      <c r="F2319" s="84"/>
      <c r="G2319" s="84"/>
      <c r="R2319" s="251"/>
      <c r="S2319" s="251"/>
      <c r="BD2319" s="399">
        <v>2316</v>
      </c>
      <c r="BE2319" s="399" t="s">
        <v>6297</v>
      </c>
      <c r="BF2319" s="251" t="s">
        <v>6298</v>
      </c>
      <c r="BG2319" s="399" t="s">
        <v>602</v>
      </c>
      <c r="BH2319" s="252">
        <v>47</v>
      </c>
      <c r="BI2319" s="251" t="s">
        <v>357</v>
      </c>
      <c r="BJ2319" s="251" t="s">
        <v>366</v>
      </c>
      <c r="BK2319" s="251" t="s">
        <v>6299</v>
      </c>
      <c r="BL2319" s="251" t="s">
        <v>604</v>
      </c>
    </row>
    <row r="2320" spans="2:64" ht="15">
      <c r="B2320" s="84"/>
      <c r="D2320" s="84"/>
      <c r="E2320" s="84"/>
      <c r="F2320" s="84"/>
      <c r="G2320" s="84"/>
      <c r="R2320" s="251"/>
      <c r="S2320" s="251"/>
      <c r="BD2320" s="399">
        <v>2317</v>
      </c>
      <c r="BE2320" s="399" t="s">
        <v>6300</v>
      </c>
      <c r="BF2320" s="251" t="s">
        <v>6301</v>
      </c>
      <c r="BG2320" s="399" t="s">
        <v>363</v>
      </c>
      <c r="BH2320" s="252" t="s">
        <v>575</v>
      </c>
      <c r="BI2320" s="251" t="s">
        <v>333</v>
      </c>
      <c r="BJ2320" s="251" t="s">
        <v>397</v>
      </c>
      <c r="BK2320" s="251" t="s">
        <v>6302</v>
      </c>
      <c r="BL2320" s="251" t="s">
        <v>368</v>
      </c>
    </row>
    <row r="2321" spans="2:64" ht="15">
      <c r="B2321" s="84"/>
      <c r="D2321" s="84"/>
      <c r="E2321" s="84"/>
      <c r="F2321" s="84"/>
      <c r="G2321" s="84"/>
      <c r="R2321" s="251"/>
      <c r="S2321" s="251"/>
      <c r="BD2321" s="399">
        <v>2318</v>
      </c>
      <c r="BE2321" s="399" t="s">
        <v>6303</v>
      </c>
      <c r="BF2321" s="251" t="s">
        <v>6304</v>
      </c>
      <c r="BG2321" s="399" t="s">
        <v>405</v>
      </c>
      <c r="BH2321" s="252" t="s">
        <v>830</v>
      </c>
      <c r="BI2321" s="251" t="s">
        <v>350</v>
      </c>
      <c r="BJ2321" s="251" t="s">
        <v>539</v>
      </c>
      <c r="BK2321" s="251" t="s">
        <v>6305</v>
      </c>
      <c r="BL2321" s="251" t="s">
        <v>409</v>
      </c>
    </row>
    <row r="2322" spans="2:64" ht="15">
      <c r="B2322" s="84"/>
      <c r="D2322" s="84"/>
      <c r="E2322" s="84"/>
      <c r="F2322" s="84"/>
      <c r="G2322" s="84"/>
      <c r="R2322" s="251"/>
      <c r="S2322" s="251"/>
      <c r="BD2322" s="399">
        <v>2319</v>
      </c>
      <c r="BE2322" s="399" t="s">
        <v>6306</v>
      </c>
      <c r="BF2322" s="251" t="s">
        <v>6307</v>
      </c>
      <c r="BG2322" s="399" t="s">
        <v>475</v>
      </c>
      <c r="BH2322" s="252" t="s">
        <v>534</v>
      </c>
      <c r="BI2322" s="251" t="s">
        <v>1982</v>
      </c>
      <c r="BJ2322" s="251" t="s">
        <v>366</v>
      </c>
      <c r="BK2322" s="251" t="s">
        <v>6308</v>
      </c>
      <c r="BL2322" s="251" t="s">
        <v>479</v>
      </c>
    </row>
    <row r="2323" spans="2:64" ht="15">
      <c r="B2323" s="84"/>
      <c r="D2323" s="84"/>
      <c r="E2323" s="84"/>
      <c r="F2323" s="84"/>
      <c r="G2323" s="84"/>
      <c r="R2323" s="251"/>
      <c r="S2323" s="251"/>
      <c r="BD2323" s="399">
        <v>2320</v>
      </c>
      <c r="BE2323" s="399" t="s">
        <v>918</v>
      </c>
      <c r="BF2323" s="251" t="s">
        <v>6309</v>
      </c>
      <c r="BG2323" s="399" t="s">
        <v>363</v>
      </c>
      <c r="BH2323" s="252" t="s">
        <v>364</v>
      </c>
      <c r="BI2323" s="251" t="s">
        <v>365</v>
      </c>
      <c r="BJ2323" s="251" t="s">
        <v>380</v>
      </c>
      <c r="BK2323" s="251" t="s">
        <v>6310</v>
      </c>
      <c r="BL2323" s="251" t="s">
        <v>368</v>
      </c>
    </row>
    <row r="2324" spans="2:64" ht="15">
      <c r="B2324" s="84"/>
      <c r="D2324" s="84"/>
      <c r="E2324" s="84"/>
      <c r="F2324" s="84"/>
      <c r="G2324" s="84"/>
      <c r="R2324" s="251"/>
      <c r="S2324" s="251"/>
      <c r="BD2324" s="399">
        <v>2321</v>
      </c>
      <c r="BE2324" s="399" t="s">
        <v>6311</v>
      </c>
      <c r="BF2324" s="251" t="s">
        <v>6312</v>
      </c>
      <c r="BG2324" s="399" t="s">
        <v>423</v>
      </c>
      <c r="BH2324" s="252" t="s">
        <v>424</v>
      </c>
      <c r="BI2324" s="251" t="s">
        <v>365</v>
      </c>
      <c r="BJ2324" s="251" t="s">
        <v>397</v>
      </c>
      <c r="BK2324" s="251" t="s">
        <v>6313</v>
      </c>
      <c r="BL2324" s="251" t="s">
        <v>426</v>
      </c>
    </row>
    <row r="2325" spans="2:64" ht="15">
      <c r="B2325" s="84"/>
      <c r="D2325" s="84"/>
      <c r="E2325" s="84"/>
      <c r="F2325" s="84"/>
      <c r="G2325" s="84"/>
      <c r="R2325" s="251"/>
      <c r="S2325" s="251"/>
      <c r="BD2325" s="399">
        <v>2322</v>
      </c>
      <c r="BE2325" s="399" t="s">
        <v>6314</v>
      </c>
      <c r="BF2325" s="251" t="s">
        <v>6315</v>
      </c>
      <c r="BG2325" s="399" t="s">
        <v>363</v>
      </c>
      <c r="BH2325" s="252" t="s">
        <v>364</v>
      </c>
      <c r="BI2325" s="251" t="s">
        <v>3437</v>
      </c>
      <c r="BJ2325" s="251" t="s">
        <v>413</v>
      </c>
      <c r="BK2325" s="251" t="s">
        <v>6316</v>
      </c>
      <c r="BL2325" s="251" t="s">
        <v>368</v>
      </c>
    </row>
    <row r="2326" spans="2:64" ht="15">
      <c r="B2326" s="84"/>
      <c r="D2326" s="84"/>
      <c r="E2326" s="84"/>
      <c r="F2326" s="84"/>
      <c r="G2326" s="84"/>
      <c r="R2326" s="251"/>
      <c r="S2326" s="251"/>
      <c r="BD2326" s="399">
        <v>2323</v>
      </c>
      <c r="BE2326" s="399" t="s">
        <v>6317</v>
      </c>
      <c r="BF2326" s="251" t="s">
        <v>6318</v>
      </c>
      <c r="BG2326" s="399" t="s">
        <v>363</v>
      </c>
      <c r="BH2326" s="252" t="s">
        <v>575</v>
      </c>
      <c r="BI2326" s="251" t="s">
        <v>535</v>
      </c>
      <c r="BJ2326" s="251" t="s">
        <v>373</v>
      </c>
      <c r="BK2326" s="251" t="s">
        <v>6319</v>
      </c>
      <c r="BL2326" s="251" t="s">
        <v>368</v>
      </c>
    </row>
    <row r="2327" spans="2:64" ht="15">
      <c r="B2327" s="84"/>
      <c r="D2327" s="84"/>
      <c r="E2327" s="84"/>
      <c r="F2327" s="84"/>
      <c r="G2327" s="84"/>
      <c r="R2327" s="251"/>
      <c r="S2327" s="251"/>
      <c r="BD2327" s="399">
        <v>2324</v>
      </c>
      <c r="BE2327" s="399" t="s">
        <v>6320</v>
      </c>
      <c r="BF2327" s="251" t="s">
        <v>6321</v>
      </c>
      <c r="BG2327" s="399" t="s">
        <v>423</v>
      </c>
      <c r="BH2327" s="252" t="s">
        <v>424</v>
      </c>
      <c r="BI2327" s="251" t="s">
        <v>332</v>
      </c>
      <c r="BJ2327" s="251" t="s">
        <v>407</v>
      </c>
      <c r="BK2327" s="251" t="s">
        <v>6322</v>
      </c>
      <c r="BL2327" s="251" t="s">
        <v>426</v>
      </c>
    </row>
    <row r="2328" spans="2:64" ht="15">
      <c r="B2328" s="84"/>
      <c r="D2328" s="84"/>
      <c r="E2328" s="84"/>
      <c r="F2328" s="84"/>
      <c r="G2328" s="84"/>
      <c r="R2328" s="251"/>
      <c r="S2328" s="251"/>
      <c r="BD2328" s="399">
        <v>2325</v>
      </c>
      <c r="BE2328" s="399" t="s">
        <v>6323</v>
      </c>
      <c r="BF2328" s="251" t="s">
        <v>6324</v>
      </c>
      <c r="BG2328" s="399" t="s">
        <v>602</v>
      </c>
      <c r="BH2328" s="252">
        <v>47</v>
      </c>
      <c r="BI2328" s="251" t="s">
        <v>583</v>
      </c>
      <c r="BJ2328" s="251" t="s">
        <v>413</v>
      </c>
      <c r="BK2328" s="251" t="s">
        <v>6325</v>
      </c>
      <c r="BL2328" s="251" t="s">
        <v>604</v>
      </c>
    </row>
    <row r="2329" spans="2:64" ht="15">
      <c r="B2329" s="84"/>
      <c r="D2329" s="84"/>
      <c r="E2329" s="84"/>
      <c r="F2329" s="84"/>
      <c r="G2329" s="84"/>
      <c r="R2329" s="251"/>
      <c r="S2329" s="251"/>
      <c r="BD2329" s="399">
        <v>2326</v>
      </c>
      <c r="BE2329" s="399" t="s">
        <v>6326</v>
      </c>
      <c r="BF2329" s="251" t="s">
        <v>6327</v>
      </c>
      <c r="BG2329" s="399" t="s">
        <v>469</v>
      </c>
      <c r="BH2329" s="252" t="s">
        <v>470</v>
      </c>
      <c r="BI2329" s="251" t="s">
        <v>1638</v>
      </c>
      <c r="BJ2329" s="251" t="s">
        <v>350</v>
      </c>
      <c r="BK2329" s="251" t="s">
        <v>6328</v>
      </c>
      <c r="BL2329" s="251" t="s">
        <v>472</v>
      </c>
    </row>
    <row r="2330" spans="2:64" ht="15">
      <c r="B2330" s="84"/>
      <c r="D2330" s="84"/>
      <c r="E2330" s="84"/>
      <c r="F2330" s="84"/>
      <c r="G2330" s="84"/>
      <c r="R2330" s="251"/>
      <c r="S2330" s="251"/>
      <c r="BD2330" s="399">
        <v>2327</v>
      </c>
      <c r="BE2330" s="399" t="s">
        <v>6329</v>
      </c>
      <c r="BF2330" s="251" t="s">
        <v>6330</v>
      </c>
      <c r="BG2330" s="399" t="s">
        <v>469</v>
      </c>
      <c r="BH2330" s="252" t="s">
        <v>470</v>
      </c>
      <c r="BI2330" s="251" t="s">
        <v>873</v>
      </c>
      <c r="BJ2330" s="251" t="s">
        <v>366</v>
      </c>
      <c r="BK2330" s="251" t="s">
        <v>6331</v>
      </c>
      <c r="BL2330" s="251" t="s">
        <v>472</v>
      </c>
    </row>
    <row r="2331" spans="2:64" ht="15">
      <c r="B2331" s="84"/>
      <c r="D2331" s="84"/>
      <c r="E2331" s="84"/>
      <c r="F2331" s="84"/>
      <c r="G2331" s="84"/>
      <c r="R2331" s="251"/>
      <c r="S2331" s="251"/>
      <c r="BD2331" s="399">
        <v>2328</v>
      </c>
      <c r="BE2331" s="399" t="s">
        <v>1227</v>
      </c>
      <c r="BF2331" s="251" t="s">
        <v>6332</v>
      </c>
      <c r="BG2331" s="399" t="s">
        <v>363</v>
      </c>
      <c r="BH2331" s="252" t="s">
        <v>364</v>
      </c>
      <c r="BI2331" s="251" t="s">
        <v>563</v>
      </c>
      <c r="BJ2331" s="251" t="s">
        <v>380</v>
      </c>
      <c r="BK2331" s="251" t="s">
        <v>6333</v>
      </c>
      <c r="BL2331" s="251" t="s">
        <v>368</v>
      </c>
    </row>
    <row r="2332" spans="2:64" ht="15">
      <c r="B2332" s="84"/>
      <c r="D2332" s="84"/>
      <c r="E2332" s="84"/>
      <c r="F2332" s="84"/>
      <c r="G2332" s="84"/>
      <c r="R2332" s="251"/>
      <c r="S2332" s="251"/>
      <c r="BD2332" s="399">
        <v>2329</v>
      </c>
      <c r="BE2332" s="399" t="s">
        <v>6334</v>
      </c>
      <c r="BF2332" s="251" t="s">
        <v>6335</v>
      </c>
      <c r="BG2332" s="399" t="s">
        <v>475</v>
      </c>
      <c r="BH2332" s="252" t="s">
        <v>1631</v>
      </c>
      <c r="BI2332" s="251" t="s">
        <v>563</v>
      </c>
      <c r="BJ2332" s="251" t="s">
        <v>351</v>
      </c>
      <c r="BK2332" s="251" t="s">
        <v>6336</v>
      </c>
      <c r="BL2332" s="251" t="s">
        <v>479</v>
      </c>
    </row>
    <row r="2333" spans="2:64" ht="15">
      <c r="B2333" s="84"/>
      <c r="D2333" s="84"/>
      <c r="E2333" s="84"/>
      <c r="F2333" s="84"/>
      <c r="G2333" s="84"/>
      <c r="R2333" s="251"/>
      <c r="S2333" s="251"/>
      <c r="BD2333" s="399">
        <v>2330</v>
      </c>
      <c r="BE2333" s="399" t="s">
        <v>6337</v>
      </c>
      <c r="BF2333" s="251" t="s">
        <v>6338</v>
      </c>
      <c r="BG2333" s="399" t="s">
        <v>475</v>
      </c>
      <c r="BH2333" s="252" t="s">
        <v>1631</v>
      </c>
      <c r="BI2333" s="251" t="s">
        <v>728</v>
      </c>
      <c r="BJ2333" s="251" t="s">
        <v>366</v>
      </c>
      <c r="BK2333" s="251" t="s">
        <v>6339</v>
      </c>
      <c r="BL2333" s="251" t="s">
        <v>479</v>
      </c>
    </row>
    <row r="2334" spans="2:64" ht="15">
      <c r="B2334" s="84"/>
      <c r="D2334" s="84"/>
      <c r="E2334" s="84"/>
      <c r="F2334" s="84"/>
      <c r="G2334" s="84"/>
      <c r="R2334" s="251"/>
      <c r="S2334" s="251"/>
      <c r="BD2334" s="399">
        <v>2331</v>
      </c>
      <c r="BE2334" s="399" t="s">
        <v>6340</v>
      </c>
      <c r="BF2334" s="251" t="s">
        <v>6341</v>
      </c>
      <c r="BG2334" s="399" t="s">
        <v>566</v>
      </c>
      <c r="BH2334" s="252" t="s">
        <v>567</v>
      </c>
      <c r="BI2334" s="251" t="s">
        <v>334</v>
      </c>
      <c r="BJ2334" s="251" t="s">
        <v>351</v>
      </c>
      <c r="BK2334" s="251" t="s">
        <v>6342</v>
      </c>
      <c r="BL2334" s="251" t="s">
        <v>569</v>
      </c>
    </row>
    <row r="2335" spans="2:64" ht="15">
      <c r="B2335" s="84"/>
      <c r="D2335" s="84"/>
      <c r="E2335" s="84"/>
      <c r="F2335" s="84"/>
      <c r="G2335" s="84"/>
      <c r="R2335" s="251"/>
      <c r="S2335" s="251"/>
      <c r="BD2335" s="399">
        <v>2332</v>
      </c>
      <c r="BE2335" s="399" t="s">
        <v>6343</v>
      </c>
      <c r="BF2335" s="251" t="s">
        <v>6344</v>
      </c>
      <c r="BG2335" s="399" t="s">
        <v>733</v>
      </c>
      <c r="BH2335" s="252" t="s">
        <v>734</v>
      </c>
      <c r="BI2335" s="251" t="s">
        <v>1638</v>
      </c>
      <c r="BJ2335" s="251" t="s">
        <v>413</v>
      </c>
      <c r="BK2335" s="251" t="s">
        <v>6345</v>
      </c>
      <c r="BL2335" s="251" t="s">
        <v>736</v>
      </c>
    </row>
    <row r="2336" spans="2:64" ht="15">
      <c r="B2336" s="84"/>
      <c r="D2336" s="84"/>
      <c r="E2336" s="84"/>
      <c r="F2336" s="84"/>
      <c r="G2336" s="84"/>
      <c r="R2336" s="251"/>
      <c r="S2336" s="251"/>
      <c r="BD2336" s="399">
        <v>2333</v>
      </c>
      <c r="BE2336" s="399" t="s">
        <v>6346</v>
      </c>
      <c r="BF2336" s="251" t="s">
        <v>6347</v>
      </c>
      <c r="BG2336" s="399" t="s">
        <v>371</v>
      </c>
      <c r="BH2336" s="252">
        <v>28</v>
      </c>
      <c r="BI2336" s="251" t="s">
        <v>379</v>
      </c>
      <c r="BJ2336" s="251" t="s">
        <v>407</v>
      </c>
      <c r="BK2336" s="251" t="s">
        <v>6348</v>
      </c>
      <c r="BL2336" s="251" t="s">
        <v>375</v>
      </c>
    </row>
    <row r="2337" spans="2:64" ht="15">
      <c r="B2337" s="84"/>
      <c r="D2337" s="84"/>
      <c r="E2337" s="84"/>
      <c r="F2337" s="84"/>
      <c r="G2337" s="84"/>
      <c r="R2337" s="251"/>
      <c r="S2337" s="251"/>
      <c r="BD2337" s="399">
        <v>2334</v>
      </c>
      <c r="BE2337" s="399" t="s">
        <v>6349</v>
      </c>
      <c r="BF2337" s="251" t="s">
        <v>6350</v>
      </c>
      <c r="BG2337" s="399" t="s">
        <v>614</v>
      </c>
      <c r="BH2337" s="252">
        <v>38</v>
      </c>
      <c r="BI2337" s="251" t="s">
        <v>615</v>
      </c>
      <c r="BJ2337" s="251" t="s">
        <v>366</v>
      </c>
      <c r="BK2337" s="251" t="s">
        <v>6351</v>
      </c>
      <c r="BL2337" s="251" t="s">
        <v>617</v>
      </c>
    </row>
    <row r="2338" spans="2:64" ht="15">
      <c r="B2338" s="84"/>
      <c r="D2338" s="84"/>
      <c r="E2338" s="84"/>
      <c r="F2338" s="84"/>
      <c r="G2338" s="84"/>
      <c r="R2338" s="251"/>
      <c r="S2338" s="251"/>
      <c r="BD2338" s="399">
        <v>2335</v>
      </c>
      <c r="BE2338" s="399" t="s">
        <v>6352</v>
      </c>
      <c r="BF2338" s="251" t="s">
        <v>6353</v>
      </c>
      <c r="BG2338" s="399" t="s">
        <v>455</v>
      </c>
      <c r="BH2338" s="252">
        <v>35</v>
      </c>
      <c r="BI2338" s="251" t="s">
        <v>332</v>
      </c>
      <c r="BJ2338" s="251" t="s">
        <v>413</v>
      </c>
      <c r="BK2338" s="251" t="s">
        <v>6354</v>
      </c>
      <c r="BL2338" s="251" t="s">
        <v>458</v>
      </c>
    </row>
    <row r="2339" spans="2:64" ht="15">
      <c r="B2339" s="84"/>
      <c r="D2339" s="84"/>
      <c r="E2339" s="84"/>
      <c r="F2339" s="84"/>
      <c r="G2339" s="84"/>
      <c r="R2339" s="251"/>
      <c r="S2339" s="251"/>
      <c r="BD2339" s="399">
        <v>2336</v>
      </c>
      <c r="BE2339" s="399" t="s">
        <v>6355</v>
      </c>
      <c r="BF2339" s="251" t="s">
        <v>6356</v>
      </c>
      <c r="BG2339" s="399" t="s">
        <v>349</v>
      </c>
      <c r="BH2339" s="252">
        <v>17</v>
      </c>
      <c r="BI2339" s="251" t="s">
        <v>728</v>
      </c>
      <c r="BJ2339" s="251" t="s">
        <v>366</v>
      </c>
      <c r="BK2339" s="251" t="s">
        <v>6357</v>
      </c>
      <c r="BL2339" s="251" t="s">
        <v>353</v>
      </c>
    </row>
    <row r="2340" spans="2:64" ht="15">
      <c r="B2340" s="84"/>
      <c r="D2340" s="84"/>
      <c r="E2340" s="84"/>
      <c r="F2340" s="84"/>
      <c r="G2340" s="84"/>
      <c r="R2340" s="251"/>
      <c r="S2340" s="251"/>
      <c r="BD2340" s="399">
        <v>2337</v>
      </c>
      <c r="BE2340" s="399" t="s">
        <v>6358</v>
      </c>
      <c r="BF2340" s="251" t="s">
        <v>6359</v>
      </c>
      <c r="BG2340" s="399" t="s">
        <v>371</v>
      </c>
      <c r="BH2340" s="252">
        <v>28</v>
      </c>
      <c r="BI2340" s="251" t="s">
        <v>333</v>
      </c>
      <c r="BJ2340" s="251" t="s">
        <v>397</v>
      </c>
      <c r="BK2340" s="251" t="s">
        <v>6360</v>
      </c>
      <c r="BL2340" s="251" t="s">
        <v>375</v>
      </c>
    </row>
    <row r="2341" spans="2:64" ht="15">
      <c r="B2341" s="84"/>
      <c r="D2341" s="84"/>
      <c r="E2341" s="84"/>
      <c r="F2341" s="84"/>
      <c r="G2341" s="84"/>
      <c r="R2341" s="251"/>
      <c r="S2341" s="251"/>
      <c r="BD2341" s="399">
        <v>2338</v>
      </c>
      <c r="BE2341" s="399" t="s">
        <v>6361</v>
      </c>
      <c r="BF2341" s="251" t="s">
        <v>6362</v>
      </c>
      <c r="BG2341" s="399" t="s">
        <v>405</v>
      </c>
      <c r="BH2341" s="252" t="s">
        <v>830</v>
      </c>
      <c r="BI2341" s="251" t="s">
        <v>563</v>
      </c>
      <c r="BJ2341" s="251" t="s">
        <v>539</v>
      </c>
      <c r="BK2341" s="251" t="s">
        <v>6363</v>
      </c>
      <c r="BL2341" s="251" t="s">
        <v>409</v>
      </c>
    </row>
    <row r="2342" spans="2:64" ht="15">
      <c r="B2342" s="84"/>
      <c r="D2342" s="84"/>
      <c r="E2342" s="84"/>
      <c r="F2342" s="84"/>
      <c r="G2342" s="84"/>
      <c r="R2342" s="251"/>
      <c r="S2342" s="251"/>
      <c r="BD2342" s="399">
        <v>2339</v>
      </c>
      <c r="BE2342" s="399" t="s">
        <v>6364</v>
      </c>
      <c r="BF2342" s="251" t="s">
        <v>6365</v>
      </c>
      <c r="BG2342" s="399" t="s">
        <v>395</v>
      </c>
      <c r="BH2342" s="252">
        <v>16</v>
      </c>
      <c r="BI2342" s="251" t="s">
        <v>456</v>
      </c>
      <c r="BJ2342" s="251" t="s">
        <v>413</v>
      </c>
      <c r="BK2342" s="251" t="s">
        <v>6366</v>
      </c>
      <c r="BL2342" s="251" t="s">
        <v>399</v>
      </c>
    </row>
    <row r="2343" spans="2:64" ht="15">
      <c r="B2343" s="84"/>
      <c r="D2343" s="84"/>
      <c r="E2343" s="84"/>
      <c r="F2343" s="84"/>
      <c r="G2343" s="84"/>
      <c r="R2343" s="251"/>
      <c r="S2343" s="251"/>
      <c r="BD2343" s="399">
        <v>2340</v>
      </c>
      <c r="BE2343" s="399" t="s">
        <v>6367</v>
      </c>
      <c r="BF2343" s="251" t="s">
        <v>6368</v>
      </c>
      <c r="BG2343" s="399" t="s">
        <v>405</v>
      </c>
      <c r="BH2343" s="252" t="s">
        <v>412</v>
      </c>
      <c r="BI2343" s="251" t="s">
        <v>873</v>
      </c>
      <c r="BJ2343" s="251" t="s">
        <v>413</v>
      </c>
      <c r="BK2343" s="251" t="s">
        <v>6369</v>
      </c>
      <c r="BL2343" s="251" t="s">
        <v>409</v>
      </c>
    </row>
    <row r="2344" spans="2:64" ht="15">
      <c r="B2344" s="84"/>
      <c r="D2344" s="84"/>
      <c r="E2344" s="84"/>
      <c r="F2344" s="84"/>
      <c r="G2344" s="84"/>
      <c r="R2344" s="251"/>
      <c r="S2344" s="251"/>
      <c r="BD2344" s="399">
        <v>2341</v>
      </c>
      <c r="BE2344" s="399" t="s">
        <v>6370</v>
      </c>
      <c r="BF2344" s="251" t="s">
        <v>6371</v>
      </c>
      <c r="BG2344" s="399" t="s">
        <v>489</v>
      </c>
      <c r="BH2344" s="252" t="s">
        <v>958</v>
      </c>
      <c r="BI2344" s="251" t="s">
        <v>334</v>
      </c>
      <c r="BJ2344" s="251" t="s">
        <v>366</v>
      </c>
      <c r="BK2344" s="251" t="s">
        <v>6372</v>
      </c>
      <c r="BL2344" s="251" t="s">
        <v>493</v>
      </c>
    </row>
    <row r="2345" spans="2:64" ht="15">
      <c r="B2345" s="84"/>
      <c r="D2345" s="84"/>
      <c r="E2345" s="84"/>
      <c r="F2345" s="84"/>
      <c r="G2345" s="84"/>
      <c r="R2345" s="251"/>
      <c r="S2345" s="251"/>
      <c r="BD2345" s="399">
        <v>2342</v>
      </c>
      <c r="BE2345" s="399" t="s">
        <v>6373</v>
      </c>
      <c r="BF2345" s="251" t="s">
        <v>6374</v>
      </c>
      <c r="BG2345" s="399" t="s">
        <v>371</v>
      </c>
      <c r="BH2345" s="252">
        <v>28</v>
      </c>
      <c r="BI2345" s="251" t="s">
        <v>563</v>
      </c>
      <c r="BJ2345" s="251" t="s">
        <v>366</v>
      </c>
      <c r="BK2345" s="251" t="s">
        <v>6375</v>
      </c>
      <c r="BL2345" s="251" t="s">
        <v>375</v>
      </c>
    </row>
    <row r="2346" spans="2:64" ht="15">
      <c r="B2346" s="84"/>
      <c r="D2346" s="84"/>
      <c r="E2346" s="84"/>
      <c r="F2346" s="84"/>
      <c r="G2346" s="84"/>
      <c r="R2346" s="251"/>
      <c r="S2346" s="251"/>
      <c r="BD2346" s="399">
        <v>2343</v>
      </c>
      <c r="BE2346" s="399" t="s">
        <v>1629</v>
      </c>
      <c r="BF2346" s="251" t="s">
        <v>6376</v>
      </c>
      <c r="BG2346" s="399" t="s">
        <v>475</v>
      </c>
      <c r="BH2346" s="252" t="s">
        <v>476</v>
      </c>
      <c r="BI2346" s="251" t="s">
        <v>334</v>
      </c>
      <c r="BJ2346" s="251" t="s">
        <v>366</v>
      </c>
      <c r="BK2346" s="251" t="s">
        <v>6377</v>
      </c>
      <c r="BL2346" s="251" t="s">
        <v>479</v>
      </c>
    </row>
    <row r="2347" spans="2:64" ht="15">
      <c r="B2347" s="84"/>
      <c r="D2347" s="84"/>
      <c r="E2347" s="84"/>
      <c r="F2347" s="84"/>
      <c r="G2347" s="84"/>
      <c r="R2347" s="251"/>
      <c r="S2347" s="251"/>
      <c r="BD2347" s="399">
        <v>2344</v>
      </c>
      <c r="BE2347" s="399" t="s">
        <v>6378</v>
      </c>
      <c r="BF2347" s="251" t="s">
        <v>6379</v>
      </c>
      <c r="BG2347" s="399" t="s">
        <v>378</v>
      </c>
      <c r="BH2347" s="252">
        <v>11</v>
      </c>
      <c r="BI2347" s="251" t="s">
        <v>450</v>
      </c>
      <c r="BJ2347" s="251" t="s">
        <v>407</v>
      </c>
      <c r="BK2347" s="251" t="s">
        <v>6380</v>
      </c>
      <c r="BL2347" s="251" t="s">
        <v>382</v>
      </c>
    </row>
    <row r="2348" spans="2:64" ht="15">
      <c r="B2348" s="84"/>
      <c r="D2348" s="84"/>
      <c r="E2348" s="84"/>
      <c r="F2348" s="84"/>
      <c r="G2348" s="84"/>
      <c r="R2348" s="251"/>
      <c r="S2348" s="251"/>
      <c r="BD2348" s="399">
        <v>2345</v>
      </c>
      <c r="BE2348" s="399" t="s">
        <v>6381</v>
      </c>
      <c r="BF2348" s="251" t="s">
        <v>6382</v>
      </c>
      <c r="BG2348" s="399" t="s">
        <v>371</v>
      </c>
      <c r="BH2348" s="252">
        <v>28</v>
      </c>
      <c r="BI2348" s="251" t="s">
        <v>357</v>
      </c>
      <c r="BJ2348" s="251" t="s">
        <v>351</v>
      </c>
      <c r="BK2348" s="251" t="s">
        <v>6383</v>
      </c>
      <c r="BL2348" s="251" t="s">
        <v>375</v>
      </c>
    </row>
    <row r="2349" spans="2:64" ht="15">
      <c r="B2349" s="84"/>
      <c r="D2349" s="84"/>
      <c r="E2349" s="84"/>
      <c r="F2349" s="84"/>
      <c r="G2349" s="84"/>
      <c r="R2349" s="251"/>
      <c r="S2349" s="251"/>
      <c r="BD2349" s="399">
        <v>2346</v>
      </c>
      <c r="BE2349" s="399" t="s">
        <v>6384</v>
      </c>
      <c r="BF2349" s="251" t="s">
        <v>6385</v>
      </c>
      <c r="BG2349" s="399" t="s">
        <v>733</v>
      </c>
      <c r="BH2349" s="252" t="s">
        <v>734</v>
      </c>
      <c r="BI2349" s="251" t="s">
        <v>350</v>
      </c>
      <c r="BJ2349" s="251" t="s">
        <v>397</v>
      </c>
      <c r="BK2349" s="251" t="s">
        <v>6386</v>
      </c>
      <c r="BL2349" s="251" t="s">
        <v>736</v>
      </c>
    </row>
    <row r="2350" spans="2:64" ht="15">
      <c r="B2350" s="84"/>
      <c r="D2350" s="84"/>
      <c r="E2350" s="84"/>
      <c r="F2350" s="84"/>
      <c r="G2350" s="84"/>
      <c r="R2350" s="251"/>
      <c r="S2350" s="251"/>
      <c r="BD2350" s="399">
        <v>2347</v>
      </c>
      <c r="BE2350" s="399" t="s">
        <v>6387</v>
      </c>
      <c r="BF2350" s="251" t="s">
        <v>6388</v>
      </c>
      <c r="BG2350" s="399" t="s">
        <v>519</v>
      </c>
      <c r="BH2350" s="252">
        <v>30</v>
      </c>
      <c r="BI2350" s="251" t="s">
        <v>332</v>
      </c>
      <c r="BJ2350" s="251" t="s">
        <v>539</v>
      </c>
      <c r="BK2350" s="251" t="s">
        <v>6389</v>
      </c>
      <c r="BL2350" s="251" t="s">
        <v>521</v>
      </c>
    </row>
    <row r="2351" spans="2:64" ht="15">
      <c r="B2351" s="84"/>
      <c r="D2351" s="84"/>
      <c r="E2351" s="84"/>
      <c r="F2351" s="84"/>
      <c r="G2351" s="84"/>
      <c r="R2351" s="251"/>
      <c r="S2351" s="251"/>
      <c r="BD2351" s="399">
        <v>2348</v>
      </c>
      <c r="BE2351" s="399" t="s">
        <v>6390</v>
      </c>
      <c r="BF2351" s="251" t="s">
        <v>6391</v>
      </c>
      <c r="BG2351" s="399" t="s">
        <v>349</v>
      </c>
      <c r="BH2351" s="252">
        <v>17</v>
      </c>
      <c r="BI2351" s="251" t="s">
        <v>563</v>
      </c>
      <c r="BJ2351" s="251" t="s">
        <v>407</v>
      </c>
      <c r="BK2351" s="251" t="s">
        <v>6392</v>
      </c>
      <c r="BL2351" s="251" t="s">
        <v>353</v>
      </c>
    </row>
    <row r="2352" spans="2:64" ht="15">
      <c r="B2352" s="84"/>
      <c r="D2352" s="84"/>
      <c r="E2352" s="84"/>
      <c r="F2352" s="84"/>
      <c r="G2352" s="84"/>
      <c r="R2352" s="251"/>
      <c r="S2352" s="251"/>
      <c r="BD2352" s="399">
        <v>2349</v>
      </c>
      <c r="BE2352" s="399" t="s">
        <v>6393</v>
      </c>
      <c r="BF2352" s="251" t="s">
        <v>6394</v>
      </c>
      <c r="BG2352" s="399" t="s">
        <v>356</v>
      </c>
      <c r="BH2352" s="252">
        <v>18</v>
      </c>
      <c r="BI2352" s="251" t="s">
        <v>477</v>
      </c>
      <c r="BJ2352" s="251" t="s">
        <v>380</v>
      </c>
      <c r="BK2352" s="251" t="s">
        <v>6395</v>
      </c>
      <c r="BL2352" s="251" t="s">
        <v>360</v>
      </c>
    </row>
    <row r="2353" spans="2:64" ht="15">
      <c r="B2353" s="84"/>
      <c r="D2353" s="84"/>
      <c r="E2353" s="84"/>
      <c r="F2353" s="84"/>
      <c r="G2353" s="84"/>
      <c r="R2353" s="251"/>
      <c r="S2353" s="251"/>
      <c r="BD2353" s="399">
        <v>2350</v>
      </c>
      <c r="BE2353" s="399" t="s">
        <v>6396</v>
      </c>
      <c r="BF2353" s="251" t="s">
        <v>173</v>
      </c>
      <c r="BG2353" s="399" t="s">
        <v>469</v>
      </c>
      <c r="BH2353" s="252" t="s">
        <v>662</v>
      </c>
      <c r="BI2353" s="251" t="s">
        <v>535</v>
      </c>
      <c r="BJ2353" s="251" t="s">
        <v>5275</v>
      </c>
      <c r="BK2353" s="251" t="s">
        <v>6397</v>
      </c>
      <c r="BL2353" s="251" t="s">
        <v>472</v>
      </c>
    </row>
    <row r="2354" spans="2:64" ht="15">
      <c r="B2354" s="84"/>
      <c r="D2354" s="84"/>
      <c r="E2354" s="84"/>
      <c r="F2354" s="84"/>
      <c r="G2354" s="84"/>
      <c r="R2354" s="251"/>
      <c r="S2354" s="251"/>
      <c r="BD2354" s="399">
        <v>2351</v>
      </c>
      <c r="BE2354" s="399" t="s">
        <v>6398</v>
      </c>
      <c r="BF2354" s="251" t="s">
        <v>6399</v>
      </c>
      <c r="BG2354" s="399" t="s">
        <v>405</v>
      </c>
      <c r="BH2354" s="252" t="s">
        <v>760</v>
      </c>
      <c r="BI2354" s="251" t="s">
        <v>579</v>
      </c>
      <c r="BJ2354" s="251" t="s">
        <v>366</v>
      </c>
      <c r="BK2354" s="251" t="s">
        <v>6400</v>
      </c>
      <c r="BL2354" s="251" t="s">
        <v>409</v>
      </c>
    </row>
    <row r="2355" spans="2:64" ht="15">
      <c r="B2355" s="84"/>
      <c r="D2355" s="84"/>
      <c r="E2355" s="84"/>
      <c r="F2355" s="84"/>
      <c r="G2355" s="84"/>
      <c r="R2355" s="251"/>
      <c r="S2355" s="251"/>
      <c r="BD2355" s="399">
        <v>2352</v>
      </c>
      <c r="BE2355" s="399" t="s">
        <v>6401</v>
      </c>
      <c r="BF2355" s="251" t="s">
        <v>6402</v>
      </c>
      <c r="BG2355" s="399" t="s">
        <v>602</v>
      </c>
      <c r="BH2355" s="252" t="s">
        <v>4976</v>
      </c>
      <c r="BI2355" s="251" t="s">
        <v>396</v>
      </c>
      <c r="BJ2355" s="251" t="s">
        <v>366</v>
      </c>
      <c r="BK2355" s="251" t="s">
        <v>6403</v>
      </c>
      <c r="BL2355" s="251" t="s">
        <v>604</v>
      </c>
    </row>
    <row r="2356" spans="2:64" ht="15">
      <c r="B2356" s="84"/>
      <c r="D2356" s="84"/>
      <c r="E2356" s="84"/>
      <c r="F2356" s="84"/>
      <c r="G2356" s="84"/>
      <c r="R2356" s="251"/>
      <c r="S2356" s="251"/>
      <c r="BD2356" s="399">
        <v>2353</v>
      </c>
      <c r="BE2356" s="399" t="s">
        <v>6404</v>
      </c>
      <c r="BF2356" s="251" t="s">
        <v>174</v>
      </c>
      <c r="BG2356" s="399" t="s">
        <v>405</v>
      </c>
      <c r="BH2356" s="252" t="s">
        <v>760</v>
      </c>
      <c r="BI2356" s="251" t="s">
        <v>379</v>
      </c>
      <c r="BJ2356" s="251" t="s">
        <v>366</v>
      </c>
      <c r="BK2356" s="251" t="s">
        <v>6405</v>
      </c>
      <c r="BL2356" s="251" t="s">
        <v>409</v>
      </c>
    </row>
    <row r="2357" spans="2:64" ht="15">
      <c r="B2357" s="84"/>
      <c r="D2357" s="84"/>
      <c r="E2357" s="84"/>
      <c r="F2357" s="84"/>
      <c r="G2357" s="84"/>
      <c r="R2357" s="251"/>
      <c r="S2357" s="251"/>
      <c r="BD2357" s="399">
        <v>2354</v>
      </c>
      <c r="BE2357" s="399" t="s">
        <v>6406</v>
      </c>
      <c r="BF2357" s="251" t="s">
        <v>6407</v>
      </c>
      <c r="BG2357" s="399" t="s">
        <v>405</v>
      </c>
      <c r="BH2357" s="252" t="s">
        <v>830</v>
      </c>
      <c r="BI2357" s="251" t="s">
        <v>1638</v>
      </c>
      <c r="BJ2357" s="251" t="s">
        <v>6285</v>
      </c>
      <c r="BK2357" s="251" t="s">
        <v>6408</v>
      </c>
      <c r="BL2357" s="251" t="s">
        <v>409</v>
      </c>
    </row>
    <row r="2358" spans="2:64" ht="15">
      <c r="B2358" s="84"/>
      <c r="D2358" s="84"/>
      <c r="E2358" s="84"/>
      <c r="F2358" s="84"/>
      <c r="G2358" s="84"/>
      <c r="R2358" s="251"/>
      <c r="S2358" s="251"/>
      <c r="BD2358" s="399">
        <v>2355</v>
      </c>
      <c r="BE2358" s="399" t="s">
        <v>6409</v>
      </c>
      <c r="BF2358" s="251" t="s">
        <v>6410</v>
      </c>
      <c r="BG2358" s="399" t="s">
        <v>449</v>
      </c>
      <c r="BH2358" s="252">
        <v>43</v>
      </c>
      <c r="BI2358" s="251" t="s">
        <v>379</v>
      </c>
      <c r="BJ2358" s="251" t="s">
        <v>385</v>
      </c>
      <c r="BK2358" s="251" t="s">
        <v>6411</v>
      </c>
      <c r="BL2358" s="251" t="s">
        <v>452</v>
      </c>
    </row>
    <row r="2359" spans="2:64" ht="15">
      <c r="B2359" s="84"/>
      <c r="D2359" s="84"/>
      <c r="E2359" s="84"/>
      <c r="F2359" s="84"/>
      <c r="G2359" s="84"/>
      <c r="R2359" s="251"/>
      <c r="S2359" s="251"/>
      <c r="BD2359" s="399">
        <v>2356</v>
      </c>
      <c r="BE2359" s="399" t="s">
        <v>6412</v>
      </c>
      <c r="BF2359" s="251" t="s">
        <v>6413</v>
      </c>
      <c r="BG2359" s="399" t="s">
        <v>614</v>
      </c>
      <c r="BH2359" s="252">
        <v>38</v>
      </c>
      <c r="BI2359" s="251" t="s">
        <v>445</v>
      </c>
      <c r="BJ2359" s="251" t="s">
        <v>385</v>
      </c>
      <c r="BK2359" s="251" t="s">
        <v>6414</v>
      </c>
      <c r="BL2359" s="251" t="s">
        <v>617</v>
      </c>
    </row>
    <row r="2360" spans="2:64" ht="15">
      <c r="B2360" s="84"/>
      <c r="D2360" s="84"/>
      <c r="E2360" s="84"/>
      <c r="F2360" s="84"/>
      <c r="G2360" s="84"/>
      <c r="R2360" s="251"/>
      <c r="S2360" s="251"/>
      <c r="BD2360" s="399">
        <v>2357</v>
      </c>
      <c r="BE2360" s="399" t="s">
        <v>6415</v>
      </c>
      <c r="BF2360" s="251" t="s">
        <v>6416</v>
      </c>
      <c r="BG2360" s="399" t="s">
        <v>423</v>
      </c>
      <c r="BH2360" s="252" t="s">
        <v>424</v>
      </c>
      <c r="BI2360" s="251" t="s">
        <v>563</v>
      </c>
      <c r="BJ2360" s="251" t="s">
        <v>539</v>
      </c>
      <c r="BK2360" s="251" t="s">
        <v>6417</v>
      </c>
      <c r="BL2360" s="251" t="s">
        <v>426</v>
      </c>
    </row>
    <row r="2361" spans="2:64" ht="15">
      <c r="B2361" s="84"/>
      <c r="D2361" s="84"/>
      <c r="E2361" s="84"/>
      <c r="F2361" s="84"/>
      <c r="G2361" s="84"/>
      <c r="R2361" s="251"/>
      <c r="S2361" s="251"/>
      <c r="BD2361" s="399">
        <v>2358</v>
      </c>
      <c r="BE2361" s="399" t="s">
        <v>6418</v>
      </c>
      <c r="BF2361" s="251" t="s">
        <v>6419</v>
      </c>
      <c r="BG2361" s="399" t="s">
        <v>469</v>
      </c>
      <c r="BH2361" s="252" t="s">
        <v>662</v>
      </c>
      <c r="BI2361" s="251" t="s">
        <v>379</v>
      </c>
      <c r="BJ2361" s="251" t="s">
        <v>380</v>
      </c>
      <c r="BK2361" s="251" t="s">
        <v>6420</v>
      </c>
      <c r="BL2361" s="251" t="s">
        <v>472</v>
      </c>
    </row>
    <row r="2362" spans="2:64" ht="15">
      <c r="B2362" s="84"/>
      <c r="D2362" s="84"/>
      <c r="E2362" s="84"/>
      <c r="F2362" s="84"/>
      <c r="G2362" s="84"/>
      <c r="R2362" s="251"/>
      <c r="S2362" s="251"/>
      <c r="BD2362" s="399">
        <v>2359</v>
      </c>
      <c r="BE2362" s="399" t="s">
        <v>6421</v>
      </c>
      <c r="BF2362" s="251" t="s">
        <v>6422</v>
      </c>
      <c r="BG2362" s="399" t="s">
        <v>435</v>
      </c>
      <c r="BH2362" s="252" t="s">
        <v>436</v>
      </c>
      <c r="BI2362" s="251" t="s">
        <v>365</v>
      </c>
      <c r="BJ2362" s="251" t="s">
        <v>351</v>
      </c>
      <c r="BK2362" s="251" t="s">
        <v>6423</v>
      </c>
      <c r="BL2362" s="251" t="s">
        <v>439</v>
      </c>
    </row>
    <row r="2363" spans="2:64" ht="15">
      <c r="B2363" s="84"/>
      <c r="D2363" s="84"/>
      <c r="E2363" s="84"/>
      <c r="F2363" s="84"/>
      <c r="G2363" s="84"/>
      <c r="R2363" s="251"/>
      <c r="S2363" s="251"/>
      <c r="BD2363" s="399">
        <v>2360</v>
      </c>
      <c r="BE2363" s="399" t="s">
        <v>6424</v>
      </c>
      <c r="BF2363" s="251" t="s">
        <v>6425</v>
      </c>
      <c r="BG2363" s="399" t="s">
        <v>469</v>
      </c>
      <c r="BH2363" s="252" t="s">
        <v>470</v>
      </c>
      <c r="BI2363" s="251" t="s">
        <v>350</v>
      </c>
      <c r="BJ2363" s="251" t="s">
        <v>351</v>
      </c>
      <c r="BK2363" s="251" t="s">
        <v>6426</v>
      </c>
      <c r="BL2363" s="251" t="s">
        <v>472</v>
      </c>
    </row>
    <row r="2364" spans="2:64" ht="15">
      <c r="B2364" s="84"/>
      <c r="D2364" s="84"/>
      <c r="E2364" s="84"/>
      <c r="F2364" s="84"/>
      <c r="G2364" s="84"/>
      <c r="R2364" s="251"/>
      <c r="S2364" s="251"/>
      <c r="BD2364" s="399">
        <v>2361</v>
      </c>
      <c r="BE2364" s="399" t="s">
        <v>6427</v>
      </c>
      <c r="BF2364" s="251" t="s">
        <v>6428</v>
      </c>
      <c r="BG2364" s="399" t="s">
        <v>590</v>
      </c>
      <c r="BH2364" s="252">
        <v>44</v>
      </c>
      <c r="BI2364" s="251" t="s">
        <v>331</v>
      </c>
      <c r="BJ2364" s="251" t="s">
        <v>407</v>
      </c>
      <c r="BK2364" s="251" t="s">
        <v>6429</v>
      </c>
      <c r="BL2364" s="251" t="s">
        <v>592</v>
      </c>
    </row>
    <row r="2365" spans="2:64" ht="15">
      <c r="B2365" s="84"/>
      <c r="D2365" s="84"/>
      <c r="E2365" s="84"/>
      <c r="F2365" s="84"/>
      <c r="G2365" s="84"/>
      <c r="R2365" s="251"/>
      <c r="S2365" s="251"/>
      <c r="BD2365" s="399">
        <v>2362</v>
      </c>
      <c r="BE2365" s="399" t="s">
        <v>6430</v>
      </c>
      <c r="BF2365" s="251" t="s">
        <v>6431</v>
      </c>
      <c r="BG2365" s="399" t="s">
        <v>623</v>
      </c>
      <c r="BH2365" s="252" t="s">
        <v>624</v>
      </c>
      <c r="BI2365" s="251" t="s">
        <v>396</v>
      </c>
      <c r="BJ2365" s="251" t="s">
        <v>385</v>
      </c>
      <c r="BK2365" s="251" t="s">
        <v>6432</v>
      </c>
      <c r="BL2365" s="251" t="s">
        <v>626</v>
      </c>
    </row>
    <row r="2366" spans="2:64" ht="15">
      <c r="B2366" s="84"/>
      <c r="D2366" s="84"/>
      <c r="E2366" s="84"/>
      <c r="F2366" s="84"/>
      <c r="G2366" s="84"/>
      <c r="R2366" s="251"/>
      <c r="S2366" s="251"/>
      <c r="BD2366" s="399">
        <v>2363</v>
      </c>
      <c r="BE2366" s="399" t="s">
        <v>6433</v>
      </c>
      <c r="BF2366" s="251" t="s">
        <v>6434</v>
      </c>
      <c r="BG2366" s="399" t="s">
        <v>423</v>
      </c>
      <c r="BH2366" s="252" t="s">
        <v>424</v>
      </c>
      <c r="BI2366" s="251" t="s">
        <v>334</v>
      </c>
      <c r="BJ2366" s="251" t="s">
        <v>390</v>
      </c>
      <c r="BK2366" s="251" t="s">
        <v>6435</v>
      </c>
      <c r="BL2366" s="251" t="s">
        <v>426</v>
      </c>
    </row>
    <row r="2367" spans="2:64" ht="15">
      <c r="B2367" s="84"/>
      <c r="D2367" s="84"/>
      <c r="E2367" s="84"/>
      <c r="F2367" s="84"/>
      <c r="G2367" s="84"/>
      <c r="R2367" s="251"/>
      <c r="S2367" s="251"/>
      <c r="BD2367" s="399">
        <v>2364</v>
      </c>
      <c r="BE2367" s="399" t="s">
        <v>6436</v>
      </c>
      <c r="BF2367" s="251" t="s">
        <v>6437</v>
      </c>
      <c r="BG2367" s="399" t="s">
        <v>623</v>
      </c>
      <c r="BH2367" s="252" t="s">
        <v>624</v>
      </c>
      <c r="BI2367" s="251" t="s">
        <v>445</v>
      </c>
      <c r="BJ2367" s="251" t="s">
        <v>385</v>
      </c>
      <c r="BK2367" s="251" t="s">
        <v>6438</v>
      </c>
      <c r="BL2367" s="251" t="s">
        <v>626</v>
      </c>
    </row>
    <row r="2368" spans="2:64" ht="15">
      <c r="B2368" s="84"/>
      <c r="D2368" s="84"/>
      <c r="E2368" s="84"/>
      <c r="F2368" s="84"/>
      <c r="G2368" s="84"/>
      <c r="R2368" s="251"/>
      <c r="S2368" s="251"/>
      <c r="BD2368" s="399">
        <v>2365</v>
      </c>
      <c r="BE2368" s="399" t="s">
        <v>6439</v>
      </c>
      <c r="BF2368" s="251" t="s">
        <v>6440</v>
      </c>
      <c r="BG2368" s="399" t="s">
        <v>405</v>
      </c>
      <c r="BH2368" s="252" t="s">
        <v>830</v>
      </c>
      <c r="BI2368" s="251" t="s">
        <v>331</v>
      </c>
      <c r="BJ2368" s="251" t="s">
        <v>366</v>
      </c>
      <c r="BK2368" s="251" t="s">
        <v>6441</v>
      </c>
      <c r="BL2368" s="251" t="s">
        <v>409</v>
      </c>
    </row>
    <row r="2369" spans="2:64" ht="15">
      <c r="B2369" s="84"/>
      <c r="D2369" s="84"/>
      <c r="E2369" s="84"/>
      <c r="F2369" s="84"/>
      <c r="G2369" s="84"/>
      <c r="R2369" s="251"/>
      <c r="S2369" s="251"/>
      <c r="BD2369" s="399">
        <v>2366</v>
      </c>
      <c r="BE2369" s="399" t="s">
        <v>6442</v>
      </c>
      <c r="BF2369" s="251" t="s">
        <v>6443</v>
      </c>
      <c r="BG2369" s="399">
        <v>51</v>
      </c>
      <c r="BH2369" s="252">
        <v>51</v>
      </c>
      <c r="BI2369" s="251" t="s">
        <v>331</v>
      </c>
      <c r="BJ2369" s="251" t="s">
        <v>407</v>
      </c>
      <c r="BK2369" s="251" t="s">
        <v>6444</v>
      </c>
      <c r="BL2369" s="251" t="s">
        <v>730</v>
      </c>
    </row>
    <row r="2370" spans="2:64" ht="15">
      <c r="B2370" s="84"/>
      <c r="D2370" s="84"/>
      <c r="E2370" s="84"/>
      <c r="F2370" s="84"/>
      <c r="G2370" s="84"/>
      <c r="R2370" s="251"/>
      <c r="S2370" s="251"/>
      <c r="BD2370" s="399">
        <v>2367</v>
      </c>
      <c r="BE2370" s="399" t="s">
        <v>6445</v>
      </c>
      <c r="BF2370" s="251" t="s">
        <v>6446</v>
      </c>
      <c r="BG2370" s="399" t="s">
        <v>395</v>
      </c>
      <c r="BH2370" s="252">
        <v>16</v>
      </c>
      <c r="BI2370" s="251" t="s">
        <v>331</v>
      </c>
      <c r="BJ2370" s="251" t="s">
        <v>407</v>
      </c>
      <c r="BK2370" s="251" t="s">
        <v>6447</v>
      </c>
      <c r="BL2370" s="251" t="s">
        <v>399</v>
      </c>
    </row>
    <row r="2371" spans="2:64" ht="15">
      <c r="B2371" s="84"/>
      <c r="D2371" s="84"/>
      <c r="E2371" s="84"/>
      <c r="F2371" s="84"/>
      <c r="G2371" s="84"/>
      <c r="R2371" s="251"/>
      <c r="S2371" s="251"/>
      <c r="BD2371" s="399">
        <v>2368</v>
      </c>
      <c r="BE2371" s="399" t="s">
        <v>6448</v>
      </c>
      <c r="BF2371" s="251" t="s">
        <v>6449</v>
      </c>
      <c r="BG2371" s="399" t="s">
        <v>405</v>
      </c>
      <c r="BH2371" s="252" t="s">
        <v>412</v>
      </c>
      <c r="BI2371" s="251" t="s">
        <v>390</v>
      </c>
      <c r="BJ2371" s="251" t="s">
        <v>351</v>
      </c>
      <c r="BK2371" s="251" t="s">
        <v>6450</v>
      </c>
      <c r="BL2371" s="251" t="s">
        <v>409</v>
      </c>
    </row>
    <row r="2372" spans="2:64" ht="15">
      <c r="B2372" s="84"/>
      <c r="D2372" s="84"/>
      <c r="E2372" s="84"/>
      <c r="F2372" s="84"/>
      <c r="G2372" s="84"/>
      <c r="R2372" s="251"/>
      <c r="S2372" s="251"/>
      <c r="BD2372" s="399">
        <v>2369</v>
      </c>
      <c r="BE2372" s="399" t="s">
        <v>6451</v>
      </c>
      <c r="BF2372" s="251" t="s">
        <v>6452</v>
      </c>
      <c r="BG2372" s="399" t="s">
        <v>405</v>
      </c>
      <c r="BH2372" s="252" t="s">
        <v>412</v>
      </c>
      <c r="BI2372" s="251" t="s">
        <v>450</v>
      </c>
      <c r="BJ2372" s="251" t="s">
        <v>366</v>
      </c>
      <c r="BK2372" s="251" t="s">
        <v>6453</v>
      </c>
      <c r="BL2372" s="251" t="s">
        <v>409</v>
      </c>
    </row>
    <row r="2373" spans="2:64" ht="15">
      <c r="B2373" s="84"/>
      <c r="D2373" s="84"/>
      <c r="E2373" s="84"/>
      <c r="F2373" s="84"/>
      <c r="G2373" s="84"/>
      <c r="R2373" s="251"/>
      <c r="S2373" s="251"/>
      <c r="BD2373" s="399">
        <v>2370</v>
      </c>
      <c r="BE2373" s="399" t="s">
        <v>6454</v>
      </c>
      <c r="BF2373" s="251" t="s">
        <v>6455</v>
      </c>
      <c r="BG2373" s="399" t="s">
        <v>733</v>
      </c>
      <c r="BH2373" s="252" t="s">
        <v>734</v>
      </c>
      <c r="BI2373" s="251" t="s">
        <v>332</v>
      </c>
      <c r="BJ2373" s="251" t="s">
        <v>366</v>
      </c>
      <c r="BK2373" s="251" t="s">
        <v>6456</v>
      </c>
      <c r="BL2373" s="251" t="s">
        <v>736</v>
      </c>
    </row>
    <row r="2374" spans="2:64" ht="15">
      <c r="B2374" s="84"/>
      <c r="D2374" s="84"/>
      <c r="E2374" s="84"/>
      <c r="F2374" s="84"/>
      <c r="G2374" s="84"/>
      <c r="R2374" s="251"/>
      <c r="S2374" s="251"/>
      <c r="BD2374" s="399">
        <v>2371</v>
      </c>
      <c r="BE2374" s="399" t="s">
        <v>6457</v>
      </c>
      <c r="BF2374" s="251" t="s">
        <v>6458</v>
      </c>
      <c r="BG2374" s="399" t="s">
        <v>423</v>
      </c>
      <c r="BH2374" s="252" t="s">
        <v>424</v>
      </c>
      <c r="BI2374" s="251" t="s">
        <v>491</v>
      </c>
      <c r="BJ2374" s="251" t="s">
        <v>539</v>
      </c>
      <c r="BK2374" s="251" t="s">
        <v>6459</v>
      </c>
      <c r="BL2374" s="251" t="s">
        <v>426</v>
      </c>
    </row>
    <row r="2375" spans="2:64" ht="15">
      <c r="B2375" s="84"/>
      <c r="D2375" s="84"/>
      <c r="E2375" s="84"/>
      <c r="F2375" s="84"/>
      <c r="G2375" s="84"/>
      <c r="R2375" s="251"/>
      <c r="S2375" s="251"/>
      <c r="BD2375" s="399">
        <v>2372</v>
      </c>
      <c r="BE2375" s="399" t="s">
        <v>6460</v>
      </c>
      <c r="BF2375" s="251" t="s">
        <v>6461</v>
      </c>
      <c r="BG2375" s="399">
        <v>54</v>
      </c>
      <c r="BH2375" s="252" t="s">
        <v>6462</v>
      </c>
      <c r="BI2375" s="251" t="s">
        <v>332</v>
      </c>
      <c r="BJ2375" s="251" t="s">
        <v>407</v>
      </c>
      <c r="BK2375" s="251" t="s">
        <v>6463</v>
      </c>
      <c r="BL2375" s="251" t="s">
        <v>930</v>
      </c>
    </row>
    <row r="2376" spans="2:64" ht="15">
      <c r="B2376" s="84"/>
      <c r="D2376" s="84"/>
      <c r="E2376" s="84"/>
      <c r="F2376" s="84"/>
      <c r="G2376" s="84"/>
      <c r="R2376" s="251"/>
      <c r="S2376" s="251"/>
      <c r="BD2376" s="399">
        <v>2373</v>
      </c>
      <c r="BE2376" s="399" t="s">
        <v>6464</v>
      </c>
      <c r="BF2376" s="251" t="s">
        <v>6465</v>
      </c>
      <c r="BG2376" s="399" t="s">
        <v>378</v>
      </c>
      <c r="BH2376" s="252">
        <v>11</v>
      </c>
      <c r="BI2376" s="251" t="s">
        <v>331</v>
      </c>
      <c r="BJ2376" s="251" t="s">
        <v>539</v>
      </c>
      <c r="BK2376" s="251" t="s">
        <v>6466</v>
      </c>
      <c r="BL2376" s="251" t="s">
        <v>382</v>
      </c>
    </row>
    <row r="2377" spans="2:64" ht="15">
      <c r="B2377" s="84"/>
      <c r="D2377" s="84"/>
      <c r="E2377" s="84"/>
      <c r="F2377" s="84"/>
      <c r="G2377" s="84"/>
      <c r="R2377" s="251"/>
      <c r="S2377" s="251"/>
      <c r="BD2377" s="399">
        <v>2374</v>
      </c>
      <c r="BE2377" s="399" t="s">
        <v>6467</v>
      </c>
      <c r="BF2377" s="251" t="s">
        <v>6468</v>
      </c>
      <c r="BG2377" s="399" t="s">
        <v>519</v>
      </c>
      <c r="BH2377" s="252">
        <v>30</v>
      </c>
      <c r="BI2377" s="251" t="s">
        <v>445</v>
      </c>
      <c r="BJ2377" s="251" t="s">
        <v>380</v>
      </c>
      <c r="BK2377" s="251" t="s">
        <v>6469</v>
      </c>
      <c r="BL2377" s="251" t="s">
        <v>521</v>
      </c>
    </row>
    <row r="2378" spans="2:64" ht="15">
      <c r="B2378" s="84"/>
      <c r="D2378" s="84"/>
      <c r="E2378" s="84"/>
      <c r="F2378" s="84"/>
      <c r="G2378" s="84"/>
      <c r="R2378" s="251"/>
      <c r="S2378" s="251"/>
      <c r="BD2378" s="399">
        <v>2375</v>
      </c>
      <c r="BE2378" s="399" t="s">
        <v>3497</v>
      </c>
      <c r="BF2378" s="251" t="s">
        <v>6470</v>
      </c>
      <c r="BG2378" s="399" t="s">
        <v>733</v>
      </c>
      <c r="BH2378" s="252" t="s">
        <v>734</v>
      </c>
      <c r="BI2378" s="251" t="s">
        <v>583</v>
      </c>
      <c r="BJ2378" s="251" t="s">
        <v>413</v>
      </c>
      <c r="BK2378" s="251" t="s">
        <v>4383</v>
      </c>
      <c r="BL2378" s="251" t="s">
        <v>736</v>
      </c>
    </row>
    <row r="2379" spans="2:64" ht="15">
      <c r="B2379" s="84"/>
      <c r="D2379" s="84"/>
      <c r="E2379" s="84"/>
      <c r="F2379" s="84"/>
      <c r="G2379" s="84"/>
      <c r="R2379" s="251"/>
      <c r="S2379" s="251"/>
      <c r="BD2379" s="399">
        <v>2376</v>
      </c>
      <c r="BE2379" s="399" t="s">
        <v>6471</v>
      </c>
      <c r="BF2379" s="251" t="s">
        <v>6472</v>
      </c>
      <c r="BG2379" s="399" t="s">
        <v>739</v>
      </c>
      <c r="BH2379" s="252">
        <v>45</v>
      </c>
      <c r="BI2379" s="251" t="s">
        <v>511</v>
      </c>
      <c r="BJ2379" s="251" t="s">
        <v>512</v>
      </c>
      <c r="BK2379" s="251" t="s">
        <v>6473</v>
      </c>
      <c r="BL2379" s="251" t="s">
        <v>742</v>
      </c>
    </row>
    <row r="2380" spans="2:64" ht="15">
      <c r="B2380" s="84"/>
      <c r="D2380" s="84"/>
      <c r="E2380" s="84"/>
      <c r="F2380" s="84"/>
      <c r="G2380" s="84"/>
      <c r="R2380" s="251"/>
      <c r="S2380" s="251"/>
      <c r="BD2380" s="399">
        <v>2377</v>
      </c>
      <c r="BE2380" s="399" t="s">
        <v>6474</v>
      </c>
      <c r="BF2380" s="251" t="s">
        <v>6475</v>
      </c>
      <c r="BG2380" s="399" t="s">
        <v>429</v>
      </c>
      <c r="BH2380" s="252" t="s">
        <v>430</v>
      </c>
      <c r="BI2380" s="251" t="s">
        <v>615</v>
      </c>
      <c r="BJ2380" s="251" t="s">
        <v>407</v>
      </c>
      <c r="BK2380" s="251" t="s">
        <v>6476</v>
      </c>
      <c r="BL2380" s="251" t="s">
        <v>432</v>
      </c>
    </row>
    <row r="2381" spans="2:64" ht="15">
      <c r="B2381" s="84"/>
      <c r="D2381" s="84"/>
      <c r="E2381" s="84"/>
      <c r="F2381" s="84"/>
      <c r="G2381" s="84"/>
      <c r="R2381" s="251"/>
      <c r="S2381" s="251"/>
      <c r="BD2381" s="399">
        <v>2378</v>
      </c>
      <c r="BE2381" s="399" t="s">
        <v>3261</v>
      </c>
      <c r="BF2381" s="251" t="s">
        <v>6477</v>
      </c>
      <c r="BG2381" s="399" t="s">
        <v>0</v>
      </c>
      <c r="BH2381" s="252">
        <v>48</v>
      </c>
      <c r="BI2381" s="251" t="s">
        <v>728</v>
      </c>
      <c r="BJ2381" s="251" t="s">
        <v>380</v>
      </c>
      <c r="BK2381" s="251" t="s">
        <v>3262</v>
      </c>
      <c r="BL2381" s="251" t="s">
        <v>818</v>
      </c>
    </row>
    <row r="2382" spans="2:64" ht="15">
      <c r="B2382" s="84"/>
      <c r="D2382" s="84"/>
      <c r="E2382" s="84"/>
      <c r="F2382" s="84"/>
      <c r="G2382" s="84"/>
      <c r="R2382" s="251"/>
      <c r="S2382" s="251"/>
      <c r="BD2382" s="399">
        <v>2379</v>
      </c>
      <c r="BE2382" s="399" t="s">
        <v>6478</v>
      </c>
      <c r="BF2382" s="251" t="s">
        <v>6479</v>
      </c>
      <c r="BG2382" s="399" t="s">
        <v>356</v>
      </c>
      <c r="BH2382" s="252">
        <v>18</v>
      </c>
      <c r="BI2382" s="251" t="s">
        <v>390</v>
      </c>
      <c r="BJ2382" s="251" t="s">
        <v>366</v>
      </c>
      <c r="BK2382" s="251" t="s">
        <v>6480</v>
      </c>
      <c r="BL2382" s="251" t="s">
        <v>360</v>
      </c>
    </row>
    <row r="2383" spans="2:64" ht="15">
      <c r="B2383" s="84"/>
      <c r="D2383" s="84"/>
      <c r="E2383" s="84"/>
      <c r="F2383" s="84"/>
      <c r="G2383" s="84"/>
      <c r="R2383" s="251"/>
      <c r="S2383" s="251"/>
      <c r="BD2383" s="399">
        <v>2380</v>
      </c>
      <c r="BE2383" s="399" t="s">
        <v>888</v>
      </c>
      <c r="BF2383" s="251" t="s">
        <v>6481</v>
      </c>
      <c r="BG2383" s="399" t="s">
        <v>363</v>
      </c>
      <c r="BH2383" s="252" t="s">
        <v>575</v>
      </c>
      <c r="BI2383" s="251" t="s">
        <v>332</v>
      </c>
      <c r="BJ2383" s="251" t="s">
        <v>397</v>
      </c>
      <c r="BK2383" s="251" t="s">
        <v>6482</v>
      </c>
      <c r="BL2383" s="251" t="s">
        <v>368</v>
      </c>
    </row>
    <row r="2384" spans="2:64" ht="15">
      <c r="B2384" s="84"/>
      <c r="D2384" s="84"/>
      <c r="E2384" s="84"/>
      <c r="F2384" s="84"/>
      <c r="G2384" s="84"/>
      <c r="R2384" s="251"/>
      <c r="S2384" s="251"/>
      <c r="BD2384" s="399">
        <v>2381</v>
      </c>
      <c r="BE2384" s="399" t="s">
        <v>6483</v>
      </c>
      <c r="BF2384" s="251" t="s">
        <v>6484</v>
      </c>
      <c r="BG2384" s="399" t="s">
        <v>378</v>
      </c>
      <c r="BH2384" s="252">
        <v>11</v>
      </c>
      <c r="BI2384" s="251" t="s">
        <v>1982</v>
      </c>
      <c r="BJ2384" s="251" t="s">
        <v>385</v>
      </c>
      <c r="BK2384" s="251" t="s">
        <v>6485</v>
      </c>
      <c r="BL2384" s="251" t="s">
        <v>382</v>
      </c>
    </row>
    <row r="2385" spans="2:64" ht="15">
      <c r="B2385" s="84"/>
      <c r="D2385" s="84"/>
      <c r="E2385" s="84"/>
      <c r="F2385" s="84"/>
      <c r="G2385" s="84"/>
      <c r="R2385" s="251"/>
      <c r="S2385" s="251"/>
      <c r="BD2385" s="399">
        <v>2382</v>
      </c>
      <c r="BE2385" s="399" t="s">
        <v>6486</v>
      </c>
      <c r="BF2385" s="251" t="s">
        <v>6487</v>
      </c>
      <c r="BG2385" s="399" t="s">
        <v>405</v>
      </c>
      <c r="BH2385" s="252" t="s">
        <v>1267</v>
      </c>
      <c r="BI2385" s="251" t="s">
        <v>563</v>
      </c>
      <c r="BJ2385" s="251" t="s">
        <v>380</v>
      </c>
      <c r="BK2385" s="251" t="s">
        <v>6488</v>
      </c>
      <c r="BL2385" s="251" t="s">
        <v>409</v>
      </c>
    </row>
    <row r="2386" spans="2:64" ht="15">
      <c r="B2386" s="84"/>
      <c r="D2386" s="84"/>
      <c r="E2386" s="84"/>
      <c r="F2386" s="84"/>
      <c r="G2386" s="84"/>
      <c r="R2386" s="251"/>
      <c r="S2386" s="251"/>
      <c r="BD2386" s="399">
        <v>2383</v>
      </c>
      <c r="BE2386" s="399" t="s">
        <v>3515</v>
      </c>
      <c r="BF2386" s="251" t="s">
        <v>6489</v>
      </c>
      <c r="BG2386" s="399" t="s">
        <v>739</v>
      </c>
      <c r="BH2386" s="252">
        <v>45</v>
      </c>
      <c r="BI2386" s="251" t="s">
        <v>583</v>
      </c>
      <c r="BJ2386" s="251" t="s">
        <v>413</v>
      </c>
      <c r="BK2386" s="251" t="s">
        <v>3516</v>
      </c>
      <c r="BL2386" s="251" t="s">
        <v>742</v>
      </c>
    </row>
    <row r="2387" spans="2:64" ht="15">
      <c r="B2387" s="84"/>
      <c r="D2387" s="84"/>
      <c r="E2387" s="84"/>
      <c r="F2387" s="84"/>
      <c r="G2387" s="84"/>
      <c r="R2387" s="251"/>
      <c r="S2387" s="251"/>
      <c r="BD2387" s="399">
        <v>2384</v>
      </c>
      <c r="BE2387" s="399" t="s">
        <v>6490</v>
      </c>
      <c r="BF2387" s="251" t="s">
        <v>6491</v>
      </c>
      <c r="BG2387" s="399" t="s">
        <v>405</v>
      </c>
      <c r="BH2387" s="252" t="s">
        <v>760</v>
      </c>
      <c r="BI2387" s="251" t="s">
        <v>579</v>
      </c>
      <c r="BJ2387" s="251" t="s">
        <v>539</v>
      </c>
      <c r="BK2387" s="251" t="s">
        <v>6492</v>
      </c>
      <c r="BL2387" s="251" t="s">
        <v>409</v>
      </c>
    </row>
    <row r="2388" spans="2:64" ht="15">
      <c r="B2388" s="84"/>
      <c r="D2388" s="84"/>
      <c r="E2388" s="84"/>
      <c r="F2388" s="84"/>
      <c r="G2388" s="84"/>
      <c r="R2388" s="251"/>
      <c r="S2388" s="251"/>
      <c r="BD2388" s="399">
        <v>2385</v>
      </c>
      <c r="BE2388" s="399" t="s">
        <v>6493</v>
      </c>
      <c r="BF2388" s="251" t="s">
        <v>6494</v>
      </c>
      <c r="BG2388" s="399">
        <v>51</v>
      </c>
      <c r="BH2388" s="252" t="s">
        <v>2125</v>
      </c>
      <c r="BI2388" s="251" t="s">
        <v>728</v>
      </c>
      <c r="BJ2388" s="251" t="s">
        <v>351</v>
      </c>
      <c r="BK2388" s="251" t="s">
        <v>6495</v>
      </c>
      <c r="BL2388" s="251" t="s">
        <v>730</v>
      </c>
    </row>
    <row r="2389" spans="2:64" ht="15">
      <c r="B2389" s="84"/>
      <c r="D2389" s="84"/>
      <c r="E2389" s="84"/>
      <c r="F2389" s="84"/>
      <c r="G2389" s="84"/>
      <c r="R2389" s="251"/>
      <c r="S2389" s="251"/>
      <c r="BD2389" s="399">
        <v>2386</v>
      </c>
      <c r="BE2389" s="399" t="s">
        <v>6496</v>
      </c>
      <c r="BF2389" s="251" t="s">
        <v>6497</v>
      </c>
      <c r="BG2389" s="399" t="s">
        <v>566</v>
      </c>
      <c r="BH2389" s="252" t="s">
        <v>567</v>
      </c>
      <c r="BI2389" s="251" t="s">
        <v>450</v>
      </c>
      <c r="BJ2389" s="251" t="s">
        <v>397</v>
      </c>
      <c r="BK2389" s="251" t="s">
        <v>6498</v>
      </c>
      <c r="BL2389" s="251" t="s">
        <v>569</v>
      </c>
    </row>
    <row r="2390" spans="2:64" ht="15">
      <c r="B2390" s="84"/>
      <c r="D2390" s="84"/>
      <c r="E2390" s="84"/>
      <c r="F2390" s="84"/>
      <c r="G2390" s="84"/>
      <c r="R2390" s="251"/>
      <c r="S2390" s="251"/>
      <c r="BD2390" s="399">
        <v>2387</v>
      </c>
      <c r="BE2390" s="399" t="s">
        <v>6499</v>
      </c>
      <c r="BF2390" s="251" t="s">
        <v>6500</v>
      </c>
      <c r="BG2390" s="399" t="s">
        <v>395</v>
      </c>
      <c r="BH2390" s="252">
        <v>16</v>
      </c>
      <c r="BI2390" s="251" t="s">
        <v>350</v>
      </c>
      <c r="BJ2390" s="251" t="s">
        <v>351</v>
      </c>
      <c r="BK2390" s="251" t="s">
        <v>6501</v>
      </c>
      <c r="BL2390" s="251" t="s">
        <v>399</v>
      </c>
    </row>
    <row r="2391" spans="2:64" ht="15">
      <c r="B2391" s="84"/>
      <c r="D2391" s="84"/>
      <c r="E2391" s="84"/>
      <c r="F2391" s="84"/>
      <c r="G2391" s="84"/>
      <c r="R2391" s="251"/>
      <c r="S2391" s="251"/>
      <c r="BD2391" s="399">
        <v>2388</v>
      </c>
      <c r="BE2391" s="399" t="s">
        <v>6502</v>
      </c>
      <c r="BF2391" s="251" t="s">
        <v>6503</v>
      </c>
      <c r="BG2391" s="399" t="s">
        <v>429</v>
      </c>
      <c r="BH2391" s="252" t="s">
        <v>430</v>
      </c>
      <c r="BI2391" s="251" t="s">
        <v>350</v>
      </c>
      <c r="BJ2391" s="251" t="s">
        <v>397</v>
      </c>
      <c r="BK2391" s="251" t="s">
        <v>6504</v>
      </c>
      <c r="BL2391" s="251" t="s">
        <v>432</v>
      </c>
    </row>
    <row r="2392" spans="2:64" ht="15">
      <c r="B2392" s="84"/>
      <c r="D2392" s="84"/>
      <c r="E2392" s="84"/>
      <c r="F2392" s="84"/>
      <c r="G2392" s="84"/>
      <c r="R2392" s="251"/>
      <c r="S2392" s="251"/>
      <c r="BD2392" s="399">
        <v>2389</v>
      </c>
      <c r="BE2392" s="399" t="s">
        <v>6505</v>
      </c>
      <c r="BF2392" s="251" t="s">
        <v>6506</v>
      </c>
      <c r="BG2392" s="399" t="s">
        <v>405</v>
      </c>
      <c r="BH2392" s="252" t="s">
        <v>830</v>
      </c>
      <c r="BI2392" s="251" t="s">
        <v>332</v>
      </c>
      <c r="BJ2392" s="251" t="s">
        <v>397</v>
      </c>
      <c r="BK2392" s="251" t="s">
        <v>6507</v>
      </c>
      <c r="BL2392" s="251" t="s">
        <v>409</v>
      </c>
    </row>
    <row r="2393" spans="2:64" ht="15">
      <c r="B2393" s="84"/>
      <c r="D2393" s="84"/>
      <c r="E2393" s="84"/>
      <c r="F2393" s="84"/>
      <c r="G2393" s="84"/>
      <c r="R2393" s="251"/>
      <c r="S2393" s="251"/>
      <c r="BD2393" s="399">
        <v>2390</v>
      </c>
      <c r="BE2393" s="399" t="s">
        <v>6508</v>
      </c>
      <c r="BF2393" s="251" t="s">
        <v>6509</v>
      </c>
      <c r="BG2393" s="399" t="s">
        <v>623</v>
      </c>
      <c r="BH2393" s="252">
        <v>40</v>
      </c>
      <c r="BI2393" s="251" t="s">
        <v>450</v>
      </c>
      <c r="BJ2393" s="251" t="s">
        <v>397</v>
      </c>
      <c r="BK2393" s="251" t="s">
        <v>6510</v>
      </c>
      <c r="BL2393" s="251" t="s">
        <v>626</v>
      </c>
    </row>
    <row r="2394" spans="2:64" ht="15">
      <c r="B2394" s="84"/>
      <c r="D2394" s="84"/>
      <c r="E2394" s="84"/>
      <c r="F2394" s="84"/>
      <c r="G2394" s="84"/>
      <c r="R2394" s="251"/>
      <c r="S2394" s="251"/>
      <c r="BD2394" s="399">
        <v>2391</v>
      </c>
      <c r="BE2394" s="399" t="s">
        <v>6511</v>
      </c>
      <c r="BF2394" s="251" t="s">
        <v>6512</v>
      </c>
      <c r="BG2394" s="399" t="s">
        <v>356</v>
      </c>
      <c r="BH2394" s="252">
        <v>18</v>
      </c>
      <c r="BI2394" s="251" t="s">
        <v>563</v>
      </c>
      <c r="BJ2394" s="251" t="s">
        <v>539</v>
      </c>
      <c r="BK2394" s="251" t="s">
        <v>6513</v>
      </c>
      <c r="BL2394" s="251" t="s">
        <v>360</v>
      </c>
    </row>
    <row r="2395" spans="2:64" ht="15">
      <c r="B2395" s="84"/>
      <c r="D2395" s="84"/>
      <c r="E2395" s="84"/>
      <c r="F2395" s="84"/>
      <c r="G2395" s="84"/>
      <c r="R2395" s="251"/>
      <c r="S2395" s="251"/>
      <c r="BD2395" s="399">
        <v>2392</v>
      </c>
      <c r="BE2395" s="399" t="s">
        <v>6514</v>
      </c>
      <c r="BF2395" s="251" t="s">
        <v>6515</v>
      </c>
      <c r="BG2395" s="399" t="s">
        <v>435</v>
      </c>
      <c r="BH2395" s="252" t="s">
        <v>436</v>
      </c>
      <c r="BI2395" s="251" t="s">
        <v>365</v>
      </c>
      <c r="BJ2395" s="251" t="s">
        <v>539</v>
      </c>
      <c r="BK2395" s="251" t="s">
        <v>6516</v>
      </c>
      <c r="BL2395" s="251" t="s">
        <v>439</v>
      </c>
    </row>
    <row r="2396" spans="2:64" ht="15">
      <c r="B2396" s="84"/>
      <c r="D2396" s="84"/>
      <c r="E2396" s="84"/>
      <c r="F2396" s="84"/>
      <c r="G2396" s="84"/>
      <c r="R2396" s="251"/>
      <c r="S2396" s="251"/>
      <c r="BD2396" s="399">
        <v>2393</v>
      </c>
      <c r="BE2396" s="399" t="s">
        <v>6517</v>
      </c>
      <c r="BF2396" s="251" t="s">
        <v>6518</v>
      </c>
      <c r="BG2396" s="399" t="s">
        <v>475</v>
      </c>
      <c r="BH2396" s="252" t="s">
        <v>510</v>
      </c>
      <c r="BI2396" s="251" t="s">
        <v>445</v>
      </c>
      <c r="BJ2396" s="251" t="s">
        <v>380</v>
      </c>
      <c r="BK2396" s="251" t="s">
        <v>6519</v>
      </c>
      <c r="BL2396" s="251" t="s">
        <v>479</v>
      </c>
    </row>
    <row r="2397" spans="2:64" ht="15">
      <c r="B2397" s="84"/>
      <c r="D2397" s="84"/>
      <c r="E2397" s="84"/>
      <c r="F2397" s="84"/>
      <c r="G2397" s="84"/>
      <c r="R2397" s="251"/>
      <c r="S2397" s="251"/>
      <c r="BD2397" s="399">
        <v>2394</v>
      </c>
      <c r="BE2397" s="399" t="s">
        <v>6520</v>
      </c>
      <c r="BF2397" s="251" t="s">
        <v>6521</v>
      </c>
      <c r="BG2397" s="399" t="s">
        <v>405</v>
      </c>
      <c r="BH2397" s="252" t="s">
        <v>1395</v>
      </c>
      <c r="BI2397" s="251" t="s">
        <v>365</v>
      </c>
      <c r="BJ2397" s="251" t="s">
        <v>366</v>
      </c>
      <c r="BK2397" s="251" t="s">
        <v>6522</v>
      </c>
      <c r="BL2397" s="251" t="s">
        <v>409</v>
      </c>
    </row>
    <row r="2398" spans="2:64" ht="15">
      <c r="B2398" s="84"/>
      <c r="D2398" s="84"/>
      <c r="E2398" s="84"/>
      <c r="F2398" s="84"/>
      <c r="G2398" s="84"/>
      <c r="R2398" s="251"/>
      <c r="S2398" s="251"/>
      <c r="BD2398" s="399">
        <v>2395</v>
      </c>
      <c r="BE2398" s="399" t="s">
        <v>6523</v>
      </c>
      <c r="BF2398" s="251" t="s">
        <v>6524</v>
      </c>
      <c r="BG2398" s="399" t="s">
        <v>363</v>
      </c>
      <c r="BH2398" s="252" t="s">
        <v>364</v>
      </c>
      <c r="BI2398" s="251" t="s">
        <v>445</v>
      </c>
      <c r="BJ2398" s="251" t="s">
        <v>366</v>
      </c>
      <c r="BK2398" s="251" t="s">
        <v>6525</v>
      </c>
      <c r="BL2398" s="251" t="s">
        <v>368</v>
      </c>
    </row>
    <row r="2399" spans="2:64" ht="15">
      <c r="B2399" s="84"/>
      <c r="D2399" s="84"/>
      <c r="E2399" s="84"/>
      <c r="F2399" s="84"/>
      <c r="G2399" s="84"/>
      <c r="R2399" s="251"/>
      <c r="S2399" s="251"/>
      <c r="BD2399" s="399">
        <v>2396</v>
      </c>
      <c r="BE2399" s="399" t="s">
        <v>6526</v>
      </c>
      <c r="BF2399" s="251" t="s">
        <v>6527</v>
      </c>
      <c r="BG2399" s="399" t="s">
        <v>489</v>
      </c>
      <c r="BH2399" s="252" t="s">
        <v>958</v>
      </c>
      <c r="BI2399" s="251" t="s">
        <v>332</v>
      </c>
      <c r="BJ2399" s="251" t="s">
        <v>539</v>
      </c>
      <c r="BK2399" s="251" t="s">
        <v>6528</v>
      </c>
      <c r="BL2399" s="251" t="s">
        <v>493</v>
      </c>
    </row>
    <row r="2400" spans="2:64" ht="15">
      <c r="B2400" s="84"/>
      <c r="D2400" s="84"/>
      <c r="E2400" s="84"/>
      <c r="F2400" s="84"/>
      <c r="G2400" s="84"/>
      <c r="R2400" s="251"/>
      <c r="S2400" s="251"/>
      <c r="BD2400" s="399">
        <v>2397</v>
      </c>
      <c r="BE2400" s="399" t="s">
        <v>6529</v>
      </c>
      <c r="BF2400" s="251" t="s">
        <v>6530</v>
      </c>
      <c r="BG2400" s="399" t="s">
        <v>405</v>
      </c>
      <c r="BH2400" s="252" t="s">
        <v>412</v>
      </c>
      <c r="BI2400" s="251" t="s">
        <v>450</v>
      </c>
      <c r="BJ2400" s="251" t="s">
        <v>351</v>
      </c>
      <c r="BK2400" s="251" t="s">
        <v>6531</v>
      </c>
      <c r="BL2400" s="251" t="s">
        <v>409</v>
      </c>
    </row>
    <row r="2401" spans="2:64" ht="15">
      <c r="B2401" s="84"/>
      <c r="D2401" s="84"/>
      <c r="E2401" s="84"/>
      <c r="F2401" s="84"/>
      <c r="G2401" s="84"/>
      <c r="R2401" s="251"/>
      <c r="S2401" s="251"/>
      <c r="BD2401" s="399">
        <v>2398</v>
      </c>
      <c r="BE2401" s="399" t="s">
        <v>6532</v>
      </c>
      <c r="BF2401" s="251" t="s">
        <v>6533</v>
      </c>
      <c r="BG2401" s="399" t="s">
        <v>405</v>
      </c>
      <c r="BH2401" s="252" t="s">
        <v>1395</v>
      </c>
      <c r="BI2401" s="251" t="s">
        <v>365</v>
      </c>
      <c r="BJ2401" s="251" t="s">
        <v>397</v>
      </c>
      <c r="BK2401" s="251" t="s">
        <v>6534</v>
      </c>
      <c r="BL2401" s="251" t="s">
        <v>409</v>
      </c>
    </row>
    <row r="2402" spans="2:64" ht="15">
      <c r="B2402" s="84"/>
      <c r="D2402" s="84"/>
      <c r="E2402" s="84"/>
      <c r="F2402" s="84"/>
      <c r="G2402" s="84"/>
      <c r="R2402" s="251"/>
      <c r="S2402" s="251"/>
      <c r="BD2402" s="399">
        <v>2399</v>
      </c>
      <c r="BE2402" s="399" t="s">
        <v>6535</v>
      </c>
      <c r="BF2402" s="251" t="s">
        <v>6536</v>
      </c>
      <c r="BG2402" s="399" t="s">
        <v>475</v>
      </c>
      <c r="BH2402" s="252" t="s">
        <v>510</v>
      </c>
      <c r="BI2402" s="251" t="s">
        <v>563</v>
      </c>
      <c r="BJ2402" s="251" t="s">
        <v>397</v>
      </c>
      <c r="BK2402" s="251" t="s">
        <v>6537</v>
      </c>
      <c r="BL2402" s="251" t="s">
        <v>479</v>
      </c>
    </row>
    <row r="2403" spans="2:64" ht="15">
      <c r="B2403" s="84"/>
      <c r="D2403" s="84"/>
      <c r="E2403" s="84"/>
      <c r="F2403" s="84"/>
      <c r="G2403" s="84"/>
      <c r="R2403" s="251"/>
      <c r="S2403" s="251"/>
      <c r="BD2403" s="399">
        <v>2400</v>
      </c>
      <c r="BE2403" s="399" t="s">
        <v>6538</v>
      </c>
      <c r="BF2403" s="251" t="s">
        <v>6539</v>
      </c>
      <c r="BG2403" s="399" t="s">
        <v>566</v>
      </c>
      <c r="BH2403" s="252" t="s">
        <v>6540</v>
      </c>
      <c r="BI2403" s="251" t="s">
        <v>334</v>
      </c>
      <c r="BJ2403" s="251" t="s">
        <v>413</v>
      </c>
      <c r="BK2403" s="251" t="s">
        <v>6541</v>
      </c>
      <c r="BL2403" s="251" t="s">
        <v>569</v>
      </c>
    </row>
    <row r="2404" spans="2:64" ht="15">
      <c r="B2404" s="84"/>
      <c r="D2404" s="84"/>
      <c r="E2404" s="84"/>
      <c r="F2404" s="84"/>
      <c r="G2404" s="84"/>
      <c r="R2404" s="251"/>
      <c r="S2404" s="251"/>
      <c r="BD2404" s="399">
        <v>2401</v>
      </c>
      <c r="BE2404" s="399" t="s">
        <v>6542</v>
      </c>
      <c r="BF2404" s="251" t="s">
        <v>6543</v>
      </c>
      <c r="BG2404" s="399" t="s">
        <v>405</v>
      </c>
      <c r="BH2404" s="252" t="s">
        <v>528</v>
      </c>
      <c r="BI2404" s="251" t="s">
        <v>365</v>
      </c>
      <c r="BJ2404" s="251" t="s">
        <v>385</v>
      </c>
      <c r="BK2404" s="251" t="s">
        <v>6544</v>
      </c>
      <c r="BL2404" s="251" t="s">
        <v>409</v>
      </c>
    </row>
    <row r="2405" spans="2:64" ht="15">
      <c r="B2405" s="84"/>
      <c r="D2405" s="84"/>
      <c r="E2405" s="84"/>
      <c r="F2405" s="84"/>
      <c r="G2405" s="84"/>
      <c r="R2405" s="251"/>
      <c r="S2405" s="251"/>
      <c r="BD2405" s="399">
        <v>2402</v>
      </c>
      <c r="BE2405" s="399" t="s">
        <v>1431</v>
      </c>
      <c r="BF2405" s="251" t="s">
        <v>6545</v>
      </c>
      <c r="BG2405" s="399" t="s">
        <v>469</v>
      </c>
      <c r="BH2405" s="252" t="s">
        <v>470</v>
      </c>
      <c r="BI2405" s="251" t="s">
        <v>333</v>
      </c>
      <c r="BJ2405" s="251" t="s">
        <v>380</v>
      </c>
      <c r="BK2405" s="251" t="s">
        <v>1433</v>
      </c>
      <c r="BL2405" s="251" t="s">
        <v>472</v>
      </c>
    </row>
    <row r="2406" spans="2:64" ht="15">
      <c r="B2406" s="84"/>
      <c r="D2406" s="84"/>
      <c r="E2406" s="84"/>
      <c r="F2406" s="84"/>
      <c r="G2406" s="84"/>
      <c r="R2406" s="251"/>
      <c r="S2406" s="251"/>
      <c r="BD2406" s="399">
        <v>2403</v>
      </c>
      <c r="BE2406" s="399" t="s">
        <v>6546</v>
      </c>
      <c r="BF2406" s="251" t="s">
        <v>6547</v>
      </c>
      <c r="BG2406" s="399" t="s">
        <v>405</v>
      </c>
      <c r="BH2406" s="252" t="s">
        <v>1241</v>
      </c>
      <c r="BI2406" s="251" t="s">
        <v>1817</v>
      </c>
      <c r="BJ2406" s="251" t="s">
        <v>380</v>
      </c>
      <c r="BK2406" s="251" t="s">
        <v>6548</v>
      </c>
      <c r="BL2406" s="251" t="s">
        <v>409</v>
      </c>
    </row>
    <row r="2407" spans="2:64" ht="15">
      <c r="B2407" s="84"/>
      <c r="D2407" s="84"/>
      <c r="E2407" s="84"/>
      <c r="F2407" s="84"/>
      <c r="G2407" s="84"/>
      <c r="R2407" s="251"/>
      <c r="S2407" s="251"/>
      <c r="BD2407" s="399">
        <v>2404</v>
      </c>
      <c r="BE2407" s="399" t="s">
        <v>6549</v>
      </c>
      <c r="BF2407" s="251" t="s">
        <v>6550</v>
      </c>
      <c r="BG2407" s="399">
        <v>54</v>
      </c>
      <c r="BH2407" s="252" t="s">
        <v>5922</v>
      </c>
      <c r="BI2407" s="251" t="s">
        <v>635</v>
      </c>
      <c r="BJ2407" s="251" t="s">
        <v>413</v>
      </c>
      <c r="BK2407" s="251" t="s">
        <v>6551</v>
      </c>
      <c r="BL2407" s="251" t="s">
        <v>930</v>
      </c>
    </row>
    <row r="2408" spans="2:64" ht="15">
      <c r="B2408" s="84"/>
      <c r="D2408" s="84"/>
      <c r="E2408" s="84"/>
      <c r="F2408" s="84"/>
      <c r="G2408" s="84"/>
      <c r="R2408" s="251"/>
      <c r="S2408" s="251"/>
      <c r="BD2408" s="399">
        <v>2405</v>
      </c>
      <c r="BE2408" s="399" t="s">
        <v>6552</v>
      </c>
      <c r="BF2408" s="251" t="s">
        <v>6553</v>
      </c>
      <c r="BG2408" s="399" t="s">
        <v>435</v>
      </c>
      <c r="BH2408" s="252" t="s">
        <v>651</v>
      </c>
      <c r="BI2408" s="251" t="s">
        <v>1982</v>
      </c>
      <c r="BJ2408" s="251" t="s">
        <v>380</v>
      </c>
      <c r="BK2408" s="251" t="s">
        <v>6554</v>
      </c>
      <c r="BL2408" s="251" t="s">
        <v>439</v>
      </c>
    </row>
    <row r="2409" spans="2:64" ht="15">
      <c r="B2409" s="84"/>
      <c r="D2409" s="84"/>
      <c r="E2409" s="84"/>
      <c r="F2409" s="84"/>
      <c r="G2409" s="84"/>
      <c r="R2409" s="251"/>
      <c r="S2409" s="251"/>
      <c r="BD2409" s="399">
        <v>2406</v>
      </c>
      <c r="BE2409" s="399" t="s">
        <v>6555</v>
      </c>
      <c r="BF2409" s="251" t="s">
        <v>6556</v>
      </c>
      <c r="BG2409" s="399" t="s">
        <v>435</v>
      </c>
      <c r="BH2409" s="252" t="s">
        <v>436</v>
      </c>
      <c r="BI2409" s="251" t="s">
        <v>477</v>
      </c>
      <c r="BJ2409" s="251" t="s">
        <v>380</v>
      </c>
      <c r="BK2409" s="251" t="s">
        <v>6557</v>
      </c>
      <c r="BL2409" s="251" t="s">
        <v>439</v>
      </c>
    </row>
    <row r="2410" spans="2:64" ht="15">
      <c r="B2410" s="84"/>
      <c r="D2410" s="84"/>
      <c r="E2410" s="84"/>
      <c r="F2410" s="84"/>
      <c r="G2410" s="84"/>
      <c r="R2410" s="251"/>
      <c r="S2410" s="251"/>
      <c r="BD2410" s="399">
        <v>2407</v>
      </c>
      <c r="BE2410" s="399" t="s">
        <v>6558</v>
      </c>
      <c r="BF2410" s="251" t="s">
        <v>6559</v>
      </c>
      <c r="BG2410" s="399" t="s">
        <v>590</v>
      </c>
      <c r="BH2410" s="252">
        <v>44</v>
      </c>
      <c r="BI2410" s="251" t="s">
        <v>728</v>
      </c>
      <c r="BJ2410" s="251" t="s">
        <v>390</v>
      </c>
      <c r="BK2410" s="251" t="s">
        <v>6560</v>
      </c>
      <c r="BL2410" s="251" t="s">
        <v>592</v>
      </c>
    </row>
    <row r="2411" spans="2:64" ht="15">
      <c r="B2411" s="84"/>
      <c r="D2411" s="84"/>
      <c r="E2411" s="84"/>
      <c r="F2411" s="84"/>
      <c r="G2411" s="84"/>
      <c r="R2411" s="251"/>
      <c r="S2411" s="251"/>
      <c r="BD2411" s="399">
        <v>2408</v>
      </c>
      <c r="BE2411" s="399" t="s">
        <v>6561</v>
      </c>
      <c r="BF2411" s="251" t="s">
        <v>6562</v>
      </c>
      <c r="BG2411" s="399">
        <v>52</v>
      </c>
      <c r="BH2411" s="252">
        <v>52</v>
      </c>
      <c r="BI2411" s="251" t="s">
        <v>331</v>
      </c>
      <c r="BJ2411" s="251" t="s">
        <v>380</v>
      </c>
      <c r="BK2411" s="251" t="s">
        <v>6563</v>
      </c>
      <c r="BL2411" s="251" t="s">
        <v>1121</v>
      </c>
    </row>
    <row r="2412" spans="2:64" ht="15">
      <c r="B2412" s="84"/>
      <c r="D2412" s="84"/>
      <c r="E2412" s="84"/>
      <c r="F2412" s="84"/>
      <c r="G2412" s="84"/>
      <c r="R2412" s="251"/>
      <c r="S2412" s="251"/>
      <c r="BD2412" s="399">
        <v>2409</v>
      </c>
      <c r="BE2412" s="399" t="s">
        <v>6564</v>
      </c>
      <c r="BF2412" s="251" t="s">
        <v>6565</v>
      </c>
      <c r="BG2412" s="399" t="s">
        <v>475</v>
      </c>
      <c r="BH2412" s="252" t="s">
        <v>510</v>
      </c>
      <c r="BI2412" s="251" t="s">
        <v>332</v>
      </c>
      <c r="BJ2412" s="251" t="s">
        <v>407</v>
      </c>
      <c r="BK2412" s="251" t="s">
        <v>6566</v>
      </c>
      <c r="BL2412" s="251" t="s">
        <v>479</v>
      </c>
    </row>
    <row r="2413" spans="2:64" ht="15">
      <c r="B2413" s="84"/>
      <c r="D2413" s="84"/>
      <c r="E2413" s="84"/>
      <c r="F2413" s="84"/>
      <c r="G2413" s="84"/>
      <c r="R2413" s="251"/>
      <c r="S2413" s="251"/>
      <c r="BD2413" s="399">
        <v>2410</v>
      </c>
      <c r="BE2413" s="399" t="s">
        <v>6567</v>
      </c>
      <c r="BF2413" s="251" t="s">
        <v>6568</v>
      </c>
      <c r="BG2413" s="399" t="s">
        <v>423</v>
      </c>
      <c r="BH2413" s="252" t="s">
        <v>424</v>
      </c>
      <c r="BI2413" s="251" t="s">
        <v>334</v>
      </c>
      <c r="BJ2413" s="251" t="s">
        <v>385</v>
      </c>
      <c r="BK2413" s="251" t="s">
        <v>6569</v>
      </c>
      <c r="BL2413" s="251" t="s">
        <v>426</v>
      </c>
    </row>
    <row r="2414" spans="2:64" ht="15">
      <c r="B2414" s="84"/>
      <c r="D2414" s="84"/>
      <c r="E2414" s="84"/>
      <c r="F2414" s="84"/>
      <c r="G2414" s="84"/>
      <c r="R2414" s="251"/>
      <c r="S2414" s="251"/>
      <c r="BD2414" s="399">
        <v>2411</v>
      </c>
      <c r="BE2414" s="399" t="s">
        <v>6570</v>
      </c>
      <c r="BF2414" s="251" t="s">
        <v>6571</v>
      </c>
      <c r="BG2414" s="399" t="s">
        <v>371</v>
      </c>
      <c r="BH2414" s="252">
        <v>28</v>
      </c>
      <c r="BI2414" s="251" t="s">
        <v>450</v>
      </c>
      <c r="BJ2414" s="251" t="s">
        <v>407</v>
      </c>
      <c r="BK2414" s="251" t="s">
        <v>6572</v>
      </c>
      <c r="BL2414" s="251" t="s">
        <v>375</v>
      </c>
    </row>
    <row r="2415" spans="2:64" ht="15">
      <c r="B2415" s="84"/>
      <c r="D2415" s="84"/>
      <c r="E2415" s="84"/>
      <c r="F2415" s="84"/>
      <c r="G2415" s="84"/>
      <c r="R2415" s="251"/>
      <c r="S2415" s="251"/>
      <c r="BD2415" s="399">
        <v>2412</v>
      </c>
      <c r="BE2415" s="399" t="s">
        <v>6573</v>
      </c>
      <c r="BF2415" s="251" t="s">
        <v>6574</v>
      </c>
      <c r="BG2415" s="399" t="s">
        <v>469</v>
      </c>
      <c r="BH2415" s="252" t="s">
        <v>470</v>
      </c>
      <c r="BI2415" s="251" t="s">
        <v>331</v>
      </c>
      <c r="BJ2415" s="251" t="s">
        <v>351</v>
      </c>
      <c r="BK2415" s="251" t="s">
        <v>6575</v>
      </c>
      <c r="BL2415" s="251" t="s">
        <v>472</v>
      </c>
    </row>
    <row r="2416" spans="2:64" ht="15">
      <c r="B2416" s="84"/>
      <c r="D2416" s="84"/>
      <c r="E2416" s="84"/>
      <c r="F2416" s="84"/>
      <c r="G2416" s="84"/>
      <c r="R2416" s="251"/>
      <c r="S2416" s="251"/>
      <c r="BD2416" s="399">
        <v>2413</v>
      </c>
      <c r="BE2416" s="399" t="s">
        <v>6576</v>
      </c>
      <c r="BF2416" s="251" t="s">
        <v>6577</v>
      </c>
      <c r="BG2416" s="399" t="s">
        <v>455</v>
      </c>
      <c r="BH2416" s="252">
        <v>35</v>
      </c>
      <c r="BI2416" s="251" t="s">
        <v>331</v>
      </c>
      <c r="BJ2416" s="251" t="s">
        <v>366</v>
      </c>
      <c r="BK2416" s="251" t="s">
        <v>6578</v>
      </c>
      <c r="BL2416" s="251" t="s">
        <v>458</v>
      </c>
    </row>
    <row r="2417" spans="2:64" ht="15">
      <c r="B2417" s="84"/>
      <c r="D2417" s="84"/>
      <c r="E2417" s="84"/>
      <c r="F2417" s="84"/>
      <c r="G2417" s="84"/>
      <c r="R2417" s="251"/>
      <c r="S2417" s="251"/>
      <c r="BD2417" s="399">
        <v>2414</v>
      </c>
      <c r="BE2417" s="399" t="s">
        <v>6317</v>
      </c>
      <c r="BF2417" s="251" t="s">
        <v>6579</v>
      </c>
      <c r="BG2417" s="399" t="s">
        <v>363</v>
      </c>
      <c r="BH2417" s="252" t="s">
        <v>364</v>
      </c>
      <c r="BI2417" s="251" t="s">
        <v>535</v>
      </c>
      <c r="BJ2417" s="251" t="s">
        <v>373</v>
      </c>
      <c r="BK2417" s="251" t="s">
        <v>6580</v>
      </c>
      <c r="BL2417" s="251" t="s">
        <v>368</v>
      </c>
    </row>
    <row r="2418" spans="2:64" ht="15">
      <c r="B2418" s="84"/>
      <c r="D2418" s="84"/>
      <c r="E2418" s="84"/>
      <c r="F2418" s="84"/>
      <c r="G2418" s="84"/>
      <c r="R2418" s="251"/>
      <c r="S2418" s="251"/>
      <c r="BD2418" s="399">
        <v>2415</v>
      </c>
      <c r="BE2418" s="399" t="s">
        <v>6581</v>
      </c>
      <c r="BF2418" s="251" t="s">
        <v>6582</v>
      </c>
      <c r="BG2418" s="399" t="s">
        <v>405</v>
      </c>
      <c r="BH2418" s="252" t="s">
        <v>830</v>
      </c>
      <c r="BI2418" s="251" t="s">
        <v>332</v>
      </c>
      <c r="BJ2418" s="251" t="s">
        <v>539</v>
      </c>
      <c r="BK2418" s="251" t="s">
        <v>6583</v>
      </c>
      <c r="BL2418" s="251" t="s">
        <v>409</v>
      </c>
    </row>
    <row r="2419" spans="2:64" ht="15">
      <c r="B2419" s="84"/>
      <c r="D2419" s="84"/>
      <c r="E2419" s="84"/>
      <c r="F2419" s="84"/>
      <c r="G2419" s="84"/>
      <c r="R2419" s="251"/>
      <c r="S2419" s="251"/>
      <c r="BD2419" s="399">
        <v>2416</v>
      </c>
      <c r="BE2419" s="399" t="s">
        <v>6584</v>
      </c>
      <c r="BF2419" s="251" t="s">
        <v>6585</v>
      </c>
      <c r="BG2419" s="399" t="s">
        <v>519</v>
      </c>
      <c r="BH2419" s="252">
        <v>30</v>
      </c>
      <c r="BI2419" s="251" t="s">
        <v>332</v>
      </c>
      <c r="BJ2419" s="251" t="s">
        <v>407</v>
      </c>
      <c r="BK2419" s="251" t="s">
        <v>6586</v>
      </c>
      <c r="BL2419" s="251" t="s">
        <v>521</v>
      </c>
    </row>
    <row r="2420" spans="2:64" ht="15">
      <c r="B2420" s="84"/>
      <c r="D2420" s="84"/>
      <c r="E2420" s="84"/>
      <c r="F2420" s="84"/>
      <c r="G2420" s="84"/>
      <c r="R2420" s="251"/>
      <c r="S2420" s="251"/>
      <c r="BD2420" s="399">
        <v>2417</v>
      </c>
      <c r="BE2420" s="399" t="s">
        <v>6587</v>
      </c>
      <c r="BF2420" s="251" t="s">
        <v>6588</v>
      </c>
      <c r="BG2420" s="399" t="s">
        <v>733</v>
      </c>
      <c r="BH2420" s="252" t="s">
        <v>734</v>
      </c>
      <c r="BI2420" s="251" t="s">
        <v>728</v>
      </c>
      <c r="BJ2420" s="251" t="s">
        <v>351</v>
      </c>
      <c r="BK2420" s="251" t="s">
        <v>6589</v>
      </c>
      <c r="BL2420" s="251" t="s">
        <v>736</v>
      </c>
    </row>
    <row r="2421" spans="2:64" ht="15">
      <c r="B2421" s="84"/>
      <c r="D2421" s="84"/>
      <c r="E2421" s="84"/>
      <c r="F2421" s="84"/>
      <c r="G2421" s="84"/>
      <c r="R2421" s="251"/>
      <c r="S2421" s="251"/>
      <c r="BD2421" s="399">
        <v>2418</v>
      </c>
      <c r="BE2421" s="399" t="s">
        <v>6590</v>
      </c>
      <c r="BF2421" s="251" t="s">
        <v>6591</v>
      </c>
      <c r="BG2421" s="399" t="s">
        <v>356</v>
      </c>
      <c r="BH2421" s="252" t="s">
        <v>1075</v>
      </c>
      <c r="BI2421" s="251" t="s">
        <v>334</v>
      </c>
      <c r="BJ2421" s="251" t="s">
        <v>539</v>
      </c>
      <c r="BK2421" s="251" t="s">
        <v>6592</v>
      </c>
      <c r="BL2421" s="251" t="s">
        <v>360</v>
      </c>
    </row>
    <row r="2422" spans="2:64" ht="15">
      <c r="B2422" s="84"/>
      <c r="D2422" s="84"/>
      <c r="E2422" s="84"/>
      <c r="F2422" s="84"/>
      <c r="G2422" s="84"/>
      <c r="R2422" s="251"/>
      <c r="S2422" s="251"/>
      <c r="BD2422" s="399">
        <v>2419</v>
      </c>
      <c r="BE2422" s="399" t="s">
        <v>2014</v>
      </c>
      <c r="BF2422" s="251" t="s">
        <v>175</v>
      </c>
      <c r="BG2422" s="399" t="s">
        <v>363</v>
      </c>
      <c r="BH2422" s="252" t="s">
        <v>364</v>
      </c>
      <c r="BI2422" s="251" t="s">
        <v>333</v>
      </c>
      <c r="BJ2422" s="251" t="s">
        <v>380</v>
      </c>
      <c r="BK2422" s="251" t="s">
        <v>6593</v>
      </c>
      <c r="BL2422" s="251" t="s">
        <v>368</v>
      </c>
    </row>
    <row r="2423" spans="2:64" ht="15">
      <c r="B2423" s="84"/>
      <c r="D2423" s="84"/>
      <c r="E2423" s="84"/>
      <c r="F2423" s="84"/>
      <c r="G2423" s="84"/>
      <c r="R2423" s="251"/>
      <c r="S2423" s="251"/>
      <c r="BD2423" s="399">
        <v>2420</v>
      </c>
      <c r="BE2423" s="399" t="s">
        <v>6594</v>
      </c>
      <c r="BF2423" s="251" t="s">
        <v>6595</v>
      </c>
      <c r="BG2423" s="399">
        <v>52</v>
      </c>
      <c r="BH2423" s="252">
        <v>52</v>
      </c>
      <c r="BI2423" s="251" t="s">
        <v>334</v>
      </c>
      <c r="BJ2423" s="251" t="s">
        <v>380</v>
      </c>
      <c r="BK2423" s="251" t="s">
        <v>6596</v>
      </c>
      <c r="BL2423" s="251" t="s">
        <v>1121</v>
      </c>
    </row>
    <row r="2424" spans="2:64" ht="15">
      <c r="B2424" s="84"/>
      <c r="D2424" s="84"/>
      <c r="E2424" s="84"/>
      <c r="F2424" s="84"/>
      <c r="G2424" s="84"/>
      <c r="R2424" s="251"/>
      <c r="S2424" s="251"/>
      <c r="BD2424" s="399">
        <v>2421</v>
      </c>
      <c r="BE2424" s="399" t="s">
        <v>1412</v>
      </c>
      <c r="BF2424" s="251" t="s">
        <v>6597</v>
      </c>
      <c r="BG2424" s="399" t="s">
        <v>489</v>
      </c>
      <c r="BH2424" s="252" t="s">
        <v>490</v>
      </c>
      <c r="BI2424" s="251" t="s">
        <v>583</v>
      </c>
      <c r="BJ2424" s="251" t="s">
        <v>413</v>
      </c>
      <c r="BK2424" s="251" t="s">
        <v>6598</v>
      </c>
      <c r="BL2424" s="251" t="s">
        <v>493</v>
      </c>
    </row>
    <row r="2425" spans="2:64" ht="15">
      <c r="B2425" s="84"/>
      <c r="D2425" s="84"/>
      <c r="E2425" s="84"/>
      <c r="F2425" s="84"/>
      <c r="G2425" s="84"/>
      <c r="R2425" s="251"/>
      <c r="S2425" s="251"/>
      <c r="BD2425" s="399">
        <v>2422</v>
      </c>
      <c r="BE2425" s="399" t="s">
        <v>6599</v>
      </c>
      <c r="BF2425" s="251" t="s">
        <v>590</v>
      </c>
      <c r="BG2425" s="399" t="s">
        <v>475</v>
      </c>
      <c r="BH2425" s="252" t="s">
        <v>1631</v>
      </c>
      <c r="BI2425" s="251" t="s">
        <v>365</v>
      </c>
      <c r="BJ2425" s="251" t="s">
        <v>413</v>
      </c>
      <c r="BK2425" s="251" t="s">
        <v>6600</v>
      </c>
      <c r="BL2425" s="251" t="s">
        <v>479</v>
      </c>
    </row>
    <row r="2426" spans="2:64" ht="15">
      <c r="B2426" s="84"/>
      <c r="D2426" s="84"/>
      <c r="E2426" s="84"/>
      <c r="F2426" s="84"/>
      <c r="G2426" s="84"/>
      <c r="R2426" s="251"/>
      <c r="S2426" s="251"/>
      <c r="BD2426" s="399">
        <v>2423</v>
      </c>
      <c r="BE2426" s="399" t="s">
        <v>6601</v>
      </c>
      <c r="BF2426" s="251" t="s">
        <v>590</v>
      </c>
      <c r="BG2426" s="399" t="s">
        <v>475</v>
      </c>
      <c r="BH2426" s="252" t="s">
        <v>534</v>
      </c>
      <c r="BI2426" s="251" t="s">
        <v>477</v>
      </c>
      <c r="BJ2426" s="251" t="s">
        <v>413</v>
      </c>
      <c r="BK2426" s="251" t="s">
        <v>6602</v>
      </c>
      <c r="BL2426" s="251" t="s">
        <v>479</v>
      </c>
    </row>
    <row r="2427" spans="2:64" ht="15">
      <c r="B2427" s="84"/>
      <c r="D2427" s="84"/>
      <c r="E2427" s="84"/>
      <c r="F2427" s="84"/>
      <c r="G2427" s="84"/>
      <c r="R2427" s="251"/>
      <c r="S2427" s="251"/>
      <c r="BD2427" s="399">
        <v>2424</v>
      </c>
      <c r="BE2427" s="399" t="s">
        <v>6603</v>
      </c>
      <c r="BF2427" s="251" t="s">
        <v>590</v>
      </c>
      <c r="BG2427" s="399" t="s">
        <v>475</v>
      </c>
      <c r="BH2427" s="252" t="s">
        <v>534</v>
      </c>
      <c r="BI2427" s="251" t="s">
        <v>2159</v>
      </c>
      <c r="BJ2427" s="251" t="s">
        <v>2509</v>
      </c>
      <c r="BK2427" s="251" t="s">
        <v>6604</v>
      </c>
      <c r="BL2427" s="251" t="s">
        <v>479</v>
      </c>
    </row>
    <row r="2428" spans="2:64" ht="15">
      <c r="B2428" s="84"/>
      <c r="D2428" s="84"/>
      <c r="E2428" s="84"/>
      <c r="F2428" s="84"/>
      <c r="G2428" s="84"/>
      <c r="R2428" s="251"/>
      <c r="S2428" s="251"/>
      <c r="BD2428" s="399">
        <v>2425</v>
      </c>
      <c r="BE2428" s="399" t="s">
        <v>6605</v>
      </c>
      <c r="BF2428" s="251" t="s">
        <v>590</v>
      </c>
      <c r="BG2428" s="399" t="s">
        <v>489</v>
      </c>
      <c r="BH2428" s="252" t="s">
        <v>639</v>
      </c>
      <c r="BI2428" s="251" t="s">
        <v>366</v>
      </c>
      <c r="BJ2428" s="251" t="s">
        <v>413</v>
      </c>
      <c r="BK2428" s="251" t="s">
        <v>6606</v>
      </c>
      <c r="BL2428" s="251" t="s">
        <v>493</v>
      </c>
    </row>
    <row r="2429" spans="2:64" ht="15">
      <c r="B2429" s="84"/>
      <c r="D2429" s="84"/>
      <c r="E2429" s="84"/>
      <c r="F2429" s="84"/>
      <c r="G2429" s="84"/>
      <c r="R2429" s="251"/>
      <c r="S2429" s="251"/>
      <c r="BD2429" s="399">
        <v>2426</v>
      </c>
      <c r="BE2429" s="399" t="s">
        <v>6607</v>
      </c>
      <c r="BF2429" s="251" t="s">
        <v>590</v>
      </c>
      <c r="BG2429" s="399" t="s">
        <v>623</v>
      </c>
      <c r="BH2429" s="252" t="s">
        <v>624</v>
      </c>
      <c r="BI2429" s="251" t="s">
        <v>350</v>
      </c>
      <c r="BJ2429" s="251" t="s">
        <v>413</v>
      </c>
      <c r="BK2429" s="251" t="s">
        <v>6608</v>
      </c>
      <c r="BL2429" s="251" t="s">
        <v>626</v>
      </c>
    </row>
    <row r="2430" spans="2:64" ht="15">
      <c r="B2430" s="84"/>
      <c r="D2430" s="84"/>
      <c r="E2430" s="84"/>
      <c r="F2430" s="84"/>
      <c r="G2430" s="84"/>
      <c r="R2430" s="251"/>
      <c r="S2430" s="251"/>
      <c r="BD2430" s="399">
        <v>2427</v>
      </c>
      <c r="BE2430" s="399" t="s">
        <v>6609</v>
      </c>
      <c r="BF2430" s="251" t="s">
        <v>590</v>
      </c>
      <c r="BG2430" s="399" t="s">
        <v>623</v>
      </c>
      <c r="BH2430" s="252" t="s">
        <v>624</v>
      </c>
      <c r="BI2430" s="251" t="s">
        <v>3085</v>
      </c>
      <c r="BJ2430" s="251" t="s">
        <v>413</v>
      </c>
      <c r="BK2430" s="251" t="s">
        <v>6610</v>
      </c>
      <c r="BL2430" s="251" t="s">
        <v>626</v>
      </c>
    </row>
    <row r="2431" spans="2:64" ht="15">
      <c r="B2431" s="84"/>
      <c r="D2431" s="84"/>
      <c r="E2431" s="84"/>
      <c r="F2431" s="84"/>
      <c r="G2431" s="84"/>
      <c r="R2431" s="251"/>
      <c r="S2431" s="251"/>
      <c r="BD2431" s="399">
        <v>2428</v>
      </c>
      <c r="BE2431" s="399" t="s">
        <v>6611</v>
      </c>
      <c r="BF2431" s="251" t="s">
        <v>590</v>
      </c>
      <c r="BG2431" s="399" t="s">
        <v>590</v>
      </c>
      <c r="BH2431" s="252">
        <v>44</v>
      </c>
      <c r="BI2431" s="251" t="s">
        <v>477</v>
      </c>
      <c r="BJ2431" s="251" t="s">
        <v>413</v>
      </c>
      <c r="BK2431" s="251" t="s">
        <v>6612</v>
      </c>
      <c r="BL2431" s="251" t="s">
        <v>592</v>
      </c>
    </row>
    <row r="2432" spans="2:64" ht="15">
      <c r="B2432" s="84"/>
      <c r="D2432" s="84"/>
      <c r="E2432" s="84"/>
      <c r="F2432" s="84"/>
      <c r="G2432" s="84"/>
      <c r="R2432" s="251"/>
      <c r="S2432" s="251"/>
      <c r="BD2432" s="399">
        <v>2429</v>
      </c>
      <c r="BE2432" s="399" t="s">
        <v>6613</v>
      </c>
      <c r="BF2432" s="251" t="s">
        <v>590</v>
      </c>
      <c r="BG2432" s="399" t="s">
        <v>590</v>
      </c>
      <c r="BH2432" s="252">
        <v>44</v>
      </c>
      <c r="BI2432" s="251" t="s">
        <v>2159</v>
      </c>
      <c r="BJ2432" s="251" t="s">
        <v>413</v>
      </c>
      <c r="BK2432" s="251" t="s">
        <v>6614</v>
      </c>
      <c r="BL2432" s="251" t="s">
        <v>592</v>
      </c>
    </row>
    <row r="2433" spans="2:64" ht="15">
      <c r="B2433" s="84"/>
      <c r="D2433" s="84"/>
      <c r="E2433" s="84"/>
      <c r="F2433" s="84"/>
      <c r="G2433" s="84"/>
      <c r="R2433" s="251"/>
      <c r="S2433" s="251"/>
      <c r="BD2433" s="399">
        <v>2430</v>
      </c>
      <c r="BE2433" s="399" t="s">
        <v>6615</v>
      </c>
      <c r="BF2433" s="251" t="s">
        <v>590</v>
      </c>
      <c r="BG2433" s="399" t="s">
        <v>0</v>
      </c>
      <c r="BH2433" s="252">
        <v>48</v>
      </c>
      <c r="BI2433" s="251" t="s">
        <v>332</v>
      </c>
      <c r="BJ2433" s="251" t="s">
        <v>413</v>
      </c>
      <c r="BK2433" s="251" t="s">
        <v>6616</v>
      </c>
      <c r="BL2433" s="251" t="s">
        <v>818</v>
      </c>
    </row>
    <row r="2434" spans="2:64" ht="15">
      <c r="B2434" s="84"/>
      <c r="D2434" s="84"/>
      <c r="E2434" s="84"/>
      <c r="F2434" s="84"/>
      <c r="G2434" s="84"/>
      <c r="R2434" s="251"/>
      <c r="S2434" s="251"/>
      <c r="BD2434" s="399">
        <v>2431</v>
      </c>
      <c r="BE2434" s="399" t="s">
        <v>6617</v>
      </c>
      <c r="BF2434" s="251" t="s">
        <v>590</v>
      </c>
      <c r="BG2434" s="399" t="s">
        <v>0</v>
      </c>
      <c r="BH2434" s="252">
        <v>48</v>
      </c>
      <c r="BI2434" s="251" t="s">
        <v>365</v>
      </c>
      <c r="BJ2434" s="251" t="s">
        <v>413</v>
      </c>
      <c r="BK2434" s="251" t="s">
        <v>6618</v>
      </c>
      <c r="BL2434" s="251" t="s">
        <v>818</v>
      </c>
    </row>
    <row r="2435" spans="2:64" ht="15">
      <c r="B2435" s="84"/>
      <c r="D2435" s="84"/>
      <c r="E2435" s="84"/>
      <c r="F2435" s="84"/>
      <c r="G2435" s="84"/>
      <c r="R2435" s="251"/>
      <c r="S2435" s="251"/>
      <c r="BD2435" s="399">
        <v>2432</v>
      </c>
      <c r="BE2435" s="399" t="s">
        <v>6619</v>
      </c>
      <c r="BF2435" s="251" t="s">
        <v>590</v>
      </c>
      <c r="BG2435" s="399" t="s">
        <v>0</v>
      </c>
      <c r="BH2435" s="252">
        <v>48</v>
      </c>
      <c r="BI2435" s="251" t="s">
        <v>350</v>
      </c>
      <c r="BJ2435" s="251" t="s">
        <v>413</v>
      </c>
      <c r="BK2435" s="251" t="s">
        <v>6620</v>
      </c>
      <c r="BL2435" s="251" t="s">
        <v>818</v>
      </c>
    </row>
    <row r="2436" spans="2:64" ht="15">
      <c r="B2436" s="84"/>
      <c r="D2436" s="84"/>
      <c r="E2436" s="84"/>
      <c r="F2436" s="84"/>
      <c r="G2436" s="84"/>
      <c r="R2436" s="251"/>
      <c r="S2436" s="251"/>
      <c r="BD2436" s="399">
        <v>2433</v>
      </c>
      <c r="BE2436" s="399" t="s">
        <v>6621</v>
      </c>
      <c r="BF2436" s="251" t="s">
        <v>590</v>
      </c>
      <c r="BG2436" s="399" t="s">
        <v>0</v>
      </c>
      <c r="BH2436" s="252">
        <v>48</v>
      </c>
      <c r="BI2436" s="251" t="s">
        <v>2159</v>
      </c>
      <c r="BJ2436" s="251" t="s">
        <v>413</v>
      </c>
      <c r="BK2436" s="251" t="s">
        <v>6622</v>
      </c>
      <c r="BL2436" s="251" t="s">
        <v>818</v>
      </c>
    </row>
    <row r="2437" spans="2:64" ht="15">
      <c r="B2437" s="84"/>
      <c r="D2437" s="84"/>
      <c r="E2437" s="84"/>
      <c r="F2437" s="84"/>
      <c r="G2437" s="84"/>
      <c r="R2437" s="251"/>
      <c r="S2437" s="251"/>
      <c r="BD2437" s="399">
        <v>2434</v>
      </c>
      <c r="BE2437" s="399" t="s">
        <v>6623</v>
      </c>
      <c r="BF2437" s="251" t="s">
        <v>590</v>
      </c>
      <c r="BG2437" s="399" t="s">
        <v>0</v>
      </c>
      <c r="BH2437" s="252">
        <v>48</v>
      </c>
      <c r="BI2437" s="251" t="s">
        <v>1638</v>
      </c>
      <c r="BJ2437" s="251" t="s">
        <v>413</v>
      </c>
      <c r="BK2437" s="251" t="s">
        <v>6624</v>
      </c>
      <c r="BL2437" s="251" t="s">
        <v>818</v>
      </c>
    </row>
    <row r="2438" spans="2:64" ht="15">
      <c r="B2438" s="84"/>
      <c r="D2438" s="84"/>
      <c r="E2438" s="84"/>
      <c r="F2438" s="84"/>
      <c r="G2438" s="84"/>
      <c r="R2438" s="251"/>
      <c r="S2438" s="251"/>
      <c r="BD2438" s="399">
        <v>2435</v>
      </c>
      <c r="BE2438" s="399" t="s">
        <v>6625</v>
      </c>
      <c r="BF2438" s="251" t="s">
        <v>590</v>
      </c>
      <c r="BG2438" s="399" t="s">
        <v>0</v>
      </c>
      <c r="BH2438" s="252">
        <v>48</v>
      </c>
      <c r="BI2438" s="251" t="s">
        <v>3395</v>
      </c>
      <c r="BJ2438" s="251" t="s">
        <v>413</v>
      </c>
      <c r="BK2438" s="251" t="s">
        <v>6626</v>
      </c>
      <c r="BL2438" s="251" t="s">
        <v>818</v>
      </c>
    </row>
    <row r="2439" spans="2:64" ht="15">
      <c r="B2439" s="84"/>
      <c r="D2439" s="84"/>
      <c r="E2439" s="84"/>
      <c r="F2439" s="84"/>
      <c r="G2439" s="84"/>
      <c r="R2439" s="251"/>
      <c r="S2439" s="251"/>
      <c r="BD2439" s="399">
        <v>2436</v>
      </c>
      <c r="BE2439" s="399" t="s">
        <v>6627</v>
      </c>
      <c r="BF2439" s="251" t="s">
        <v>590</v>
      </c>
      <c r="BG2439" s="399" t="s">
        <v>0</v>
      </c>
      <c r="BH2439" s="252">
        <v>48</v>
      </c>
      <c r="BI2439" s="251" t="s">
        <v>3085</v>
      </c>
      <c r="BJ2439" s="251" t="s">
        <v>413</v>
      </c>
      <c r="BK2439" s="251" t="s">
        <v>6628</v>
      </c>
      <c r="BL2439" s="251" t="s">
        <v>818</v>
      </c>
    </row>
    <row r="2440" spans="2:64" ht="15">
      <c r="B2440" s="84"/>
      <c r="D2440" s="84"/>
      <c r="E2440" s="84"/>
      <c r="F2440" s="84"/>
      <c r="G2440" s="84"/>
      <c r="R2440" s="251"/>
      <c r="S2440" s="251"/>
      <c r="BD2440" s="399">
        <v>2437</v>
      </c>
      <c r="BE2440" s="399" t="s">
        <v>6629</v>
      </c>
      <c r="BF2440" s="251" t="s">
        <v>590</v>
      </c>
      <c r="BG2440" s="399">
        <v>60</v>
      </c>
      <c r="BH2440" s="252">
        <v>60</v>
      </c>
      <c r="BI2440" s="251" t="s">
        <v>1638</v>
      </c>
      <c r="BJ2440" s="251" t="s">
        <v>413</v>
      </c>
      <c r="BK2440" s="251" t="s">
        <v>6630</v>
      </c>
      <c r="BL2440" s="251" t="s">
        <v>3403</v>
      </c>
    </row>
    <row r="2441" spans="2:64" ht="15">
      <c r="B2441" s="84"/>
      <c r="D2441" s="84"/>
      <c r="E2441" s="84"/>
      <c r="F2441" s="84"/>
      <c r="G2441" s="84"/>
      <c r="R2441" s="251"/>
      <c r="S2441" s="251"/>
      <c r="BD2441" s="399">
        <v>2438</v>
      </c>
      <c r="BE2441" s="399" t="s">
        <v>6631</v>
      </c>
      <c r="BF2441" s="251" t="s">
        <v>590</v>
      </c>
      <c r="BG2441" s="399">
        <v>61</v>
      </c>
      <c r="BH2441" s="252">
        <v>61</v>
      </c>
      <c r="BI2441" s="251" t="s">
        <v>350</v>
      </c>
      <c r="BJ2441" s="251" t="s">
        <v>413</v>
      </c>
      <c r="BK2441" s="251" t="s">
        <v>6632</v>
      </c>
      <c r="BL2441" s="251" t="s">
        <v>4189</v>
      </c>
    </row>
    <row r="2442" spans="2:64" ht="15">
      <c r="B2442" s="84"/>
      <c r="D2442" s="84"/>
      <c r="E2442" s="84"/>
      <c r="F2442" s="84"/>
      <c r="G2442" s="84"/>
      <c r="R2442" s="251"/>
      <c r="S2442" s="251"/>
      <c r="BD2442" s="399">
        <v>2439</v>
      </c>
      <c r="BE2442" s="399" t="s">
        <v>6633</v>
      </c>
      <c r="BF2442" s="251" t="s">
        <v>590</v>
      </c>
      <c r="BG2442" s="399">
        <v>66</v>
      </c>
      <c r="BH2442" s="252">
        <v>66</v>
      </c>
      <c r="BI2442" s="251" t="s">
        <v>350</v>
      </c>
      <c r="BJ2442" s="251" t="s">
        <v>413</v>
      </c>
      <c r="BK2442" s="251" t="s">
        <v>6634</v>
      </c>
      <c r="BL2442" s="251" t="s">
        <v>6635</v>
      </c>
    </row>
    <row r="2443" spans="2:64" ht="15">
      <c r="B2443" s="84"/>
      <c r="D2443" s="84"/>
      <c r="E2443" s="84"/>
      <c r="F2443" s="84"/>
      <c r="G2443" s="84"/>
      <c r="R2443" s="251"/>
      <c r="S2443" s="251"/>
      <c r="BD2443" s="399">
        <v>2440</v>
      </c>
      <c r="BE2443" s="399" t="s">
        <v>6636</v>
      </c>
      <c r="BF2443" s="251" t="s">
        <v>590</v>
      </c>
      <c r="BG2443" s="399">
        <v>66</v>
      </c>
      <c r="BH2443" s="252">
        <v>66</v>
      </c>
      <c r="BI2443" s="251" t="s">
        <v>2159</v>
      </c>
      <c r="BJ2443" s="251" t="s">
        <v>413</v>
      </c>
      <c r="BK2443" s="251" t="s">
        <v>6637</v>
      </c>
      <c r="BL2443" s="251" t="s">
        <v>6635</v>
      </c>
    </row>
    <row r="2444" spans="2:64" ht="15">
      <c r="B2444" s="84"/>
      <c r="D2444" s="84"/>
      <c r="E2444" s="84"/>
      <c r="F2444" s="84"/>
      <c r="G2444" s="84"/>
      <c r="R2444" s="251"/>
      <c r="S2444" s="251"/>
      <c r="BD2444" s="399">
        <v>2441</v>
      </c>
      <c r="BE2444" s="399" t="s">
        <v>6638</v>
      </c>
      <c r="BF2444" s="251" t="s">
        <v>590</v>
      </c>
      <c r="BG2444" s="399">
        <v>66</v>
      </c>
      <c r="BH2444" s="252">
        <v>66</v>
      </c>
      <c r="BI2444" s="251" t="s">
        <v>1638</v>
      </c>
      <c r="BJ2444" s="251" t="s">
        <v>413</v>
      </c>
      <c r="BK2444" s="251" t="s">
        <v>6639</v>
      </c>
      <c r="BL2444" s="251" t="s">
        <v>6635</v>
      </c>
    </row>
    <row r="2445" spans="2:64" ht="15">
      <c r="B2445" s="84"/>
      <c r="D2445" s="84"/>
      <c r="E2445" s="84"/>
      <c r="F2445" s="84"/>
      <c r="G2445" s="84"/>
      <c r="R2445" s="251"/>
      <c r="S2445" s="251"/>
      <c r="BD2445" s="399">
        <v>2442</v>
      </c>
      <c r="BE2445" s="399" t="s">
        <v>6640</v>
      </c>
      <c r="BF2445" s="251" t="s">
        <v>590</v>
      </c>
      <c r="BG2445" s="399">
        <v>66</v>
      </c>
      <c r="BH2445" s="252">
        <v>66</v>
      </c>
      <c r="BI2445" s="251" t="s">
        <v>3395</v>
      </c>
      <c r="BJ2445" s="251" t="s">
        <v>413</v>
      </c>
      <c r="BK2445" s="251" t="s">
        <v>6641</v>
      </c>
      <c r="BL2445" s="251" t="s">
        <v>6635</v>
      </c>
    </row>
    <row r="2446" spans="2:64" ht="15">
      <c r="B2446" s="84"/>
      <c r="D2446" s="84"/>
      <c r="E2446" s="84"/>
      <c r="F2446" s="84"/>
      <c r="G2446" s="84"/>
      <c r="R2446" s="251"/>
      <c r="S2446" s="251"/>
      <c r="BD2446" s="399">
        <v>2443</v>
      </c>
      <c r="BE2446" s="399" t="s">
        <v>6642</v>
      </c>
      <c r="BF2446" s="251" t="s">
        <v>590</v>
      </c>
      <c r="BG2446" s="399">
        <v>66</v>
      </c>
      <c r="BH2446" s="252">
        <v>66</v>
      </c>
      <c r="BI2446" s="251" t="s">
        <v>3085</v>
      </c>
      <c r="BJ2446" s="251" t="s">
        <v>413</v>
      </c>
      <c r="BK2446" s="251" t="s">
        <v>6643</v>
      </c>
      <c r="BL2446" s="251" t="s">
        <v>6635</v>
      </c>
    </row>
    <row r="2447" spans="2:64" ht="15">
      <c r="B2447" s="84"/>
      <c r="D2447" s="84"/>
      <c r="E2447" s="84"/>
      <c r="F2447" s="84"/>
      <c r="G2447" s="84"/>
      <c r="R2447" s="251"/>
      <c r="S2447" s="251"/>
      <c r="BD2447" s="399">
        <v>2444</v>
      </c>
      <c r="BE2447" s="399" t="s">
        <v>6564</v>
      </c>
      <c r="BF2447" s="251" t="s">
        <v>6644</v>
      </c>
      <c r="BG2447" s="399" t="s">
        <v>475</v>
      </c>
      <c r="BH2447" s="252" t="s">
        <v>534</v>
      </c>
      <c r="BI2447" s="251" t="s">
        <v>332</v>
      </c>
      <c r="BJ2447" s="251" t="s">
        <v>407</v>
      </c>
      <c r="BK2447" s="251" t="s">
        <v>6645</v>
      </c>
      <c r="BL2447" s="251" t="s">
        <v>479</v>
      </c>
    </row>
    <row r="2448" spans="2:64" ht="15">
      <c r="B2448" s="84"/>
      <c r="D2448" s="84"/>
      <c r="E2448" s="84"/>
      <c r="F2448" s="84"/>
      <c r="G2448" s="84"/>
      <c r="R2448" s="251"/>
      <c r="S2448" s="251"/>
      <c r="BD2448" s="399">
        <v>2445</v>
      </c>
      <c r="BE2448" s="399" t="s">
        <v>6646</v>
      </c>
      <c r="BF2448" s="251" t="s">
        <v>6647</v>
      </c>
      <c r="BG2448" s="399" t="s">
        <v>363</v>
      </c>
      <c r="BH2448" s="252" t="s">
        <v>364</v>
      </c>
      <c r="BI2448" s="251" t="s">
        <v>331</v>
      </c>
      <c r="BJ2448" s="251" t="s">
        <v>385</v>
      </c>
      <c r="BK2448" s="251" t="s">
        <v>6648</v>
      </c>
      <c r="BL2448" s="251" t="s">
        <v>368</v>
      </c>
    </row>
    <row r="2449" spans="2:64" ht="15">
      <c r="B2449" s="84"/>
      <c r="D2449" s="84"/>
      <c r="E2449" s="84"/>
      <c r="F2449" s="84"/>
      <c r="G2449" s="84"/>
      <c r="R2449" s="251"/>
      <c r="S2449" s="251"/>
      <c r="BD2449" s="399">
        <v>2446</v>
      </c>
      <c r="BE2449" s="399" t="s">
        <v>6649</v>
      </c>
      <c r="BF2449" s="251" t="s">
        <v>10</v>
      </c>
      <c r="BG2449" s="399" t="s">
        <v>395</v>
      </c>
      <c r="BH2449" s="252">
        <v>16</v>
      </c>
      <c r="BI2449" s="251" t="s">
        <v>333</v>
      </c>
      <c r="BJ2449" s="251" t="s">
        <v>380</v>
      </c>
      <c r="BK2449" s="251" t="s">
        <v>6650</v>
      </c>
      <c r="BL2449" s="251" t="s">
        <v>399</v>
      </c>
    </row>
    <row r="2450" spans="2:64" ht="15">
      <c r="B2450" s="84"/>
      <c r="D2450" s="84"/>
      <c r="E2450" s="84"/>
      <c r="F2450" s="84"/>
      <c r="G2450" s="84"/>
      <c r="R2450" s="251"/>
      <c r="S2450" s="251"/>
      <c r="BD2450" s="399">
        <v>2447</v>
      </c>
      <c r="BE2450" s="399" t="s">
        <v>2943</v>
      </c>
      <c r="BF2450" s="251" t="s">
        <v>6651</v>
      </c>
      <c r="BG2450" s="399" t="s">
        <v>371</v>
      </c>
      <c r="BH2450" s="252">
        <v>28</v>
      </c>
      <c r="BI2450" s="251" t="s">
        <v>728</v>
      </c>
      <c r="BJ2450" s="251" t="s">
        <v>380</v>
      </c>
      <c r="BK2450" s="251" t="s">
        <v>2944</v>
      </c>
      <c r="BL2450" s="251" t="s">
        <v>375</v>
      </c>
    </row>
    <row r="2451" spans="2:64" ht="15">
      <c r="B2451" s="84"/>
      <c r="D2451" s="84"/>
      <c r="E2451" s="84"/>
      <c r="F2451" s="84"/>
      <c r="G2451" s="84"/>
      <c r="R2451" s="251"/>
      <c r="S2451" s="251"/>
      <c r="BD2451" s="399">
        <v>2448</v>
      </c>
      <c r="BE2451" s="399" t="s">
        <v>6652</v>
      </c>
      <c r="BF2451" s="251" t="s">
        <v>6653</v>
      </c>
      <c r="BG2451" s="399" t="s">
        <v>549</v>
      </c>
      <c r="BH2451" s="252">
        <v>41</v>
      </c>
      <c r="BI2451" s="251" t="s">
        <v>332</v>
      </c>
      <c r="BJ2451" s="251" t="s">
        <v>351</v>
      </c>
      <c r="BK2451" s="251" t="s">
        <v>6654</v>
      </c>
      <c r="BL2451" s="251" t="s">
        <v>551</v>
      </c>
    </row>
    <row r="2452" spans="2:64" ht="15">
      <c r="B2452" s="84"/>
      <c r="D2452" s="84"/>
      <c r="E2452" s="84"/>
      <c r="F2452" s="84"/>
      <c r="G2452" s="84"/>
      <c r="R2452" s="251"/>
      <c r="S2452" s="251"/>
      <c r="BD2452" s="399">
        <v>2449</v>
      </c>
      <c r="BE2452" s="399" t="s">
        <v>6655</v>
      </c>
      <c r="BF2452" s="251" t="s">
        <v>6656</v>
      </c>
      <c r="BG2452" s="399" t="s">
        <v>395</v>
      </c>
      <c r="BH2452" s="252">
        <v>16</v>
      </c>
      <c r="BI2452" s="251" t="s">
        <v>332</v>
      </c>
      <c r="BJ2452" s="251" t="s">
        <v>390</v>
      </c>
      <c r="BK2452" s="251" t="s">
        <v>6657</v>
      </c>
      <c r="BL2452" s="251" t="s">
        <v>399</v>
      </c>
    </row>
    <row r="2453" spans="2:64" ht="15">
      <c r="B2453" s="84"/>
      <c r="D2453" s="84"/>
      <c r="E2453" s="84"/>
      <c r="F2453" s="84"/>
      <c r="G2453" s="84"/>
      <c r="R2453" s="251"/>
      <c r="S2453" s="251"/>
      <c r="BD2453" s="399">
        <v>2450</v>
      </c>
      <c r="BE2453" s="399" t="s">
        <v>6658</v>
      </c>
      <c r="BF2453" s="251" t="s">
        <v>6659</v>
      </c>
      <c r="BG2453" s="399" t="s">
        <v>435</v>
      </c>
      <c r="BH2453" s="252" t="s">
        <v>651</v>
      </c>
      <c r="BI2453" s="251" t="s">
        <v>445</v>
      </c>
      <c r="BJ2453" s="251" t="s">
        <v>385</v>
      </c>
      <c r="BK2453" s="251" t="s">
        <v>6660</v>
      </c>
      <c r="BL2453" s="251" t="s">
        <v>439</v>
      </c>
    </row>
    <row r="2454" spans="2:64" ht="15">
      <c r="B2454" s="84"/>
      <c r="D2454" s="84"/>
      <c r="E2454" s="84"/>
      <c r="F2454" s="84"/>
      <c r="G2454" s="84"/>
      <c r="R2454" s="251"/>
      <c r="S2454" s="251"/>
      <c r="BD2454" s="399">
        <v>2451</v>
      </c>
      <c r="BE2454" s="399" t="s">
        <v>6661</v>
      </c>
      <c r="BF2454" s="251" t="s">
        <v>6662</v>
      </c>
      <c r="BG2454" s="399" t="s">
        <v>405</v>
      </c>
      <c r="BH2454" s="252" t="s">
        <v>830</v>
      </c>
      <c r="BI2454" s="251" t="s">
        <v>450</v>
      </c>
      <c r="BJ2454" s="251" t="s">
        <v>350</v>
      </c>
      <c r="BK2454" s="251" t="s">
        <v>6663</v>
      </c>
      <c r="BL2454" s="251" t="s">
        <v>409</v>
      </c>
    </row>
    <row r="2455" spans="2:64" ht="15">
      <c r="B2455" s="84"/>
      <c r="D2455" s="84"/>
      <c r="E2455" s="84"/>
      <c r="F2455" s="84"/>
      <c r="G2455" s="84"/>
      <c r="R2455" s="251"/>
      <c r="S2455" s="251"/>
      <c r="BD2455" s="399">
        <v>2452</v>
      </c>
      <c r="BE2455" s="399" t="s">
        <v>6664</v>
      </c>
      <c r="BF2455" s="251" t="s">
        <v>6665</v>
      </c>
      <c r="BG2455" s="399" t="s">
        <v>378</v>
      </c>
      <c r="BH2455" s="252">
        <v>11</v>
      </c>
      <c r="BI2455" s="251" t="s">
        <v>365</v>
      </c>
      <c r="BJ2455" s="251" t="s">
        <v>407</v>
      </c>
      <c r="BK2455" s="251" t="s">
        <v>6666</v>
      </c>
      <c r="BL2455" s="251" t="s">
        <v>382</v>
      </c>
    </row>
    <row r="2456" spans="2:64" ht="15">
      <c r="B2456" s="84"/>
      <c r="D2456" s="84"/>
      <c r="E2456" s="84"/>
      <c r="F2456" s="84"/>
      <c r="G2456" s="84"/>
      <c r="R2456" s="251"/>
      <c r="S2456" s="251"/>
      <c r="BD2456" s="399">
        <v>2453</v>
      </c>
      <c r="BE2456" s="399" t="s">
        <v>6667</v>
      </c>
      <c r="BF2456" s="251" t="s">
        <v>6668</v>
      </c>
      <c r="BG2456" s="399" t="s">
        <v>549</v>
      </c>
      <c r="BH2456" s="252">
        <v>41</v>
      </c>
      <c r="BI2456" s="251" t="s">
        <v>365</v>
      </c>
      <c r="BJ2456" s="251" t="s">
        <v>351</v>
      </c>
      <c r="BK2456" s="251" t="s">
        <v>6669</v>
      </c>
      <c r="BL2456" s="251" t="s">
        <v>551</v>
      </c>
    </row>
    <row r="2457" spans="2:64" ht="15">
      <c r="B2457" s="84"/>
      <c r="D2457" s="84"/>
      <c r="E2457" s="84"/>
      <c r="F2457" s="84"/>
      <c r="G2457" s="84"/>
      <c r="R2457" s="251"/>
      <c r="S2457" s="251"/>
      <c r="BD2457" s="399">
        <v>2454</v>
      </c>
      <c r="BE2457" s="399" t="s">
        <v>6670</v>
      </c>
      <c r="BF2457" s="251" t="s">
        <v>6671</v>
      </c>
      <c r="BG2457" s="399" t="s">
        <v>739</v>
      </c>
      <c r="BH2457" s="252">
        <v>45</v>
      </c>
      <c r="BI2457" s="251" t="s">
        <v>379</v>
      </c>
      <c r="BJ2457" s="251" t="s">
        <v>380</v>
      </c>
      <c r="BK2457" s="251" t="s">
        <v>6672</v>
      </c>
      <c r="BL2457" s="251" t="s">
        <v>742</v>
      </c>
    </row>
    <row r="2458" spans="2:64" ht="15">
      <c r="B2458" s="84"/>
      <c r="D2458" s="84"/>
      <c r="E2458" s="84"/>
      <c r="F2458" s="84"/>
      <c r="G2458" s="84"/>
      <c r="R2458" s="251"/>
      <c r="S2458" s="251"/>
      <c r="BD2458" s="399">
        <v>2455</v>
      </c>
      <c r="BE2458" s="399" t="s">
        <v>6673</v>
      </c>
      <c r="BF2458" s="251" t="s">
        <v>6674</v>
      </c>
      <c r="BG2458" s="399" t="s">
        <v>469</v>
      </c>
      <c r="BH2458" s="252" t="s">
        <v>470</v>
      </c>
      <c r="BI2458" s="251" t="s">
        <v>1638</v>
      </c>
      <c r="BJ2458" s="251" t="s">
        <v>539</v>
      </c>
      <c r="BK2458" s="251" t="s">
        <v>6675</v>
      </c>
      <c r="BL2458" s="251" t="s">
        <v>472</v>
      </c>
    </row>
    <row r="2459" spans="2:64" ht="15">
      <c r="B2459" s="84"/>
      <c r="D2459" s="84"/>
      <c r="E2459" s="84"/>
      <c r="F2459" s="84"/>
      <c r="G2459" s="84"/>
      <c r="R2459" s="251"/>
      <c r="S2459" s="251"/>
      <c r="BD2459" s="399">
        <v>2456</v>
      </c>
      <c r="BE2459" s="399" t="s">
        <v>5106</v>
      </c>
      <c r="BF2459" s="251" t="s">
        <v>6674</v>
      </c>
      <c r="BG2459" s="399" t="s">
        <v>378</v>
      </c>
      <c r="BH2459" s="252">
        <v>11</v>
      </c>
      <c r="BI2459" s="251" t="s">
        <v>331</v>
      </c>
      <c r="BJ2459" s="251" t="s">
        <v>380</v>
      </c>
      <c r="BK2459" s="251" t="s">
        <v>5108</v>
      </c>
      <c r="BL2459" s="251" t="s">
        <v>382</v>
      </c>
    </row>
    <row r="2460" spans="2:64" ht="15">
      <c r="B2460" s="84"/>
      <c r="D2460" s="84"/>
      <c r="E2460" s="84"/>
      <c r="F2460" s="84"/>
      <c r="G2460" s="84"/>
      <c r="R2460" s="251"/>
      <c r="S2460" s="251"/>
      <c r="BD2460" s="399">
        <v>2457</v>
      </c>
      <c r="BE2460" s="399" t="s">
        <v>6676</v>
      </c>
      <c r="BF2460" s="251" t="s">
        <v>6674</v>
      </c>
      <c r="BG2460" s="399" t="s">
        <v>378</v>
      </c>
      <c r="BH2460" s="252">
        <v>11</v>
      </c>
      <c r="BI2460" s="251" t="s">
        <v>332</v>
      </c>
      <c r="BJ2460" s="251" t="s">
        <v>539</v>
      </c>
      <c r="BK2460" s="251" t="s">
        <v>6677</v>
      </c>
      <c r="BL2460" s="251" t="s">
        <v>382</v>
      </c>
    </row>
    <row r="2461" spans="2:64" ht="15">
      <c r="B2461" s="84"/>
      <c r="D2461" s="84"/>
      <c r="E2461" s="84"/>
      <c r="F2461" s="84"/>
      <c r="G2461" s="84"/>
      <c r="R2461" s="251"/>
      <c r="S2461" s="251"/>
      <c r="BD2461" s="399">
        <v>2458</v>
      </c>
      <c r="BE2461" s="399" t="s">
        <v>6678</v>
      </c>
      <c r="BF2461" s="251" t="s">
        <v>6674</v>
      </c>
      <c r="BG2461" s="399" t="s">
        <v>378</v>
      </c>
      <c r="BH2461" s="252">
        <v>11</v>
      </c>
      <c r="BI2461" s="251" t="s">
        <v>332</v>
      </c>
      <c r="BJ2461" s="251" t="s">
        <v>407</v>
      </c>
      <c r="BK2461" s="251" t="s">
        <v>6679</v>
      </c>
      <c r="BL2461" s="251" t="s">
        <v>382</v>
      </c>
    </row>
    <row r="2462" spans="2:64" ht="15">
      <c r="B2462" s="84"/>
      <c r="D2462" s="84"/>
      <c r="E2462" s="84"/>
      <c r="F2462" s="84"/>
      <c r="G2462" s="84"/>
      <c r="R2462" s="251"/>
      <c r="S2462" s="251"/>
      <c r="BD2462" s="399">
        <v>2459</v>
      </c>
      <c r="BE2462" s="399" t="s">
        <v>2043</v>
      </c>
      <c r="BF2462" s="251" t="s">
        <v>6674</v>
      </c>
      <c r="BG2462" s="399" t="s">
        <v>489</v>
      </c>
      <c r="BH2462" s="252" t="s">
        <v>6680</v>
      </c>
      <c r="BI2462" s="251" t="s">
        <v>331</v>
      </c>
      <c r="BJ2462" s="251" t="s">
        <v>380</v>
      </c>
      <c r="BK2462" s="251" t="s">
        <v>6681</v>
      </c>
      <c r="BL2462" s="251" t="s">
        <v>493</v>
      </c>
    </row>
    <row r="2463" spans="2:64" ht="15">
      <c r="B2463" s="84"/>
      <c r="D2463" s="84"/>
      <c r="E2463" s="84"/>
      <c r="F2463" s="84"/>
      <c r="G2463" s="84"/>
      <c r="R2463" s="251"/>
      <c r="S2463" s="251"/>
      <c r="BD2463" s="399">
        <v>2460</v>
      </c>
      <c r="BE2463" s="399" t="s">
        <v>6682</v>
      </c>
      <c r="BF2463" s="251" t="s">
        <v>6674</v>
      </c>
      <c r="BG2463" s="399" t="s">
        <v>489</v>
      </c>
      <c r="BH2463" s="252" t="s">
        <v>958</v>
      </c>
      <c r="BI2463" s="251" t="s">
        <v>331</v>
      </c>
      <c r="BJ2463" s="251" t="s">
        <v>407</v>
      </c>
      <c r="BK2463" s="251" t="s">
        <v>6683</v>
      </c>
      <c r="BL2463" s="251" t="s">
        <v>493</v>
      </c>
    </row>
    <row r="2464" spans="2:64" ht="15">
      <c r="B2464" s="84"/>
      <c r="D2464" s="84"/>
      <c r="E2464" s="84"/>
      <c r="F2464" s="84"/>
      <c r="G2464" s="84"/>
      <c r="R2464" s="251"/>
      <c r="S2464" s="251"/>
      <c r="BD2464" s="399">
        <v>2461</v>
      </c>
      <c r="BE2464" s="399" t="s">
        <v>6684</v>
      </c>
      <c r="BF2464" s="251" t="s">
        <v>6674</v>
      </c>
      <c r="BG2464" s="399" t="s">
        <v>489</v>
      </c>
      <c r="BH2464" s="252" t="s">
        <v>639</v>
      </c>
      <c r="BI2464" s="251" t="s">
        <v>615</v>
      </c>
      <c r="BJ2464" s="251" t="s">
        <v>6685</v>
      </c>
      <c r="BK2464" s="251" t="s">
        <v>6686</v>
      </c>
      <c r="BL2464" s="251" t="s">
        <v>493</v>
      </c>
    </row>
    <row r="2465" spans="2:64" ht="15">
      <c r="B2465" s="84"/>
      <c r="D2465" s="84"/>
      <c r="E2465" s="84"/>
      <c r="F2465" s="84"/>
      <c r="G2465" s="84"/>
      <c r="R2465" s="251"/>
      <c r="S2465" s="251"/>
      <c r="BD2465" s="399">
        <v>2462</v>
      </c>
      <c r="BE2465" s="399" t="s">
        <v>6687</v>
      </c>
      <c r="BF2465" s="251" t="s">
        <v>6674</v>
      </c>
      <c r="BG2465" s="399" t="s">
        <v>489</v>
      </c>
      <c r="BH2465" s="252" t="s">
        <v>490</v>
      </c>
      <c r="BI2465" s="251" t="s">
        <v>450</v>
      </c>
      <c r="BJ2465" s="251" t="s">
        <v>1031</v>
      </c>
      <c r="BK2465" s="251" t="s">
        <v>6688</v>
      </c>
      <c r="BL2465" s="251" t="s">
        <v>493</v>
      </c>
    </row>
    <row r="2466" spans="2:64" ht="15">
      <c r="B2466" s="84"/>
      <c r="D2466" s="84"/>
      <c r="E2466" s="84"/>
      <c r="F2466" s="84"/>
      <c r="G2466" s="84"/>
      <c r="R2466" s="251"/>
      <c r="S2466" s="251"/>
      <c r="BD2466" s="399">
        <v>2463</v>
      </c>
      <c r="BE2466" s="399" t="s">
        <v>6689</v>
      </c>
      <c r="BF2466" s="251" t="s">
        <v>6674</v>
      </c>
      <c r="BG2466" s="399" t="s">
        <v>549</v>
      </c>
      <c r="BH2466" s="252">
        <v>41</v>
      </c>
      <c r="BI2466" s="251" t="s">
        <v>332</v>
      </c>
      <c r="BJ2466" s="251" t="s">
        <v>539</v>
      </c>
      <c r="BK2466" s="251" t="s">
        <v>6690</v>
      </c>
      <c r="BL2466" s="251" t="s">
        <v>551</v>
      </c>
    </row>
    <row r="2467" spans="2:64" ht="15">
      <c r="B2467" s="84"/>
      <c r="D2467" s="84"/>
      <c r="E2467" s="84"/>
      <c r="F2467" s="84"/>
      <c r="G2467" s="84"/>
      <c r="R2467" s="251"/>
      <c r="S2467" s="251"/>
      <c r="BD2467" s="399">
        <v>2464</v>
      </c>
      <c r="BE2467" s="399" t="s">
        <v>6691</v>
      </c>
      <c r="BF2467" s="251" t="s">
        <v>6674</v>
      </c>
      <c r="BG2467" s="399" t="s">
        <v>739</v>
      </c>
      <c r="BH2467" s="252">
        <v>45</v>
      </c>
      <c r="BI2467" s="251" t="s">
        <v>331</v>
      </c>
      <c r="BJ2467" s="251" t="s">
        <v>407</v>
      </c>
      <c r="BK2467" s="251" t="s">
        <v>6692</v>
      </c>
      <c r="BL2467" s="251" t="s">
        <v>742</v>
      </c>
    </row>
    <row r="2468" spans="2:64" ht="15">
      <c r="B2468" s="84"/>
      <c r="D2468" s="84"/>
      <c r="E2468" s="84"/>
      <c r="F2468" s="84"/>
      <c r="G2468" s="84"/>
      <c r="R2468" s="251"/>
      <c r="S2468" s="251"/>
      <c r="BD2468" s="399">
        <v>2465</v>
      </c>
      <c r="BE2468" s="399" t="s">
        <v>6693</v>
      </c>
      <c r="BF2468" s="251" t="s">
        <v>6674</v>
      </c>
      <c r="BG2468" s="399" t="s">
        <v>0</v>
      </c>
      <c r="BH2468" s="252">
        <v>48</v>
      </c>
      <c r="BI2468" s="251" t="s">
        <v>450</v>
      </c>
      <c r="BJ2468" s="251" t="s">
        <v>380</v>
      </c>
      <c r="BK2468" s="251" t="s">
        <v>6694</v>
      </c>
      <c r="BL2468" s="251" t="s">
        <v>818</v>
      </c>
    </row>
    <row r="2469" spans="2:64" ht="15">
      <c r="B2469" s="84"/>
      <c r="D2469" s="84"/>
      <c r="E2469" s="84"/>
      <c r="F2469" s="84"/>
      <c r="G2469" s="84"/>
      <c r="R2469" s="251"/>
      <c r="S2469" s="251"/>
      <c r="BD2469" s="399">
        <v>2466</v>
      </c>
      <c r="BE2469" s="399" t="s">
        <v>6695</v>
      </c>
      <c r="BF2469" s="251" t="s">
        <v>6674</v>
      </c>
      <c r="BG2469" s="399" t="s">
        <v>1688</v>
      </c>
      <c r="BH2469" s="252">
        <v>50</v>
      </c>
      <c r="BI2469" s="251" t="s">
        <v>615</v>
      </c>
      <c r="BJ2469" s="251" t="s">
        <v>1966</v>
      </c>
      <c r="BK2469" s="251" t="s">
        <v>6696</v>
      </c>
      <c r="BL2469" s="251" t="s">
        <v>1690</v>
      </c>
    </row>
    <row r="2470" spans="2:64" ht="15">
      <c r="B2470" s="84"/>
      <c r="D2470" s="84"/>
      <c r="E2470" s="84"/>
      <c r="F2470" s="84"/>
      <c r="G2470" s="84"/>
      <c r="R2470" s="251"/>
      <c r="S2470" s="251"/>
      <c r="BD2470" s="399">
        <v>2467</v>
      </c>
      <c r="BE2470" s="399" t="s">
        <v>3575</v>
      </c>
      <c r="BF2470" s="251" t="s">
        <v>6674</v>
      </c>
      <c r="BG2470" s="399">
        <v>59</v>
      </c>
      <c r="BH2470" s="252">
        <v>59</v>
      </c>
      <c r="BI2470" s="251" t="s">
        <v>873</v>
      </c>
      <c r="BJ2470" s="251" t="s">
        <v>413</v>
      </c>
      <c r="BK2470" s="251" t="s">
        <v>3576</v>
      </c>
      <c r="BL2470" s="251" t="s">
        <v>3397</v>
      </c>
    </row>
    <row r="2471" spans="2:64" ht="15">
      <c r="B2471" s="84"/>
      <c r="D2471" s="84"/>
      <c r="E2471" s="84"/>
      <c r="F2471" s="84"/>
      <c r="G2471" s="84"/>
      <c r="R2471" s="251"/>
      <c r="S2471" s="251"/>
      <c r="BD2471" s="399">
        <v>2468</v>
      </c>
      <c r="BE2471" s="399" t="s">
        <v>6697</v>
      </c>
      <c r="BF2471" s="251" t="s">
        <v>6698</v>
      </c>
      <c r="BG2471" s="399" t="s">
        <v>566</v>
      </c>
      <c r="BH2471" s="252" t="s">
        <v>1004</v>
      </c>
      <c r="BI2471" s="251" t="s">
        <v>390</v>
      </c>
      <c r="BJ2471" s="251" t="s">
        <v>380</v>
      </c>
      <c r="BK2471" s="251" t="s">
        <v>6699</v>
      </c>
      <c r="BL2471" s="251" t="s">
        <v>569</v>
      </c>
    </row>
    <row r="2472" spans="2:64" ht="15">
      <c r="B2472" s="84"/>
      <c r="D2472" s="84"/>
      <c r="E2472" s="84"/>
      <c r="F2472" s="84"/>
      <c r="G2472" s="84"/>
      <c r="R2472" s="251"/>
      <c r="S2472" s="251"/>
      <c r="BD2472" s="399">
        <v>2469</v>
      </c>
      <c r="BE2472" s="399" t="s">
        <v>6700</v>
      </c>
      <c r="BF2472" s="251" t="s">
        <v>6701</v>
      </c>
      <c r="BG2472" s="399" t="s">
        <v>349</v>
      </c>
      <c r="BH2472" s="252">
        <v>17</v>
      </c>
      <c r="BI2472" s="251" t="s">
        <v>333</v>
      </c>
      <c r="BJ2472" s="251" t="s">
        <v>351</v>
      </c>
      <c r="BK2472" s="251" t="s">
        <v>6702</v>
      </c>
      <c r="BL2472" s="251" t="s">
        <v>353</v>
      </c>
    </row>
    <row r="2473" spans="2:64" ht="15">
      <c r="B2473" s="84"/>
      <c r="D2473" s="84"/>
      <c r="E2473" s="84"/>
      <c r="F2473" s="84"/>
      <c r="G2473" s="84"/>
      <c r="R2473" s="251"/>
      <c r="S2473" s="251"/>
      <c r="BD2473" s="399">
        <v>2470</v>
      </c>
      <c r="BE2473" s="399" t="s">
        <v>6703</v>
      </c>
      <c r="BF2473" s="251" t="s">
        <v>6704</v>
      </c>
      <c r="BG2473" s="399" t="s">
        <v>549</v>
      </c>
      <c r="BH2473" s="252">
        <v>41</v>
      </c>
      <c r="BI2473" s="251" t="s">
        <v>332</v>
      </c>
      <c r="BJ2473" s="251" t="s">
        <v>397</v>
      </c>
      <c r="BK2473" s="251" t="s">
        <v>6705</v>
      </c>
      <c r="BL2473" s="251" t="s">
        <v>551</v>
      </c>
    </row>
    <row r="2474" spans="2:64" ht="15">
      <c r="B2474" s="84"/>
      <c r="D2474" s="84"/>
      <c r="E2474" s="84"/>
      <c r="F2474" s="84"/>
      <c r="G2474" s="84"/>
      <c r="R2474" s="251"/>
      <c r="S2474" s="251"/>
      <c r="BD2474" s="399">
        <v>2471</v>
      </c>
      <c r="BE2474" s="399" t="s">
        <v>6706</v>
      </c>
      <c r="BF2474" s="251" t="s">
        <v>6707</v>
      </c>
      <c r="BG2474" s="399" t="s">
        <v>423</v>
      </c>
      <c r="BH2474" s="252" t="s">
        <v>424</v>
      </c>
      <c r="BI2474" s="251" t="s">
        <v>445</v>
      </c>
      <c r="BJ2474" s="251" t="s">
        <v>380</v>
      </c>
      <c r="BK2474" s="251" t="s">
        <v>6708</v>
      </c>
      <c r="BL2474" s="251" t="s">
        <v>426</v>
      </c>
    </row>
    <row r="2475" spans="2:64" ht="15">
      <c r="B2475" s="84"/>
      <c r="D2475" s="84"/>
      <c r="E2475" s="84"/>
      <c r="F2475" s="84"/>
      <c r="G2475" s="84"/>
      <c r="R2475" s="251"/>
      <c r="S2475" s="251"/>
      <c r="BD2475" s="399">
        <v>2472</v>
      </c>
      <c r="BE2475" s="399" t="s">
        <v>6709</v>
      </c>
      <c r="BF2475" s="251" t="s">
        <v>6710</v>
      </c>
      <c r="BG2475" s="399" t="s">
        <v>371</v>
      </c>
      <c r="BH2475" s="252">
        <v>28</v>
      </c>
      <c r="BI2475" s="251" t="s">
        <v>740</v>
      </c>
      <c r="BJ2475" s="251" t="s">
        <v>373</v>
      </c>
      <c r="BK2475" s="251" t="s">
        <v>6711</v>
      </c>
      <c r="BL2475" s="251" t="s">
        <v>375</v>
      </c>
    </row>
    <row r="2476" spans="2:64" ht="15">
      <c r="B2476" s="84"/>
      <c r="D2476" s="84"/>
      <c r="E2476" s="84"/>
      <c r="F2476" s="84"/>
      <c r="G2476" s="84"/>
      <c r="R2476" s="251"/>
      <c r="S2476" s="251"/>
      <c r="BD2476" s="399">
        <v>2473</v>
      </c>
      <c r="BE2476" s="399" t="s">
        <v>6712</v>
      </c>
      <c r="BF2476" s="251" t="s">
        <v>6713</v>
      </c>
      <c r="BG2476" s="399" t="s">
        <v>469</v>
      </c>
      <c r="BH2476" s="252" t="s">
        <v>662</v>
      </c>
      <c r="BI2476" s="251" t="s">
        <v>477</v>
      </c>
      <c r="BJ2476" s="251" t="s">
        <v>385</v>
      </c>
      <c r="BK2476" s="251" t="s">
        <v>6714</v>
      </c>
      <c r="BL2476" s="251" t="s">
        <v>472</v>
      </c>
    </row>
    <row r="2477" spans="2:64" ht="15">
      <c r="B2477" s="84"/>
      <c r="D2477" s="84"/>
      <c r="E2477" s="84"/>
      <c r="F2477" s="84"/>
      <c r="G2477" s="84"/>
      <c r="R2477" s="251"/>
      <c r="S2477" s="251"/>
      <c r="BD2477" s="399">
        <v>2474</v>
      </c>
      <c r="BE2477" s="399" t="s">
        <v>5327</v>
      </c>
      <c r="BF2477" s="251" t="s">
        <v>177</v>
      </c>
      <c r="BG2477" s="399" t="s">
        <v>363</v>
      </c>
      <c r="BH2477" s="252">
        <v>8</v>
      </c>
      <c r="BI2477" s="251" t="s">
        <v>334</v>
      </c>
      <c r="BJ2477" s="251" t="s">
        <v>385</v>
      </c>
      <c r="BK2477" s="251" t="s">
        <v>6715</v>
      </c>
      <c r="BL2477" s="251" t="s">
        <v>368</v>
      </c>
    </row>
    <row r="2478" spans="2:64" ht="15">
      <c r="B2478" s="84"/>
      <c r="D2478" s="84"/>
      <c r="E2478" s="84"/>
      <c r="F2478" s="84"/>
      <c r="G2478" s="84"/>
      <c r="R2478" s="251"/>
      <c r="S2478" s="251"/>
      <c r="BD2478" s="399">
        <v>2475</v>
      </c>
      <c r="BE2478" s="399" t="s">
        <v>6716</v>
      </c>
      <c r="BF2478" s="251" t="s">
        <v>6717</v>
      </c>
      <c r="BG2478" s="399" t="s">
        <v>423</v>
      </c>
      <c r="BH2478" s="252" t="s">
        <v>424</v>
      </c>
      <c r="BI2478" s="251" t="s">
        <v>332</v>
      </c>
      <c r="BJ2478" s="251" t="s">
        <v>351</v>
      </c>
      <c r="BK2478" s="251" t="s">
        <v>6718</v>
      </c>
      <c r="BL2478" s="251" t="s">
        <v>426</v>
      </c>
    </row>
    <row r="2479" spans="2:64" ht="15">
      <c r="B2479" s="84"/>
      <c r="D2479" s="84"/>
      <c r="E2479" s="84"/>
      <c r="F2479" s="84"/>
      <c r="G2479" s="84"/>
      <c r="R2479" s="251"/>
      <c r="S2479" s="251"/>
      <c r="BD2479" s="399">
        <v>2476</v>
      </c>
      <c r="BE2479" s="399" t="s">
        <v>6719</v>
      </c>
      <c r="BF2479" s="251" t="s">
        <v>6720</v>
      </c>
      <c r="BG2479" s="399" t="s">
        <v>371</v>
      </c>
      <c r="BH2479" s="252">
        <v>28</v>
      </c>
      <c r="BI2479" s="251" t="s">
        <v>615</v>
      </c>
      <c r="BJ2479" s="251" t="s">
        <v>407</v>
      </c>
      <c r="BK2479" s="251" t="s">
        <v>6721</v>
      </c>
      <c r="BL2479" s="251" t="s">
        <v>375</v>
      </c>
    </row>
    <row r="2480" spans="2:64" ht="15">
      <c r="B2480" s="84"/>
      <c r="D2480" s="84"/>
      <c r="E2480" s="84"/>
      <c r="F2480" s="84"/>
      <c r="G2480" s="84"/>
      <c r="R2480" s="251"/>
      <c r="S2480" s="251"/>
      <c r="BD2480" s="399">
        <v>2477</v>
      </c>
      <c r="BE2480" s="399" t="s">
        <v>6722</v>
      </c>
      <c r="BF2480" s="251" t="s">
        <v>6723</v>
      </c>
      <c r="BG2480" s="399" t="s">
        <v>590</v>
      </c>
      <c r="BH2480" s="252">
        <v>44</v>
      </c>
      <c r="BI2480" s="251" t="s">
        <v>456</v>
      </c>
      <c r="BJ2480" s="251" t="s">
        <v>413</v>
      </c>
      <c r="BK2480" s="251" t="s">
        <v>6724</v>
      </c>
      <c r="BL2480" s="251" t="s">
        <v>592</v>
      </c>
    </row>
    <row r="2481" spans="2:64" ht="15">
      <c r="B2481" s="84"/>
      <c r="D2481" s="84"/>
      <c r="E2481" s="84"/>
      <c r="F2481" s="84"/>
      <c r="G2481" s="84"/>
      <c r="R2481" s="251"/>
      <c r="S2481" s="251"/>
      <c r="BD2481" s="399">
        <v>2478</v>
      </c>
      <c r="BE2481" s="399" t="s">
        <v>6725</v>
      </c>
      <c r="BF2481" s="251" t="s">
        <v>6726</v>
      </c>
      <c r="BG2481" s="399" t="s">
        <v>733</v>
      </c>
      <c r="BH2481" s="252" t="s">
        <v>734</v>
      </c>
      <c r="BI2481" s="251" t="s">
        <v>465</v>
      </c>
      <c r="BJ2481" s="251" t="s">
        <v>397</v>
      </c>
      <c r="BK2481" s="251" t="s">
        <v>6727</v>
      </c>
      <c r="BL2481" s="251" t="s">
        <v>736</v>
      </c>
    </row>
    <row r="2482" spans="2:64" ht="15">
      <c r="B2482" s="84"/>
      <c r="D2482" s="84"/>
      <c r="E2482" s="84"/>
      <c r="F2482" s="84"/>
      <c r="G2482" s="84"/>
      <c r="R2482" s="251"/>
      <c r="S2482" s="251"/>
      <c r="BD2482" s="399">
        <v>2479</v>
      </c>
      <c r="BE2482" s="399" t="s">
        <v>6728</v>
      </c>
      <c r="BF2482" s="251" t="s">
        <v>6729</v>
      </c>
      <c r="BG2482" s="399" t="s">
        <v>371</v>
      </c>
      <c r="BH2482" s="252">
        <v>28</v>
      </c>
      <c r="BI2482" s="251" t="s">
        <v>365</v>
      </c>
      <c r="BJ2482" s="251" t="s">
        <v>351</v>
      </c>
      <c r="BK2482" s="251" t="s">
        <v>6730</v>
      </c>
      <c r="BL2482" s="251" t="s">
        <v>375</v>
      </c>
    </row>
    <row r="2483" spans="2:64" ht="15">
      <c r="B2483" s="84"/>
      <c r="D2483" s="84"/>
      <c r="E2483" s="84"/>
      <c r="F2483" s="84"/>
      <c r="G2483" s="84"/>
      <c r="R2483" s="251"/>
      <c r="S2483" s="251"/>
      <c r="BD2483" s="399">
        <v>2480</v>
      </c>
      <c r="BE2483" s="399" t="s">
        <v>6731</v>
      </c>
      <c r="BF2483" s="251" t="s">
        <v>6732</v>
      </c>
      <c r="BG2483" s="399" t="s">
        <v>378</v>
      </c>
      <c r="BH2483" s="252">
        <v>11</v>
      </c>
      <c r="BI2483" s="251" t="s">
        <v>477</v>
      </c>
      <c r="BJ2483" s="251" t="s">
        <v>396</v>
      </c>
      <c r="BK2483" s="251" t="s">
        <v>6733</v>
      </c>
      <c r="BL2483" s="251" t="s">
        <v>382</v>
      </c>
    </row>
    <row r="2484" spans="2:64" ht="15">
      <c r="B2484" s="84"/>
      <c r="D2484" s="84"/>
      <c r="E2484" s="84"/>
      <c r="F2484" s="84"/>
      <c r="G2484" s="84"/>
      <c r="R2484" s="251"/>
      <c r="S2484" s="251"/>
      <c r="BD2484" s="399">
        <v>2481</v>
      </c>
      <c r="BE2484" s="399" t="s">
        <v>6734</v>
      </c>
      <c r="BF2484" s="251" t="s">
        <v>6735</v>
      </c>
      <c r="BG2484" s="399" t="s">
        <v>405</v>
      </c>
      <c r="BH2484" s="252" t="s">
        <v>830</v>
      </c>
      <c r="BI2484" s="251" t="s">
        <v>396</v>
      </c>
      <c r="BJ2484" s="251" t="s">
        <v>366</v>
      </c>
      <c r="BK2484" s="251" t="s">
        <v>6736</v>
      </c>
      <c r="BL2484" s="251" t="s">
        <v>409</v>
      </c>
    </row>
    <row r="2485" spans="2:64" ht="15">
      <c r="B2485" s="84"/>
      <c r="D2485" s="84"/>
      <c r="E2485" s="84"/>
      <c r="F2485" s="84"/>
      <c r="G2485" s="84"/>
      <c r="R2485" s="251"/>
      <c r="S2485" s="251"/>
      <c r="BD2485" s="399">
        <v>2482</v>
      </c>
      <c r="BE2485" s="399" t="s">
        <v>6737</v>
      </c>
      <c r="BF2485" s="251" t="s">
        <v>6738</v>
      </c>
      <c r="BG2485" s="399" t="s">
        <v>449</v>
      </c>
      <c r="BH2485" s="252">
        <v>43</v>
      </c>
      <c r="BI2485" s="251" t="s">
        <v>365</v>
      </c>
      <c r="BJ2485" s="251" t="s">
        <v>407</v>
      </c>
      <c r="BK2485" s="251" t="s">
        <v>6739</v>
      </c>
      <c r="BL2485" s="251" t="s">
        <v>452</v>
      </c>
    </row>
    <row r="2486" spans="2:64" ht="15">
      <c r="B2486" s="84"/>
      <c r="D2486" s="84"/>
      <c r="E2486" s="84"/>
      <c r="F2486" s="84"/>
      <c r="G2486" s="84"/>
      <c r="R2486" s="251"/>
      <c r="S2486" s="251"/>
      <c r="BD2486" s="399">
        <v>2483</v>
      </c>
      <c r="BE2486" s="399" t="s">
        <v>6740</v>
      </c>
      <c r="BF2486" s="251" t="s">
        <v>6741</v>
      </c>
      <c r="BG2486" s="399" t="s">
        <v>475</v>
      </c>
      <c r="BH2486" s="252" t="s">
        <v>510</v>
      </c>
      <c r="BI2486" s="251" t="s">
        <v>445</v>
      </c>
      <c r="BJ2486" s="251" t="s">
        <v>390</v>
      </c>
      <c r="BK2486" s="251" t="s">
        <v>6742</v>
      </c>
      <c r="BL2486" s="251" t="s">
        <v>479</v>
      </c>
    </row>
    <row r="2487" spans="2:64" ht="15">
      <c r="B2487" s="84"/>
      <c r="D2487" s="84"/>
      <c r="E2487" s="84"/>
      <c r="F2487" s="84"/>
      <c r="G2487" s="84"/>
      <c r="R2487" s="251"/>
      <c r="S2487" s="251"/>
      <c r="BD2487" s="399">
        <v>2484</v>
      </c>
      <c r="BE2487" s="399" t="s">
        <v>6743</v>
      </c>
      <c r="BF2487" s="251" t="s">
        <v>6744</v>
      </c>
      <c r="BG2487" s="399" t="s">
        <v>405</v>
      </c>
      <c r="BH2487" s="252" t="s">
        <v>1267</v>
      </c>
      <c r="BI2487" s="251" t="s">
        <v>357</v>
      </c>
      <c r="BJ2487" s="251" t="s">
        <v>397</v>
      </c>
      <c r="BK2487" s="251" t="s">
        <v>6745</v>
      </c>
      <c r="BL2487" s="251" t="s">
        <v>409</v>
      </c>
    </row>
    <row r="2488" spans="2:64" ht="15">
      <c r="B2488" s="84"/>
      <c r="D2488" s="84"/>
      <c r="E2488" s="84"/>
      <c r="F2488" s="84"/>
      <c r="G2488" s="84"/>
      <c r="R2488" s="251"/>
      <c r="S2488" s="251"/>
      <c r="BD2488" s="399">
        <v>2485</v>
      </c>
      <c r="BE2488" s="399" t="s">
        <v>6746</v>
      </c>
      <c r="BF2488" s="251" t="s">
        <v>6747</v>
      </c>
      <c r="BG2488" s="399" t="s">
        <v>395</v>
      </c>
      <c r="BH2488" s="252">
        <v>16</v>
      </c>
      <c r="BI2488" s="251" t="s">
        <v>332</v>
      </c>
      <c r="BJ2488" s="251" t="s">
        <v>380</v>
      </c>
      <c r="BK2488" s="251" t="s">
        <v>6748</v>
      </c>
      <c r="BL2488" s="251" t="s">
        <v>399</v>
      </c>
    </row>
    <row r="2489" spans="2:64" ht="15">
      <c r="B2489" s="84"/>
      <c r="D2489" s="84"/>
      <c r="E2489" s="84"/>
      <c r="F2489" s="84"/>
      <c r="G2489" s="84"/>
      <c r="R2489" s="251"/>
      <c r="S2489" s="251"/>
      <c r="BD2489" s="399">
        <v>2486</v>
      </c>
      <c r="BE2489" s="399" t="s">
        <v>6749</v>
      </c>
      <c r="BF2489" s="251" t="s">
        <v>6750</v>
      </c>
      <c r="BG2489" s="399" t="s">
        <v>429</v>
      </c>
      <c r="BH2489" s="252" t="s">
        <v>430</v>
      </c>
      <c r="BI2489" s="251" t="s">
        <v>445</v>
      </c>
      <c r="BJ2489" s="251" t="s">
        <v>380</v>
      </c>
      <c r="BK2489" s="251" t="s">
        <v>6751</v>
      </c>
      <c r="BL2489" s="251" t="s">
        <v>432</v>
      </c>
    </row>
    <row r="2490" spans="2:64" ht="15">
      <c r="B2490" s="84"/>
      <c r="D2490" s="84"/>
      <c r="E2490" s="84"/>
      <c r="F2490" s="84"/>
      <c r="G2490" s="84"/>
      <c r="R2490" s="251"/>
      <c r="S2490" s="251"/>
      <c r="BD2490" s="399">
        <v>2487</v>
      </c>
      <c r="BE2490" s="399" t="s">
        <v>6752</v>
      </c>
      <c r="BF2490" s="251" t="s">
        <v>6753</v>
      </c>
      <c r="BG2490" s="399" t="s">
        <v>435</v>
      </c>
      <c r="BH2490" s="252" t="s">
        <v>436</v>
      </c>
      <c r="BI2490" s="251" t="s">
        <v>357</v>
      </c>
      <c r="BJ2490" s="251" t="s">
        <v>397</v>
      </c>
      <c r="BK2490" s="251" t="s">
        <v>6754</v>
      </c>
      <c r="BL2490" s="251" t="s">
        <v>439</v>
      </c>
    </row>
    <row r="2491" spans="2:64" ht="15">
      <c r="B2491" s="84"/>
      <c r="D2491" s="84"/>
      <c r="E2491" s="84"/>
      <c r="F2491" s="84"/>
      <c r="G2491" s="84"/>
      <c r="R2491" s="251"/>
      <c r="S2491" s="251"/>
      <c r="BD2491" s="399">
        <v>2488</v>
      </c>
      <c r="BE2491" s="399" t="s">
        <v>6755</v>
      </c>
      <c r="BF2491" s="251" t="s">
        <v>6756</v>
      </c>
      <c r="BG2491" s="399" t="s">
        <v>405</v>
      </c>
      <c r="BH2491" s="252" t="s">
        <v>830</v>
      </c>
      <c r="BI2491" s="251" t="s">
        <v>332</v>
      </c>
      <c r="BJ2491" s="251" t="s">
        <v>366</v>
      </c>
      <c r="BK2491" s="251" t="s">
        <v>6757</v>
      </c>
      <c r="BL2491" s="251" t="s">
        <v>409</v>
      </c>
    </row>
    <row r="2492" spans="2:64" ht="15">
      <c r="B2492" s="84"/>
      <c r="D2492" s="84"/>
      <c r="E2492" s="84"/>
      <c r="F2492" s="84"/>
      <c r="G2492" s="84"/>
      <c r="R2492" s="251"/>
      <c r="S2492" s="251"/>
      <c r="BD2492" s="399">
        <v>2489</v>
      </c>
      <c r="BE2492" s="399" t="s">
        <v>6758</v>
      </c>
      <c r="BF2492" s="251" t="s">
        <v>6759</v>
      </c>
      <c r="BG2492" s="399" t="s">
        <v>423</v>
      </c>
      <c r="BH2492" s="252" t="s">
        <v>424</v>
      </c>
      <c r="BI2492" s="251" t="s">
        <v>334</v>
      </c>
      <c r="BJ2492" s="251" t="s">
        <v>539</v>
      </c>
      <c r="BK2492" s="251" t="s">
        <v>6760</v>
      </c>
      <c r="BL2492" s="251" t="s">
        <v>426</v>
      </c>
    </row>
    <row r="2493" spans="2:64" ht="15">
      <c r="B2493" s="84"/>
      <c r="D2493" s="84"/>
      <c r="E2493" s="84"/>
      <c r="F2493" s="84"/>
      <c r="G2493" s="84"/>
      <c r="R2493" s="251"/>
      <c r="S2493" s="251"/>
      <c r="BD2493" s="399">
        <v>2490</v>
      </c>
      <c r="BE2493" s="399" t="s">
        <v>6761</v>
      </c>
      <c r="BF2493" s="251" t="s">
        <v>6762</v>
      </c>
      <c r="BG2493" s="399" t="s">
        <v>389</v>
      </c>
      <c r="BH2493" s="252">
        <v>39</v>
      </c>
      <c r="BI2493" s="251" t="s">
        <v>332</v>
      </c>
      <c r="BJ2493" s="251" t="s">
        <v>385</v>
      </c>
      <c r="BK2493" s="251" t="s">
        <v>6763</v>
      </c>
      <c r="BL2493" s="251" t="s">
        <v>392</v>
      </c>
    </row>
    <row r="2494" spans="2:64" ht="15">
      <c r="B2494" s="84"/>
      <c r="D2494" s="84"/>
      <c r="E2494" s="84"/>
      <c r="F2494" s="84"/>
      <c r="G2494" s="84"/>
      <c r="R2494" s="251"/>
      <c r="S2494" s="251"/>
      <c r="BD2494" s="399">
        <v>2491</v>
      </c>
      <c r="BE2494" s="399" t="s">
        <v>6764</v>
      </c>
      <c r="BF2494" s="251" t="s">
        <v>6765</v>
      </c>
      <c r="BG2494" s="399" t="s">
        <v>566</v>
      </c>
      <c r="BH2494" s="252" t="s">
        <v>1004</v>
      </c>
      <c r="BI2494" s="251" t="s">
        <v>357</v>
      </c>
      <c r="BJ2494" s="251" t="s">
        <v>437</v>
      </c>
      <c r="BK2494" s="251" t="s">
        <v>6766</v>
      </c>
      <c r="BL2494" s="251" t="s">
        <v>569</v>
      </c>
    </row>
    <row r="2495" spans="2:64" ht="15">
      <c r="B2495" s="84"/>
      <c r="D2495" s="84"/>
      <c r="E2495" s="84"/>
      <c r="F2495" s="84"/>
      <c r="G2495" s="84"/>
      <c r="R2495" s="251"/>
      <c r="S2495" s="251"/>
      <c r="BD2495" s="399">
        <v>2492</v>
      </c>
      <c r="BE2495" s="399" t="s">
        <v>6767</v>
      </c>
      <c r="BF2495" s="251" t="s">
        <v>6768</v>
      </c>
      <c r="BG2495" s="399" t="s">
        <v>733</v>
      </c>
      <c r="BH2495" s="252" t="s">
        <v>734</v>
      </c>
      <c r="BI2495" s="251" t="s">
        <v>740</v>
      </c>
      <c r="BJ2495" s="251" t="s">
        <v>413</v>
      </c>
      <c r="BK2495" s="251" t="s">
        <v>6769</v>
      </c>
      <c r="BL2495" s="251" t="s">
        <v>736</v>
      </c>
    </row>
    <row r="2496" spans="2:64" ht="15">
      <c r="B2496" s="84"/>
      <c r="D2496" s="84"/>
      <c r="E2496" s="84"/>
      <c r="F2496" s="84"/>
      <c r="G2496" s="84"/>
      <c r="R2496" s="251"/>
      <c r="S2496" s="251"/>
      <c r="BD2496" s="399">
        <v>2493</v>
      </c>
      <c r="BE2496" s="399" t="s">
        <v>6770</v>
      </c>
      <c r="BF2496" s="251" t="s">
        <v>6771</v>
      </c>
      <c r="BG2496" s="399" t="s">
        <v>349</v>
      </c>
      <c r="BH2496" s="252">
        <v>17</v>
      </c>
      <c r="BI2496" s="251" t="s">
        <v>728</v>
      </c>
      <c r="BJ2496" s="251" t="s">
        <v>380</v>
      </c>
      <c r="BK2496" s="251" t="s">
        <v>6772</v>
      </c>
      <c r="BL2496" s="251" t="s">
        <v>353</v>
      </c>
    </row>
    <row r="2497" spans="2:64" ht="15">
      <c r="B2497" s="84"/>
      <c r="D2497" s="84"/>
      <c r="E2497" s="84"/>
      <c r="F2497" s="84"/>
      <c r="G2497" s="84"/>
      <c r="R2497" s="251"/>
      <c r="S2497" s="251"/>
      <c r="BD2497" s="399">
        <v>2494</v>
      </c>
      <c r="BE2497" s="399" t="s">
        <v>6773</v>
      </c>
      <c r="BF2497" s="251" t="s">
        <v>6774</v>
      </c>
      <c r="BG2497" s="399" t="s">
        <v>739</v>
      </c>
      <c r="BH2497" s="252">
        <v>45</v>
      </c>
      <c r="BI2497" s="251" t="s">
        <v>334</v>
      </c>
      <c r="BJ2497" s="251" t="s">
        <v>366</v>
      </c>
      <c r="BK2497" s="251" t="s">
        <v>6775</v>
      </c>
      <c r="BL2497" s="251" t="s">
        <v>742</v>
      </c>
    </row>
    <row r="2498" spans="2:64" ht="15">
      <c r="B2498" s="84"/>
      <c r="D2498" s="84"/>
      <c r="E2498" s="84"/>
      <c r="F2498" s="84"/>
      <c r="G2498" s="84"/>
      <c r="R2498" s="251"/>
      <c r="S2498" s="251"/>
      <c r="BD2498" s="399">
        <v>2495</v>
      </c>
      <c r="BE2498" s="399" t="s">
        <v>6776</v>
      </c>
      <c r="BF2498" s="251" t="s">
        <v>6777</v>
      </c>
      <c r="BG2498" s="399" t="s">
        <v>371</v>
      </c>
      <c r="BH2498" s="252">
        <v>28</v>
      </c>
      <c r="BI2498" s="251" t="s">
        <v>365</v>
      </c>
      <c r="BJ2498" s="251" t="s">
        <v>407</v>
      </c>
      <c r="BK2498" s="251" t="s">
        <v>6778</v>
      </c>
      <c r="BL2498" s="251" t="s">
        <v>375</v>
      </c>
    </row>
    <row r="2499" spans="2:64" ht="15">
      <c r="B2499" s="84"/>
      <c r="D2499" s="84"/>
      <c r="E2499" s="84"/>
      <c r="F2499" s="84"/>
      <c r="G2499" s="84"/>
      <c r="R2499" s="251"/>
      <c r="S2499" s="251"/>
      <c r="BD2499" s="399">
        <v>2496</v>
      </c>
      <c r="BE2499" s="399" t="s">
        <v>6779</v>
      </c>
      <c r="BF2499" s="251" t="s">
        <v>6780</v>
      </c>
      <c r="BG2499" s="399" t="s">
        <v>363</v>
      </c>
      <c r="BH2499" s="252" t="s">
        <v>364</v>
      </c>
      <c r="BI2499" s="251" t="s">
        <v>365</v>
      </c>
      <c r="BJ2499" s="251" t="s">
        <v>351</v>
      </c>
      <c r="BK2499" s="251" t="s">
        <v>6781</v>
      </c>
      <c r="BL2499" s="251" t="s">
        <v>368</v>
      </c>
    </row>
    <row r="2500" spans="2:64" ht="15">
      <c r="B2500" s="84"/>
      <c r="D2500" s="84"/>
      <c r="E2500" s="84"/>
      <c r="F2500" s="84"/>
      <c r="G2500" s="84"/>
      <c r="R2500" s="251"/>
      <c r="S2500" s="251"/>
      <c r="BD2500" s="399">
        <v>2497</v>
      </c>
      <c r="BE2500" s="399" t="s">
        <v>6782</v>
      </c>
      <c r="BF2500" s="251" t="s">
        <v>6783</v>
      </c>
      <c r="BG2500" s="399" t="s">
        <v>489</v>
      </c>
      <c r="BH2500" s="252" t="s">
        <v>958</v>
      </c>
      <c r="BI2500" s="251" t="s">
        <v>372</v>
      </c>
      <c r="BJ2500" s="251" t="s">
        <v>413</v>
      </c>
      <c r="BK2500" s="251" t="s">
        <v>6784</v>
      </c>
      <c r="BL2500" s="251" t="s">
        <v>493</v>
      </c>
    </row>
    <row r="2501" spans="2:64" ht="15">
      <c r="B2501" s="84"/>
      <c r="D2501" s="84"/>
      <c r="E2501" s="84"/>
      <c r="F2501" s="84"/>
      <c r="G2501" s="84"/>
      <c r="R2501" s="251"/>
      <c r="S2501" s="251"/>
      <c r="BD2501" s="399">
        <v>2498</v>
      </c>
      <c r="BE2501" s="399" t="s">
        <v>6785</v>
      </c>
      <c r="BF2501" s="251" t="s">
        <v>6786</v>
      </c>
      <c r="BG2501" s="399" t="s">
        <v>349</v>
      </c>
      <c r="BH2501" s="252">
        <v>17</v>
      </c>
      <c r="BI2501" s="251" t="s">
        <v>379</v>
      </c>
      <c r="BJ2501" s="251" t="s">
        <v>539</v>
      </c>
      <c r="BK2501" s="251" t="s">
        <v>6787</v>
      </c>
      <c r="BL2501" s="251" t="s">
        <v>353</v>
      </c>
    </row>
    <row r="2502" spans="2:64" ht="15">
      <c r="B2502" s="84"/>
      <c r="D2502" s="84"/>
      <c r="E2502" s="84"/>
      <c r="F2502" s="84"/>
      <c r="G2502" s="84"/>
      <c r="R2502" s="251"/>
      <c r="S2502" s="251"/>
      <c r="BD2502" s="399">
        <v>2499</v>
      </c>
      <c r="BE2502" s="399" t="s">
        <v>4621</v>
      </c>
      <c r="BF2502" s="251" t="s">
        <v>178</v>
      </c>
      <c r="BG2502" s="399" t="s">
        <v>475</v>
      </c>
      <c r="BH2502" s="252" t="s">
        <v>534</v>
      </c>
      <c r="BI2502" s="251" t="s">
        <v>740</v>
      </c>
      <c r="BJ2502" s="251" t="s">
        <v>413</v>
      </c>
      <c r="BK2502" s="251" t="s">
        <v>6788</v>
      </c>
      <c r="BL2502" s="251" t="s">
        <v>479</v>
      </c>
    </row>
    <row r="2503" spans="2:64" ht="15">
      <c r="B2503" s="84"/>
      <c r="D2503" s="84"/>
      <c r="E2503" s="84"/>
      <c r="F2503" s="84"/>
      <c r="G2503" s="84"/>
      <c r="R2503" s="251"/>
      <c r="S2503" s="251"/>
      <c r="BD2503" s="399">
        <v>2500</v>
      </c>
      <c r="BE2503" s="399" t="s">
        <v>6789</v>
      </c>
      <c r="BF2503" s="251" t="s">
        <v>6790</v>
      </c>
      <c r="BG2503" s="399" t="s">
        <v>549</v>
      </c>
      <c r="BH2503" s="252">
        <v>41</v>
      </c>
      <c r="BI2503" s="251" t="s">
        <v>357</v>
      </c>
      <c r="BJ2503" s="251" t="s">
        <v>373</v>
      </c>
      <c r="BK2503" s="251" t="s">
        <v>6791</v>
      </c>
      <c r="BL2503" s="251" t="s">
        <v>551</v>
      </c>
    </row>
    <row r="2504" spans="2:64" ht="15">
      <c r="B2504" s="84"/>
      <c r="D2504" s="84"/>
      <c r="E2504" s="84"/>
      <c r="F2504" s="84"/>
      <c r="G2504" s="84"/>
      <c r="R2504" s="251"/>
      <c r="S2504" s="251"/>
      <c r="BD2504" s="399">
        <v>2501</v>
      </c>
      <c r="BE2504" s="399" t="s">
        <v>6792</v>
      </c>
      <c r="BF2504" s="251" t="s">
        <v>6793</v>
      </c>
      <c r="BG2504" s="399" t="s">
        <v>519</v>
      </c>
      <c r="BH2504" s="252">
        <v>30</v>
      </c>
      <c r="BI2504" s="251" t="s">
        <v>579</v>
      </c>
      <c r="BJ2504" s="251" t="s">
        <v>413</v>
      </c>
      <c r="BK2504" s="251" t="s">
        <v>6794</v>
      </c>
      <c r="BL2504" s="251" t="s">
        <v>521</v>
      </c>
    </row>
    <row r="2505" spans="2:64" ht="15">
      <c r="B2505" s="84"/>
      <c r="D2505" s="84"/>
      <c r="E2505" s="84"/>
      <c r="F2505" s="84"/>
      <c r="G2505" s="84"/>
      <c r="R2505" s="251"/>
      <c r="S2505" s="251"/>
      <c r="BD2505" s="399">
        <v>2502</v>
      </c>
      <c r="BE2505" s="399" t="s">
        <v>6795</v>
      </c>
      <c r="BF2505" s="251" t="s">
        <v>6796</v>
      </c>
      <c r="BG2505" s="399" t="s">
        <v>371</v>
      </c>
      <c r="BH2505" s="252">
        <v>28</v>
      </c>
      <c r="BI2505" s="251" t="s">
        <v>333</v>
      </c>
      <c r="BJ2505" s="251" t="s">
        <v>366</v>
      </c>
      <c r="BK2505" s="251" t="s">
        <v>6797</v>
      </c>
      <c r="BL2505" s="251" t="s">
        <v>375</v>
      </c>
    </row>
    <row r="2506" spans="2:64" ht="15">
      <c r="B2506" s="84"/>
      <c r="D2506" s="84"/>
      <c r="E2506" s="84"/>
      <c r="F2506" s="84"/>
      <c r="G2506" s="84"/>
      <c r="R2506" s="251"/>
      <c r="S2506" s="251"/>
      <c r="BD2506" s="399">
        <v>2503</v>
      </c>
      <c r="BE2506" s="399" t="s">
        <v>6798</v>
      </c>
      <c r="BF2506" s="251" t="s">
        <v>6799</v>
      </c>
      <c r="BG2506" s="399" t="s">
        <v>395</v>
      </c>
      <c r="BH2506" s="252">
        <v>16</v>
      </c>
      <c r="BI2506" s="251" t="s">
        <v>615</v>
      </c>
      <c r="BJ2506" s="251" t="s">
        <v>539</v>
      </c>
      <c r="BK2506" s="251" t="s">
        <v>6800</v>
      </c>
      <c r="BL2506" s="251" t="s">
        <v>399</v>
      </c>
    </row>
    <row r="2507" spans="2:64" ht="15">
      <c r="B2507" s="84"/>
      <c r="D2507" s="84"/>
      <c r="E2507" s="84"/>
      <c r="F2507" s="84"/>
      <c r="G2507" s="84"/>
      <c r="R2507" s="251"/>
      <c r="S2507" s="251"/>
      <c r="BD2507" s="399">
        <v>2504</v>
      </c>
      <c r="BE2507" s="399" t="s">
        <v>6801</v>
      </c>
      <c r="BF2507" s="251" t="s">
        <v>6802</v>
      </c>
      <c r="BG2507" s="399" t="s">
        <v>435</v>
      </c>
      <c r="BH2507" s="252" t="s">
        <v>651</v>
      </c>
      <c r="BI2507" s="251" t="s">
        <v>477</v>
      </c>
      <c r="BJ2507" s="251" t="s">
        <v>397</v>
      </c>
      <c r="BK2507" s="251" t="s">
        <v>6803</v>
      </c>
      <c r="BL2507" s="251" t="s">
        <v>439</v>
      </c>
    </row>
    <row r="2508" spans="2:64" ht="15">
      <c r="B2508" s="84"/>
      <c r="D2508" s="84"/>
      <c r="E2508" s="84"/>
      <c r="F2508" s="84"/>
      <c r="G2508" s="84"/>
      <c r="R2508" s="251"/>
      <c r="S2508" s="251"/>
      <c r="BD2508" s="399">
        <v>2505</v>
      </c>
      <c r="BE2508" s="399" t="s">
        <v>6804</v>
      </c>
      <c r="BF2508" s="251" t="s">
        <v>6805</v>
      </c>
      <c r="BG2508" s="399" t="s">
        <v>602</v>
      </c>
      <c r="BH2508" s="252">
        <v>47</v>
      </c>
      <c r="BI2508" s="251" t="s">
        <v>332</v>
      </c>
      <c r="BJ2508" s="251" t="s">
        <v>385</v>
      </c>
      <c r="BK2508" s="251" t="s">
        <v>6806</v>
      </c>
      <c r="BL2508" s="251" t="s">
        <v>604</v>
      </c>
    </row>
    <row r="2509" spans="2:64" ht="15">
      <c r="B2509" s="84"/>
      <c r="D2509" s="84"/>
      <c r="E2509" s="84"/>
      <c r="F2509" s="84"/>
      <c r="G2509" s="84"/>
      <c r="R2509" s="251"/>
      <c r="S2509" s="251"/>
      <c r="BD2509" s="399">
        <v>2506</v>
      </c>
      <c r="BE2509" s="399" t="s">
        <v>6807</v>
      </c>
      <c r="BF2509" s="251" t="s">
        <v>6808</v>
      </c>
      <c r="BG2509" s="399" t="s">
        <v>378</v>
      </c>
      <c r="BH2509" s="252">
        <v>11</v>
      </c>
      <c r="BI2509" s="251" t="s">
        <v>450</v>
      </c>
      <c r="BJ2509" s="251" t="s">
        <v>385</v>
      </c>
      <c r="BK2509" s="251" t="s">
        <v>6809</v>
      </c>
      <c r="BL2509" s="251" t="s">
        <v>382</v>
      </c>
    </row>
    <row r="2510" spans="2:64" ht="15">
      <c r="B2510" s="84"/>
      <c r="D2510" s="84"/>
      <c r="E2510" s="84"/>
      <c r="F2510" s="84"/>
      <c r="G2510" s="84"/>
      <c r="R2510" s="251"/>
      <c r="S2510" s="251"/>
      <c r="BD2510" s="399">
        <v>2507</v>
      </c>
      <c r="BE2510" s="399" t="s">
        <v>6810</v>
      </c>
      <c r="BF2510" s="251" t="s">
        <v>6811</v>
      </c>
      <c r="BG2510" s="399" t="s">
        <v>429</v>
      </c>
      <c r="BH2510" s="252" t="s">
        <v>430</v>
      </c>
      <c r="BI2510" s="251" t="s">
        <v>456</v>
      </c>
      <c r="BJ2510" s="251" t="s">
        <v>413</v>
      </c>
      <c r="BK2510" s="251" t="s">
        <v>6812</v>
      </c>
      <c r="BL2510" s="251" t="s">
        <v>432</v>
      </c>
    </row>
    <row r="2511" spans="2:64" ht="15">
      <c r="B2511" s="84"/>
      <c r="D2511" s="84"/>
      <c r="E2511" s="84"/>
      <c r="F2511" s="84"/>
      <c r="G2511" s="84"/>
      <c r="R2511" s="251"/>
      <c r="S2511" s="251"/>
      <c r="BD2511" s="399">
        <v>2508</v>
      </c>
      <c r="BE2511" s="399" t="s">
        <v>4384</v>
      </c>
      <c r="BF2511" s="251" t="s">
        <v>6813</v>
      </c>
      <c r="BG2511" s="399" t="s">
        <v>733</v>
      </c>
      <c r="BH2511" s="252">
        <v>42</v>
      </c>
      <c r="BI2511" s="251" t="s">
        <v>873</v>
      </c>
      <c r="BJ2511" s="251" t="s">
        <v>413</v>
      </c>
      <c r="BK2511" s="251" t="s">
        <v>4385</v>
      </c>
      <c r="BL2511" s="251" t="s">
        <v>736</v>
      </c>
    </row>
    <row r="2512" spans="2:64" ht="15">
      <c r="B2512" s="84"/>
      <c r="D2512" s="84"/>
      <c r="E2512" s="84"/>
      <c r="F2512" s="84"/>
      <c r="G2512" s="84"/>
      <c r="R2512" s="251"/>
      <c r="S2512" s="251"/>
      <c r="BD2512" s="399">
        <v>2509</v>
      </c>
      <c r="BE2512" s="399" t="s">
        <v>6814</v>
      </c>
      <c r="BF2512" s="251" t="s">
        <v>6815</v>
      </c>
      <c r="BG2512" s="399" t="s">
        <v>566</v>
      </c>
      <c r="BH2512" s="252" t="s">
        <v>567</v>
      </c>
      <c r="BI2512" s="251" t="s">
        <v>445</v>
      </c>
      <c r="BJ2512" s="251" t="s">
        <v>539</v>
      </c>
      <c r="BK2512" s="251" t="s">
        <v>6816</v>
      </c>
      <c r="BL2512" s="251" t="s">
        <v>569</v>
      </c>
    </row>
    <row r="2513" spans="2:64" ht="15">
      <c r="B2513" s="84"/>
      <c r="D2513" s="84"/>
      <c r="E2513" s="84"/>
      <c r="F2513" s="84"/>
      <c r="G2513" s="84"/>
      <c r="R2513" s="251"/>
      <c r="S2513" s="251"/>
      <c r="BD2513" s="399">
        <v>2510</v>
      </c>
      <c r="BE2513" s="399" t="s">
        <v>6817</v>
      </c>
      <c r="BF2513" s="251" t="s">
        <v>6818</v>
      </c>
      <c r="BG2513" s="399" t="s">
        <v>395</v>
      </c>
      <c r="BH2513" s="252">
        <v>16</v>
      </c>
      <c r="BI2513" s="251" t="s">
        <v>390</v>
      </c>
      <c r="BJ2513" s="251" t="s">
        <v>351</v>
      </c>
      <c r="BK2513" s="251" t="s">
        <v>6819</v>
      </c>
      <c r="BL2513" s="251" t="s">
        <v>399</v>
      </c>
    </row>
    <row r="2514" spans="2:64" ht="15">
      <c r="B2514" s="84"/>
      <c r="D2514" s="84"/>
      <c r="E2514" s="84"/>
      <c r="F2514" s="84"/>
      <c r="G2514" s="84"/>
      <c r="R2514" s="251"/>
      <c r="S2514" s="251"/>
      <c r="BD2514" s="399">
        <v>2511</v>
      </c>
      <c r="BE2514" s="399" t="s">
        <v>6820</v>
      </c>
      <c r="BF2514" s="251" t="s">
        <v>6821</v>
      </c>
      <c r="BG2514" s="399" t="s">
        <v>423</v>
      </c>
      <c r="BH2514" s="252" t="s">
        <v>424</v>
      </c>
      <c r="BI2514" s="251" t="s">
        <v>1982</v>
      </c>
      <c r="BJ2514" s="251" t="s">
        <v>385</v>
      </c>
      <c r="BK2514" s="251" t="s">
        <v>6822</v>
      </c>
      <c r="BL2514" s="251" t="s">
        <v>426</v>
      </c>
    </row>
    <row r="2515" spans="2:64" ht="15">
      <c r="B2515" s="84"/>
      <c r="D2515" s="84"/>
      <c r="E2515" s="84"/>
      <c r="F2515" s="84"/>
      <c r="G2515" s="84"/>
      <c r="R2515" s="251"/>
      <c r="S2515" s="251"/>
      <c r="BD2515" s="399">
        <v>2512</v>
      </c>
      <c r="BE2515" s="399" t="s">
        <v>6823</v>
      </c>
      <c r="BF2515" s="251" t="s">
        <v>6824</v>
      </c>
      <c r="BG2515" s="399" t="s">
        <v>435</v>
      </c>
      <c r="BH2515" s="252" t="s">
        <v>681</v>
      </c>
      <c r="BI2515" s="251" t="s">
        <v>6825</v>
      </c>
      <c r="BJ2515" s="251" t="s">
        <v>413</v>
      </c>
      <c r="BK2515" s="251" t="s">
        <v>6826</v>
      </c>
      <c r="BL2515" s="251" t="s">
        <v>439</v>
      </c>
    </row>
    <row r="2516" spans="2:64" ht="15">
      <c r="B2516" s="84"/>
      <c r="D2516" s="84"/>
      <c r="E2516" s="84"/>
      <c r="F2516" s="84"/>
      <c r="G2516" s="84"/>
      <c r="R2516" s="251"/>
      <c r="S2516" s="251"/>
      <c r="BD2516" s="399">
        <v>2513</v>
      </c>
      <c r="BE2516" s="399" t="s">
        <v>6827</v>
      </c>
      <c r="BF2516" s="251" t="s">
        <v>6828</v>
      </c>
      <c r="BG2516" s="399" t="s">
        <v>435</v>
      </c>
      <c r="BH2516" s="252" t="s">
        <v>651</v>
      </c>
      <c r="BI2516" s="251" t="s">
        <v>332</v>
      </c>
      <c r="BJ2516" s="251" t="s">
        <v>350</v>
      </c>
      <c r="BK2516" s="251" t="s">
        <v>6829</v>
      </c>
      <c r="BL2516" s="251" t="s">
        <v>439</v>
      </c>
    </row>
    <row r="2517" spans="2:64" ht="15">
      <c r="B2517" s="84"/>
      <c r="D2517" s="84"/>
      <c r="E2517" s="84"/>
      <c r="F2517" s="84"/>
      <c r="G2517" s="84"/>
      <c r="R2517" s="251"/>
      <c r="S2517" s="251"/>
      <c r="BD2517" s="399">
        <v>2514</v>
      </c>
      <c r="BE2517" s="399" t="s">
        <v>6830</v>
      </c>
      <c r="BF2517" s="251" t="s">
        <v>6831</v>
      </c>
      <c r="BG2517" s="399" t="s">
        <v>395</v>
      </c>
      <c r="BH2517" s="252">
        <v>16</v>
      </c>
      <c r="BI2517" s="251" t="s">
        <v>445</v>
      </c>
      <c r="BJ2517" s="251" t="s">
        <v>397</v>
      </c>
      <c r="BK2517" s="251" t="s">
        <v>6832</v>
      </c>
      <c r="BL2517" s="251" t="s">
        <v>399</v>
      </c>
    </row>
    <row r="2518" spans="2:64" ht="15">
      <c r="B2518" s="84"/>
      <c r="D2518" s="84"/>
      <c r="E2518" s="84"/>
      <c r="F2518" s="84"/>
      <c r="G2518" s="84"/>
      <c r="R2518" s="251"/>
      <c r="S2518" s="251"/>
      <c r="BD2518" s="399">
        <v>2515</v>
      </c>
      <c r="BE2518" s="399" t="s">
        <v>3455</v>
      </c>
      <c r="BF2518" s="251" t="s">
        <v>6833</v>
      </c>
      <c r="BG2518" s="399" t="s">
        <v>455</v>
      </c>
      <c r="BH2518" s="252">
        <v>35</v>
      </c>
      <c r="BI2518" s="251" t="s">
        <v>583</v>
      </c>
      <c r="BJ2518" s="251" t="s">
        <v>413</v>
      </c>
      <c r="BK2518" s="251" t="s">
        <v>3456</v>
      </c>
      <c r="BL2518" s="251" t="s">
        <v>458</v>
      </c>
    </row>
    <row r="2519" spans="2:64" ht="15">
      <c r="B2519" s="84"/>
      <c r="D2519" s="84"/>
      <c r="E2519" s="84"/>
      <c r="F2519" s="84"/>
      <c r="G2519" s="84"/>
      <c r="R2519" s="251"/>
      <c r="S2519" s="251"/>
      <c r="BD2519" s="399">
        <v>2516</v>
      </c>
      <c r="BE2519" s="399" t="s">
        <v>6834</v>
      </c>
      <c r="BF2519" s="251" t="s">
        <v>6835</v>
      </c>
      <c r="BG2519" s="399" t="s">
        <v>435</v>
      </c>
      <c r="BH2519" s="252" t="s">
        <v>436</v>
      </c>
      <c r="BI2519" s="251" t="s">
        <v>334</v>
      </c>
      <c r="BJ2519" s="251" t="s">
        <v>397</v>
      </c>
      <c r="BK2519" s="251" t="s">
        <v>6836</v>
      </c>
      <c r="BL2519" s="251" t="s">
        <v>439</v>
      </c>
    </row>
    <row r="2520" spans="2:64" ht="15">
      <c r="B2520" s="84"/>
      <c r="D2520" s="84"/>
      <c r="E2520" s="84"/>
      <c r="F2520" s="84"/>
      <c r="G2520" s="84"/>
      <c r="R2520" s="251"/>
      <c r="S2520" s="251"/>
      <c r="BD2520" s="399">
        <v>2517</v>
      </c>
      <c r="BE2520" s="399" t="s">
        <v>1987</v>
      </c>
      <c r="BF2520" s="251" t="s">
        <v>6837</v>
      </c>
      <c r="BG2520" s="399" t="s">
        <v>475</v>
      </c>
      <c r="BH2520" s="252" t="s">
        <v>510</v>
      </c>
      <c r="BI2520" s="251" t="s">
        <v>334</v>
      </c>
      <c r="BJ2520" s="251" t="s">
        <v>351</v>
      </c>
      <c r="BK2520" s="251" t="s">
        <v>6838</v>
      </c>
      <c r="BL2520" s="251" t="s">
        <v>479</v>
      </c>
    </row>
    <row r="2521" spans="2:64" ht="15">
      <c r="B2521" s="84"/>
      <c r="D2521" s="84"/>
      <c r="E2521" s="84"/>
      <c r="F2521" s="84"/>
      <c r="G2521" s="84"/>
      <c r="R2521" s="251"/>
      <c r="S2521" s="251"/>
      <c r="BD2521" s="399">
        <v>2518</v>
      </c>
      <c r="BE2521" s="399" t="s">
        <v>3459</v>
      </c>
      <c r="BF2521" s="251" t="s">
        <v>6839</v>
      </c>
      <c r="BG2521" s="399" t="s">
        <v>455</v>
      </c>
      <c r="BH2521" s="252">
        <v>35</v>
      </c>
      <c r="BI2521" s="251" t="s">
        <v>535</v>
      </c>
      <c r="BJ2521" s="251" t="s">
        <v>413</v>
      </c>
      <c r="BK2521" s="251" t="s">
        <v>3460</v>
      </c>
      <c r="BL2521" s="251" t="s">
        <v>458</v>
      </c>
    </row>
    <row r="2522" spans="2:64" ht="15">
      <c r="B2522" s="84"/>
      <c r="D2522" s="84"/>
      <c r="E2522" s="84"/>
      <c r="F2522" s="84"/>
      <c r="G2522" s="84"/>
      <c r="R2522" s="251"/>
      <c r="S2522" s="251"/>
      <c r="BD2522" s="399">
        <v>2519</v>
      </c>
      <c r="BE2522" s="399" t="s">
        <v>6840</v>
      </c>
      <c r="BF2522" s="251" t="s">
        <v>6841</v>
      </c>
      <c r="BG2522" s="399" t="s">
        <v>405</v>
      </c>
      <c r="BH2522" s="252" t="s">
        <v>1241</v>
      </c>
      <c r="BI2522" s="251" t="s">
        <v>332</v>
      </c>
      <c r="BJ2522" s="251" t="s">
        <v>390</v>
      </c>
      <c r="BK2522" s="251" t="s">
        <v>6842</v>
      </c>
      <c r="BL2522" s="251" t="s">
        <v>409</v>
      </c>
    </row>
    <row r="2523" spans="2:64" ht="15">
      <c r="B2523" s="84"/>
      <c r="D2523" s="84"/>
      <c r="E2523" s="84"/>
      <c r="F2523" s="84"/>
      <c r="G2523" s="84"/>
      <c r="R2523" s="251"/>
      <c r="S2523" s="251"/>
      <c r="BD2523" s="399">
        <v>2520</v>
      </c>
      <c r="BE2523" s="399" t="s">
        <v>6843</v>
      </c>
      <c r="BF2523" s="251" t="s">
        <v>6844</v>
      </c>
      <c r="BG2523" s="399" t="s">
        <v>469</v>
      </c>
      <c r="BH2523" s="252" t="s">
        <v>470</v>
      </c>
      <c r="BI2523" s="251" t="s">
        <v>334</v>
      </c>
      <c r="BJ2523" s="251" t="s">
        <v>396</v>
      </c>
      <c r="BK2523" s="251" t="s">
        <v>6845</v>
      </c>
      <c r="BL2523" s="251" t="s">
        <v>472</v>
      </c>
    </row>
    <row r="2524" spans="2:64" ht="15">
      <c r="B2524" s="84"/>
      <c r="D2524" s="84"/>
      <c r="E2524" s="84"/>
      <c r="F2524" s="84"/>
      <c r="G2524" s="84"/>
      <c r="R2524" s="251"/>
      <c r="S2524" s="251"/>
      <c r="BD2524" s="399">
        <v>2521</v>
      </c>
      <c r="BE2524" s="399" t="s">
        <v>6846</v>
      </c>
      <c r="BF2524" s="251" t="s">
        <v>6847</v>
      </c>
      <c r="BG2524" s="399" t="s">
        <v>405</v>
      </c>
      <c r="BH2524" s="252" t="s">
        <v>406</v>
      </c>
      <c r="BI2524" s="251" t="s">
        <v>465</v>
      </c>
      <c r="BJ2524" s="251" t="s">
        <v>373</v>
      </c>
      <c r="BK2524" s="251" t="s">
        <v>6848</v>
      </c>
      <c r="BL2524" s="251" t="s">
        <v>409</v>
      </c>
    </row>
    <row r="2525" spans="2:64" ht="15">
      <c r="B2525" s="84"/>
      <c r="D2525" s="84"/>
      <c r="E2525" s="84"/>
      <c r="F2525" s="84"/>
      <c r="G2525" s="84"/>
      <c r="R2525" s="251"/>
      <c r="S2525" s="251"/>
      <c r="BD2525" s="399">
        <v>2522</v>
      </c>
      <c r="BE2525" s="399" t="s">
        <v>6849</v>
      </c>
      <c r="BF2525" s="251" t="s">
        <v>6850</v>
      </c>
      <c r="BG2525" s="399" t="s">
        <v>614</v>
      </c>
      <c r="BH2525" s="252">
        <v>38</v>
      </c>
      <c r="BI2525" s="251" t="s">
        <v>334</v>
      </c>
      <c r="BJ2525" s="251" t="s">
        <v>380</v>
      </c>
      <c r="BK2525" s="251" t="s">
        <v>6851</v>
      </c>
      <c r="BL2525" s="251" t="s">
        <v>617</v>
      </c>
    </row>
    <row r="2526" spans="2:64" ht="15">
      <c r="B2526" s="84"/>
      <c r="D2526" s="84"/>
      <c r="E2526" s="84"/>
      <c r="F2526" s="84"/>
      <c r="G2526" s="84"/>
      <c r="R2526" s="251"/>
      <c r="S2526" s="251"/>
      <c r="BD2526" s="399">
        <v>2523</v>
      </c>
      <c r="BE2526" s="399" t="s">
        <v>6852</v>
      </c>
      <c r="BF2526" s="251" t="s">
        <v>6853</v>
      </c>
      <c r="BG2526" s="399" t="s">
        <v>475</v>
      </c>
      <c r="BH2526" s="252" t="s">
        <v>1631</v>
      </c>
      <c r="BI2526" s="251" t="s">
        <v>445</v>
      </c>
      <c r="BJ2526" s="251" t="s">
        <v>351</v>
      </c>
      <c r="BK2526" s="251" t="s">
        <v>6854</v>
      </c>
      <c r="BL2526" s="251" t="s">
        <v>479</v>
      </c>
    </row>
    <row r="2527" spans="2:64" ht="15">
      <c r="B2527" s="84"/>
      <c r="D2527" s="84"/>
      <c r="E2527" s="84"/>
      <c r="F2527" s="84"/>
      <c r="G2527" s="84"/>
      <c r="R2527" s="251"/>
      <c r="S2527" s="251"/>
      <c r="BD2527" s="399">
        <v>2524</v>
      </c>
      <c r="BE2527" s="399" t="s">
        <v>6855</v>
      </c>
      <c r="BF2527" s="251" t="s">
        <v>6856</v>
      </c>
      <c r="BG2527" s="399" t="s">
        <v>435</v>
      </c>
      <c r="BH2527" s="252" t="s">
        <v>436</v>
      </c>
      <c r="BI2527" s="251" t="s">
        <v>332</v>
      </c>
      <c r="BJ2527" s="251" t="s">
        <v>397</v>
      </c>
      <c r="BK2527" s="251" t="s">
        <v>6857</v>
      </c>
      <c r="BL2527" s="251" t="s">
        <v>439</v>
      </c>
    </row>
    <row r="2528" spans="2:64" ht="15">
      <c r="B2528" s="84"/>
      <c r="D2528" s="84"/>
      <c r="E2528" s="84"/>
      <c r="F2528" s="84"/>
      <c r="G2528" s="84"/>
      <c r="R2528" s="251"/>
      <c r="S2528" s="251"/>
      <c r="BD2528" s="399">
        <v>2525</v>
      </c>
      <c r="BE2528" s="399" t="s">
        <v>6858</v>
      </c>
      <c r="BF2528" s="251" t="s">
        <v>6859</v>
      </c>
      <c r="BG2528" s="399" t="s">
        <v>435</v>
      </c>
      <c r="BH2528" s="252" t="s">
        <v>436</v>
      </c>
      <c r="BI2528" s="251" t="s">
        <v>379</v>
      </c>
      <c r="BJ2528" s="251" t="s">
        <v>385</v>
      </c>
      <c r="BK2528" s="251" t="s">
        <v>6860</v>
      </c>
      <c r="BL2528" s="251" t="s">
        <v>439</v>
      </c>
    </row>
    <row r="2529" spans="2:64" ht="15">
      <c r="B2529" s="84"/>
      <c r="D2529" s="84"/>
      <c r="E2529" s="84"/>
      <c r="F2529" s="84"/>
      <c r="G2529" s="84"/>
      <c r="R2529" s="251"/>
      <c r="S2529" s="251"/>
      <c r="BD2529" s="399">
        <v>2526</v>
      </c>
      <c r="BE2529" s="399" t="s">
        <v>6861</v>
      </c>
      <c r="BF2529" s="251" t="s">
        <v>6862</v>
      </c>
      <c r="BG2529" s="399" t="s">
        <v>389</v>
      </c>
      <c r="BH2529" s="252">
        <v>39</v>
      </c>
      <c r="BI2529" s="251" t="s">
        <v>563</v>
      </c>
      <c r="BJ2529" s="251" t="s">
        <v>380</v>
      </c>
      <c r="BK2529" s="251" t="s">
        <v>6863</v>
      </c>
      <c r="BL2529" s="251" t="s">
        <v>392</v>
      </c>
    </row>
    <row r="2530" spans="2:64" ht="15">
      <c r="B2530" s="84"/>
      <c r="D2530" s="84"/>
      <c r="E2530" s="84"/>
      <c r="F2530" s="84"/>
      <c r="G2530" s="84"/>
      <c r="R2530" s="251"/>
      <c r="S2530" s="251"/>
      <c r="BD2530" s="399">
        <v>2527</v>
      </c>
      <c r="BE2530" s="399" t="s">
        <v>6864</v>
      </c>
      <c r="BF2530" s="251" t="s">
        <v>6865</v>
      </c>
      <c r="BG2530" s="399">
        <v>51</v>
      </c>
      <c r="BH2530" s="252">
        <v>51</v>
      </c>
      <c r="BI2530" s="251" t="s">
        <v>331</v>
      </c>
      <c r="BJ2530" s="251" t="s">
        <v>385</v>
      </c>
      <c r="BK2530" s="251" t="s">
        <v>6866</v>
      </c>
      <c r="BL2530" s="251" t="s">
        <v>730</v>
      </c>
    </row>
    <row r="2531" spans="2:64" ht="15">
      <c r="B2531" s="84"/>
      <c r="D2531" s="84"/>
      <c r="E2531" s="84"/>
      <c r="F2531" s="84"/>
      <c r="G2531" s="84"/>
      <c r="R2531" s="251"/>
      <c r="S2531" s="251"/>
      <c r="BD2531" s="399">
        <v>2528</v>
      </c>
      <c r="BE2531" s="399" t="s">
        <v>6867</v>
      </c>
      <c r="BF2531" s="251" t="s">
        <v>6868</v>
      </c>
      <c r="BG2531" s="399" t="s">
        <v>363</v>
      </c>
      <c r="BH2531" s="252" t="s">
        <v>364</v>
      </c>
      <c r="BI2531" s="251" t="s">
        <v>333</v>
      </c>
      <c r="BJ2531" s="251" t="s">
        <v>385</v>
      </c>
      <c r="BK2531" s="251" t="s">
        <v>6869</v>
      </c>
      <c r="BL2531" s="251" t="s">
        <v>368</v>
      </c>
    </row>
    <row r="2532" spans="2:64" ht="15">
      <c r="B2532" s="84"/>
      <c r="D2532" s="84"/>
      <c r="E2532" s="84"/>
      <c r="F2532" s="84"/>
      <c r="G2532" s="84"/>
      <c r="R2532" s="251"/>
      <c r="S2532" s="251"/>
      <c r="BD2532" s="399">
        <v>2529</v>
      </c>
      <c r="BE2532" s="399" t="s">
        <v>6870</v>
      </c>
      <c r="BF2532" s="251" t="s">
        <v>6871</v>
      </c>
      <c r="BG2532" s="399" t="s">
        <v>405</v>
      </c>
      <c r="BH2532" s="252" t="s">
        <v>412</v>
      </c>
      <c r="BI2532" s="251" t="s">
        <v>477</v>
      </c>
      <c r="BJ2532" s="251" t="s">
        <v>351</v>
      </c>
      <c r="BK2532" s="251" t="s">
        <v>6872</v>
      </c>
      <c r="BL2532" s="251" t="s">
        <v>409</v>
      </c>
    </row>
    <row r="2533" spans="2:64" ht="15">
      <c r="B2533" s="84"/>
      <c r="D2533" s="84"/>
      <c r="E2533" s="84"/>
      <c r="F2533" s="84"/>
      <c r="G2533" s="84"/>
      <c r="R2533" s="251"/>
      <c r="S2533" s="251"/>
      <c r="BD2533" s="399">
        <v>2530</v>
      </c>
      <c r="BE2533" s="399" t="s">
        <v>6873</v>
      </c>
      <c r="BF2533" s="251" t="s">
        <v>6874</v>
      </c>
      <c r="BG2533" s="399">
        <v>54</v>
      </c>
      <c r="BH2533" s="252">
        <v>54</v>
      </c>
      <c r="BI2533" s="251" t="s">
        <v>445</v>
      </c>
      <c r="BJ2533" s="251" t="s">
        <v>380</v>
      </c>
      <c r="BK2533" s="251" t="s">
        <v>6875</v>
      </c>
      <c r="BL2533" s="251" t="s">
        <v>930</v>
      </c>
    </row>
    <row r="2534" spans="2:64" ht="15">
      <c r="B2534" s="84"/>
      <c r="D2534" s="84"/>
      <c r="E2534" s="84"/>
      <c r="F2534" s="84"/>
      <c r="G2534" s="84"/>
      <c r="R2534" s="251"/>
      <c r="S2534" s="251"/>
      <c r="BD2534" s="399">
        <v>2531</v>
      </c>
      <c r="BE2534" s="399" t="s">
        <v>2779</v>
      </c>
      <c r="BF2534" s="251" t="s">
        <v>6876</v>
      </c>
      <c r="BG2534" s="399" t="s">
        <v>475</v>
      </c>
      <c r="BH2534" s="252" t="s">
        <v>534</v>
      </c>
      <c r="BI2534" s="251" t="s">
        <v>728</v>
      </c>
      <c r="BJ2534" s="251" t="s">
        <v>380</v>
      </c>
      <c r="BK2534" s="251" t="s">
        <v>6877</v>
      </c>
      <c r="BL2534" s="251" t="s">
        <v>479</v>
      </c>
    </row>
    <row r="2535" spans="2:64" ht="15">
      <c r="B2535" s="84"/>
      <c r="D2535" s="84"/>
      <c r="E2535" s="84"/>
      <c r="F2535" s="84"/>
      <c r="G2535" s="84"/>
      <c r="R2535" s="251"/>
      <c r="S2535" s="251"/>
      <c r="BD2535" s="399">
        <v>2532</v>
      </c>
      <c r="BE2535" s="399" t="s">
        <v>6878</v>
      </c>
      <c r="BF2535" s="251" t="s">
        <v>6879</v>
      </c>
      <c r="BG2535" s="399" t="s">
        <v>469</v>
      </c>
      <c r="BH2535" s="252" t="s">
        <v>470</v>
      </c>
      <c r="BI2535" s="251" t="s">
        <v>740</v>
      </c>
      <c r="BJ2535" s="251" t="s">
        <v>351</v>
      </c>
      <c r="BK2535" s="251" t="s">
        <v>6880</v>
      </c>
      <c r="BL2535" s="251" t="s">
        <v>472</v>
      </c>
    </row>
    <row r="2536" spans="2:64" ht="15">
      <c r="B2536" s="84"/>
      <c r="D2536" s="84"/>
      <c r="E2536" s="84"/>
      <c r="F2536" s="84"/>
      <c r="G2536" s="84"/>
      <c r="R2536" s="251"/>
      <c r="S2536" s="251"/>
      <c r="BD2536" s="399">
        <v>2533</v>
      </c>
      <c r="BE2536" s="399" t="s">
        <v>6881</v>
      </c>
      <c r="BF2536" s="251" t="s">
        <v>6882</v>
      </c>
      <c r="BG2536" s="399" t="s">
        <v>423</v>
      </c>
      <c r="BH2536" s="252" t="s">
        <v>424</v>
      </c>
      <c r="BI2536" s="251" t="s">
        <v>1982</v>
      </c>
      <c r="BJ2536" s="251" t="s">
        <v>351</v>
      </c>
      <c r="BK2536" s="251" t="s">
        <v>6883</v>
      </c>
      <c r="BL2536" s="251" t="s">
        <v>426</v>
      </c>
    </row>
    <row r="2537" spans="2:64" ht="15">
      <c r="B2537" s="84"/>
      <c r="D2537" s="84"/>
      <c r="E2537" s="84"/>
      <c r="F2537" s="84"/>
      <c r="G2537" s="84"/>
      <c r="R2537" s="251"/>
      <c r="S2537" s="251"/>
      <c r="BD2537" s="399">
        <v>2534</v>
      </c>
      <c r="BE2537" s="399" t="s">
        <v>5251</v>
      </c>
      <c r="BF2537" s="251" t="s">
        <v>6884</v>
      </c>
      <c r="BG2537" s="399" t="s">
        <v>363</v>
      </c>
      <c r="BH2537" s="252" t="s">
        <v>364</v>
      </c>
      <c r="BI2537" s="251" t="s">
        <v>450</v>
      </c>
      <c r="BJ2537" s="251" t="s">
        <v>397</v>
      </c>
      <c r="BK2537" s="251" t="s">
        <v>6885</v>
      </c>
      <c r="BL2537" s="251" t="s">
        <v>368</v>
      </c>
    </row>
    <row r="2538" spans="2:64" ht="15">
      <c r="B2538" s="84"/>
      <c r="D2538" s="84"/>
      <c r="E2538" s="84"/>
      <c r="F2538" s="84"/>
      <c r="G2538" s="84"/>
      <c r="R2538" s="251"/>
      <c r="S2538" s="251"/>
      <c r="BD2538" s="399">
        <v>2535</v>
      </c>
      <c r="BE2538" s="399" t="s">
        <v>6886</v>
      </c>
      <c r="BF2538" s="251" t="s">
        <v>6887</v>
      </c>
      <c r="BG2538" s="399" t="s">
        <v>395</v>
      </c>
      <c r="BH2538" s="252">
        <v>16</v>
      </c>
      <c r="BI2538" s="251" t="s">
        <v>365</v>
      </c>
      <c r="BJ2538" s="251" t="s">
        <v>539</v>
      </c>
      <c r="BK2538" s="251" t="s">
        <v>6888</v>
      </c>
      <c r="BL2538" s="251" t="s">
        <v>399</v>
      </c>
    </row>
    <row r="2539" spans="2:64" ht="15">
      <c r="B2539" s="84"/>
      <c r="D2539" s="84"/>
      <c r="E2539" s="84"/>
      <c r="F2539" s="84"/>
      <c r="G2539" s="84"/>
      <c r="R2539" s="251"/>
      <c r="S2539" s="251"/>
      <c r="BD2539" s="399">
        <v>2536</v>
      </c>
      <c r="BE2539" s="399" t="s">
        <v>6889</v>
      </c>
      <c r="BF2539" s="251" t="s">
        <v>6890</v>
      </c>
      <c r="BG2539" s="399" t="s">
        <v>378</v>
      </c>
      <c r="BH2539" s="252">
        <v>11</v>
      </c>
      <c r="BI2539" s="251" t="s">
        <v>332</v>
      </c>
      <c r="BJ2539" s="251" t="s">
        <v>351</v>
      </c>
      <c r="BK2539" s="251" t="s">
        <v>6891</v>
      </c>
      <c r="BL2539" s="251" t="s">
        <v>382</v>
      </c>
    </row>
    <row r="2540" spans="2:64" ht="15">
      <c r="B2540" s="84"/>
      <c r="D2540" s="84"/>
      <c r="E2540" s="84"/>
      <c r="F2540" s="84"/>
      <c r="G2540" s="84"/>
      <c r="R2540" s="251"/>
      <c r="S2540" s="251"/>
      <c r="BD2540" s="399">
        <v>2537</v>
      </c>
      <c r="BE2540" s="399" t="s">
        <v>6892</v>
      </c>
      <c r="BF2540" s="251" t="s">
        <v>6893</v>
      </c>
      <c r="BG2540" s="399" t="s">
        <v>489</v>
      </c>
      <c r="BH2540" s="252" t="s">
        <v>490</v>
      </c>
      <c r="BI2540" s="251" t="s">
        <v>334</v>
      </c>
      <c r="BJ2540" s="251" t="s">
        <v>351</v>
      </c>
      <c r="BK2540" s="251" t="s">
        <v>6894</v>
      </c>
      <c r="BL2540" s="251" t="s">
        <v>493</v>
      </c>
    </row>
    <row r="2541" spans="2:64" ht="15">
      <c r="B2541" s="84"/>
      <c r="D2541" s="84"/>
      <c r="E2541" s="84"/>
      <c r="F2541" s="84"/>
      <c r="G2541" s="84"/>
      <c r="R2541" s="251"/>
      <c r="S2541" s="251"/>
      <c r="BD2541" s="399">
        <v>2538</v>
      </c>
      <c r="BE2541" s="399" t="s">
        <v>6895</v>
      </c>
      <c r="BF2541" s="251" t="s">
        <v>6896</v>
      </c>
      <c r="BG2541" s="399" t="s">
        <v>378</v>
      </c>
      <c r="BH2541" s="252">
        <v>11</v>
      </c>
      <c r="BI2541" s="251" t="s">
        <v>333</v>
      </c>
      <c r="BJ2541" s="251" t="s">
        <v>407</v>
      </c>
      <c r="BK2541" s="251" t="s">
        <v>6897</v>
      </c>
      <c r="BL2541" s="251" t="s">
        <v>382</v>
      </c>
    </row>
    <row r="2542" spans="2:64" ht="15">
      <c r="B2542" s="84"/>
      <c r="D2542" s="84"/>
      <c r="E2542" s="84"/>
      <c r="F2542" s="84"/>
      <c r="G2542" s="84"/>
      <c r="R2542" s="251"/>
      <c r="S2542" s="251"/>
      <c r="BD2542" s="399">
        <v>2539</v>
      </c>
      <c r="BE2542" s="399" t="s">
        <v>2618</v>
      </c>
      <c r="BF2542" s="251" t="s">
        <v>6898</v>
      </c>
      <c r="BG2542" s="399" t="s">
        <v>429</v>
      </c>
      <c r="BH2542" s="252" t="s">
        <v>430</v>
      </c>
      <c r="BI2542" s="251" t="s">
        <v>332</v>
      </c>
      <c r="BJ2542" s="251" t="s">
        <v>407</v>
      </c>
      <c r="BK2542" s="251" t="s">
        <v>2619</v>
      </c>
      <c r="BL2542" s="251" t="s">
        <v>432</v>
      </c>
    </row>
    <row r="2543" spans="2:64" ht="15">
      <c r="B2543" s="84"/>
      <c r="D2543" s="84"/>
      <c r="E2543" s="84"/>
      <c r="F2543" s="84"/>
      <c r="G2543" s="84"/>
      <c r="R2543" s="251"/>
      <c r="S2543" s="251"/>
      <c r="BD2543" s="399">
        <v>2540</v>
      </c>
      <c r="BE2543" s="399" t="s">
        <v>6899</v>
      </c>
      <c r="BF2543" s="251" t="s">
        <v>6900</v>
      </c>
      <c r="BG2543" s="399" t="s">
        <v>475</v>
      </c>
      <c r="BH2543" s="252" t="s">
        <v>510</v>
      </c>
      <c r="BI2543" s="251" t="s">
        <v>728</v>
      </c>
      <c r="BJ2543" s="251" t="s">
        <v>390</v>
      </c>
      <c r="BK2543" s="251" t="s">
        <v>6901</v>
      </c>
      <c r="BL2543" s="251" t="s">
        <v>479</v>
      </c>
    </row>
    <row r="2544" spans="2:64" ht="15">
      <c r="B2544" s="84"/>
      <c r="D2544" s="84"/>
      <c r="E2544" s="84"/>
      <c r="F2544" s="84"/>
      <c r="G2544" s="84"/>
      <c r="R2544" s="251"/>
      <c r="S2544" s="251"/>
      <c r="BD2544" s="399">
        <v>2541</v>
      </c>
      <c r="BE2544" s="399" t="s">
        <v>6902</v>
      </c>
      <c r="BF2544" s="251" t="s">
        <v>6903</v>
      </c>
      <c r="BG2544" s="399" t="s">
        <v>378</v>
      </c>
      <c r="BH2544" s="252">
        <v>11</v>
      </c>
      <c r="BI2544" s="251" t="s">
        <v>563</v>
      </c>
      <c r="BJ2544" s="251" t="s">
        <v>1855</v>
      </c>
      <c r="BK2544" s="251" t="s">
        <v>6904</v>
      </c>
      <c r="BL2544" s="251" t="s">
        <v>382</v>
      </c>
    </row>
    <row r="2545" spans="2:64" ht="15">
      <c r="B2545" s="84"/>
      <c r="D2545" s="84"/>
      <c r="E2545" s="84"/>
      <c r="F2545" s="84"/>
      <c r="G2545" s="84"/>
      <c r="R2545" s="251"/>
      <c r="S2545" s="251"/>
      <c r="BD2545" s="399">
        <v>2542</v>
      </c>
      <c r="BE2545" s="399" t="s">
        <v>6905</v>
      </c>
      <c r="BF2545" s="251" t="s">
        <v>6906</v>
      </c>
      <c r="BG2545" s="399" t="s">
        <v>519</v>
      </c>
      <c r="BH2545" s="252">
        <v>30</v>
      </c>
      <c r="BI2545" s="251" t="s">
        <v>350</v>
      </c>
      <c r="BJ2545" s="251" t="s">
        <v>366</v>
      </c>
      <c r="BK2545" s="251" t="s">
        <v>6907</v>
      </c>
      <c r="BL2545" s="251" t="s">
        <v>521</v>
      </c>
    </row>
    <row r="2546" spans="2:64" ht="15">
      <c r="B2546" s="84"/>
      <c r="D2546" s="84"/>
      <c r="E2546" s="84"/>
      <c r="F2546" s="84"/>
      <c r="G2546" s="84"/>
      <c r="R2546" s="251"/>
      <c r="S2546" s="251"/>
      <c r="BD2546" s="399">
        <v>2543</v>
      </c>
      <c r="BE2546" s="399" t="s">
        <v>6908</v>
      </c>
      <c r="BF2546" s="251" t="s">
        <v>6909</v>
      </c>
      <c r="BG2546" s="399" t="s">
        <v>429</v>
      </c>
      <c r="BH2546" s="252" t="s">
        <v>430</v>
      </c>
      <c r="BI2546" s="251" t="s">
        <v>1638</v>
      </c>
      <c r="BJ2546" s="251" t="s">
        <v>413</v>
      </c>
      <c r="BK2546" s="251" t="s">
        <v>6910</v>
      </c>
      <c r="BL2546" s="251" t="s">
        <v>432</v>
      </c>
    </row>
    <row r="2547" spans="2:64" ht="15">
      <c r="B2547" s="84"/>
      <c r="D2547" s="84"/>
      <c r="E2547" s="84"/>
      <c r="F2547" s="84"/>
      <c r="G2547" s="84"/>
      <c r="R2547" s="251"/>
      <c r="S2547" s="251"/>
      <c r="BD2547" s="399">
        <v>2544</v>
      </c>
      <c r="BE2547" s="399" t="s">
        <v>6911</v>
      </c>
      <c r="BF2547" s="251" t="s">
        <v>6912</v>
      </c>
      <c r="BG2547" s="399" t="s">
        <v>475</v>
      </c>
      <c r="BH2547" s="252" t="s">
        <v>510</v>
      </c>
      <c r="BI2547" s="251" t="s">
        <v>331</v>
      </c>
      <c r="BJ2547" s="251" t="s">
        <v>390</v>
      </c>
      <c r="BK2547" s="251" t="s">
        <v>6913</v>
      </c>
      <c r="BL2547" s="251" t="s">
        <v>479</v>
      </c>
    </row>
    <row r="2548" spans="2:64" ht="15">
      <c r="B2548" s="84"/>
      <c r="D2548" s="84"/>
      <c r="E2548" s="84"/>
      <c r="F2548" s="84"/>
      <c r="G2548" s="84"/>
      <c r="R2548" s="251"/>
      <c r="S2548" s="251"/>
      <c r="BD2548" s="399">
        <v>2545</v>
      </c>
      <c r="BE2548" s="399" t="s">
        <v>6914</v>
      </c>
      <c r="BF2548" s="251" t="s">
        <v>6915</v>
      </c>
      <c r="BG2548" s="399" t="s">
        <v>435</v>
      </c>
      <c r="BH2548" s="252" t="s">
        <v>651</v>
      </c>
      <c r="BI2548" s="251" t="s">
        <v>332</v>
      </c>
      <c r="BJ2548" s="251" t="s">
        <v>366</v>
      </c>
      <c r="BK2548" s="251" t="s">
        <v>6916</v>
      </c>
      <c r="BL2548" s="251" t="s">
        <v>439</v>
      </c>
    </row>
    <row r="2549" spans="2:64" ht="15">
      <c r="B2549" s="84"/>
      <c r="D2549" s="84"/>
      <c r="E2549" s="84"/>
      <c r="F2549" s="84"/>
      <c r="G2549" s="84"/>
      <c r="R2549" s="251"/>
      <c r="S2549" s="251"/>
      <c r="BD2549" s="399">
        <v>2546</v>
      </c>
      <c r="BE2549" s="399" t="s">
        <v>6917</v>
      </c>
      <c r="BF2549" s="251" t="s">
        <v>6918</v>
      </c>
      <c r="BG2549" s="399" t="s">
        <v>423</v>
      </c>
      <c r="BH2549" s="252" t="s">
        <v>424</v>
      </c>
      <c r="BI2549" s="251" t="s">
        <v>477</v>
      </c>
      <c r="BJ2549" s="251" t="s">
        <v>366</v>
      </c>
      <c r="BK2549" s="251" t="s">
        <v>6919</v>
      </c>
      <c r="BL2549" s="251" t="s">
        <v>426</v>
      </c>
    </row>
    <row r="2550" spans="2:64" ht="15">
      <c r="B2550" s="84"/>
      <c r="D2550" s="84"/>
      <c r="E2550" s="84"/>
      <c r="F2550" s="84"/>
      <c r="G2550" s="84"/>
      <c r="R2550" s="251"/>
      <c r="S2550" s="251"/>
      <c r="BD2550" s="399">
        <v>2547</v>
      </c>
      <c r="BE2550" s="399" t="s">
        <v>6920</v>
      </c>
      <c r="BF2550" s="251" t="s">
        <v>6921</v>
      </c>
      <c r="BG2550" s="399" t="s">
        <v>405</v>
      </c>
      <c r="BH2550" s="252" t="s">
        <v>830</v>
      </c>
      <c r="BI2550" s="251" t="s">
        <v>350</v>
      </c>
      <c r="BJ2550" s="251" t="s">
        <v>366</v>
      </c>
      <c r="BK2550" s="251" t="s">
        <v>6922</v>
      </c>
      <c r="BL2550" s="251" t="s">
        <v>409</v>
      </c>
    </row>
    <row r="2551" spans="2:64" ht="15">
      <c r="B2551" s="84"/>
      <c r="D2551" s="84"/>
      <c r="E2551" s="84"/>
      <c r="F2551" s="84"/>
      <c r="G2551" s="84"/>
      <c r="R2551" s="251"/>
      <c r="S2551" s="251"/>
      <c r="BD2551" s="399">
        <v>2548</v>
      </c>
      <c r="BE2551" s="399" t="s">
        <v>6923</v>
      </c>
      <c r="BF2551" s="251" t="s">
        <v>6924</v>
      </c>
      <c r="BG2551" s="399" t="s">
        <v>371</v>
      </c>
      <c r="BH2551" s="252">
        <v>28</v>
      </c>
      <c r="BI2551" s="251" t="s">
        <v>372</v>
      </c>
      <c r="BJ2551" s="251" t="s">
        <v>351</v>
      </c>
      <c r="BK2551" s="251" t="s">
        <v>6925</v>
      </c>
      <c r="BL2551" s="251" t="s">
        <v>375</v>
      </c>
    </row>
    <row r="2552" spans="2:64" ht="15">
      <c r="B2552" s="84"/>
      <c r="D2552" s="84"/>
      <c r="E2552" s="84"/>
      <c r="F2552" s="84"/>
      <c r="G2552" s="84"/>
      <c r="R2552" s="251"/>
      <c r="S2552" s="251"/>
      <c r="BD2552" s="399">
        <v>2549</v>
      </c>
      <c r="BE2552" s="399" t="s">
        <v>4674</v>
      </c>
      <c r="BF2552" s="251" t="s">
        <v>6926</v>
      </c>
      <c r="BG2552" s="399" t="s">
        <v>363</v>
      </c>
      <c r="BH2552" s="252" t="s">
        <v>364</v>
      </c>
      <c r="BI2552" s="251" t="s">
        <v>350</v>
      </c>
      <c r="BJ2552" s="251" t="s">
        <v>385</v>
      </c>
      <c r="BK2552" s="251" t="s">
        <v>6927</v>
      </c>
      <c r="BL2552" s="251" t="s">
        <v>368</v>
      </c>
    </row>
    <row r="2553" spans="2:64" ht="15">
      <c r="B2553" s="84"/>
      <c r="D2553" s="84"/>
      <c r="E2553" s="84"/>
      <c r="F2553" s="84"/>
      <c r="G2553" s="84"/>
      <c r="R2553" s="251"/>
      <c r="S2553" s="251"/>
      <c r="BD2553" s="399">
        <v>2550</v>
      </c>
      <c r="BE2553" s="399" t="s">
        <v>6928</v>
      </c>
      <c r="BF2553" s="251" t="s">
        <v>6929</v>
      </c>
      <c r="BG2553" s="399" t="s">
        <v>475</v>
      </c>
      <c r="BH2553" s="252" t="s">
        <v>476</v>
      </c>
      <c r="BI2553" s="251" t="s">
        <v>563</v>
      </c>
      <c r="BJ2553" s="251" t="s">
        <v>539</v>
      </c>
      <c r="BK2553" s="251" t="s">
        <v>6930</v>
      </c>
      <c r="BL2553" s="251" t="s">
        <v>479</v>
      </c>
    </row>
    <row r="2554" spans="2:64" ht="15">
      <c r="B2554" s="84"/>
      <c r="D2554" s="84"/>
      <c r="E2554" s="84"/>
      <c r="F2554" s="84"/>
      <c r="G2554" s="84"/>
      <c r="R2554" s="251"/>
      <c r="S2554" s="251"/>
      <c r="BD2554" s="399">
        <v>2551</v>
      </c>
      <c r="BE2554" s="399" t="s">
        <v>6931</v>
      </c>
      <c r="BF2554" s="251" t="s">
        <v>6932</v>
      </c>
      <c r="BG2554" s="399" t="s">
        <v>435</v>
      </c>
      <c r="BH2554" s="252" t="s">
        <v>436</v>
      </c>
      <c r="BI2554" s="251" t="s">
        <v>365</v>
      </c>
      <c r="BJ2554" s="251" t="s">
        <v>397</v>
      </c>
      <c r="BK2554" s="251" t="s">
        <v>6933</v>
      </c>
      <c r="BL2554" s="251" t="s">
        <v>439</v>
      </c>
    </row>
    <row r="2555" spans="2:64" ht="15">
      <c r="B2555" s="84"/>
      <c r="D2555" s="84"/>
      <c r="E2555" s="84"/>
      <c r="F2555" s="84"/>
      <c r="G2555" s="84"/>
      <c r="R2555" s="251"/>
      <c r="S2555" s="251"/>
      <c r="BD2555" s="399">
        <v>2552</v>
      </c>
      <c r="BE2555" s="399" t="s">
        <v>6934</v>
      </c>
      <c r="BF2555" s="251" t="s">
        <v>6935</v>
      </c>
      <c r="BG2555" s="399" t="s">
        <v>378</v>
      </c>
      <c r="BH2555" s="252">
        <v>11</v>
      </c>
      <c r="BI2555" s="251" t="s">
        <v>583</v>
      </c>
      <c r="BJ2555" s="251" t="s">
        <v>413</v>
      </c>
      <c r="BK2555" s="251" t="s">
        <v>6936</v>
      </c>
      <c r="BL2555" s="251" t="s">
        <v>382</v>
      </c>
    </row>
    <row r="2556" spans="2:64" ht="15">
      <c r="B2556" s="84"/>
      <c r="D2556" s="84"/>
      <c r="E2556" s="84"/>
      <c r="F2556" s="84"/>
      <c r="G2556" s="84"/>
      <c r="R2556" s="251"/>
      <c r="S2556" s="251"/>
      <c r="BD2556" s="399">
        <v>2553</v>
      </c>
      <c r="BE2556" s="399" t="s">
        <v>6937</v>
      </c>
      <c r="BF2556" s="251" t="s">
        <v>6938</v>
      </c>
      <c r="BG2556" s="399" t="s">
        <v>623</v>
      </c>
      <c r="BH2556" s="252" t="s">
        <v>624</v>
      </c>
      <c r="BI2556" s="251" t="s">
        <v>350</v>
      </c>
      <c r="BJ2556" s="251" t="s">
        <v>366</v>
      </c>
      <c r="BK2556" s="251" t="s">
        <v>6939</v>
      </c>
      <c r="BL2556" s="251" t="s">
        <v>626</v>
      </c>
    </row>
    <row r="2557" spans="2:64" ht="15">
      <c r="B2557" s="84"/>
      <c r="D2557" s="84"/>
      <c r="E2557" s="84"/>
      <c r="F2557" s="84"/>
      <c r="G2557" s="84"/>
      <c r="R2557" s="251"/>
      <c r="S2557" s="251"/>
      <c r="BD2557" s="399">
        <v>2554</v>
      </c>
      <c r="BE2557" s="399" t="s">
        <v>6940</v>
      </c>
      <c r="BF2557" s="251" t="s">
        <v>6941</v>
      </c>
      <c r="BG2557" s="399" t="s">
        <v>566</v>
      </c>
      <c r="BH2557" s="252" t="s">
        <v>567</v>
      </c>
      <c r="BI2557" s="251" t="s">
        <v>477</v>
      </c>
      <c r="BJ2557" s="251" t="s">
        <v>407</v>
      </c>
      <c r="BK2557" s="251" t="s">
        <v>6942</v>
      </c>
      <c r="BL2557" s="251" t="s">
        <v>569</v>
      </c>
    </row>
    <row r="2558" spans="2:64" ht="15">
      <c r="B2558" s="84"/>
      <c r="D2558" s="84"/>
      <c r="E2558" s="84"/>
      <c r="F2558" s="84"/>
      <c r="G2558" s="84"/>
      <c r="R2558" s="251"/>
      <c r="S2558" s="251"/>
      <c r="BD2558" s="399">
        <v>2555</v>
      </c>
      <c r="BE2558" s="399" t="s">
        <v>6943</v>
      </c>
      <c r="BF2558" s="251" t="s">
        <v>6944</v>
      </c>
      <c r="BG2558" s="399" t="s">
        <v>423</v>
      </c>
      <c r="BH2558" s="252" t="s">
        <v>424</v>
      </c>
      <c r="BI2558" s="251" t="s">
        <v>450</v>
      </c>
      <c r="BJ2558" s="251" t="s">
        <v>380</v>
      </c>
      <c r="BK2558" s="251" t="s">
        <v>6945</v>
      </c>
      <c r="BL2558" s="251" t="s">
        <v>426</v>
      </c>
    </row>
    <row r="2559" spans="2:64" ht="15">
      <c r="B2559" s="84"/>
      <c r="D2559" s="84"/>
      <c r="E2559" s="84"/>
      <c r="F2559" s="84"/>
      <c r="G2559" s="84"/>
      <c r="R2559" s="251"/>
      <c r="S2559" s="251"/>
      <c r="BD2559" s="399">
        <v>2556</v>
      </c>
      <c r="BE2559" s="399" t="s">
        <v>6946</v>
      </c>
      <c r="BF2559" s="251" t="s">
        <v>6947</v>
      </c>
      <c r="BG2559" s="399">
        <v>54</v>
      </c>
      <c r="BH2559" s="252">
        <v>54</v>
      </c>
      <c r="BI2559" s="251" t="s">
        <v>357</v>
      </c>
      <c r="BJ2559" s="251" t="s">
        <v>413</v>
      </c>
      <c r="BK2559" s="251" t="s">
        <v>6948</v>
      </c>
      <c r="BL2559" s="251" t="s">
        <v>930</v>
      </c>
    </row>
    <row r="2560" spans="2:64" ht="15">
      <c r="B2560" s="84"/>
      <c r="D2560" s="84"/>
      <c r="E2560" s="84"/>
      <c r="F2560" s="84"/>
      <c r="G2560" s="84"/>
      <c r="R2560" s="251"/>
      <c r="S2560" s="251"/>
      <c r="BD2560" s="399">
        <v>2557</v>
      </c>
      <c r="BE2560" s="399" t="s">
        <v>6949</v>
      </c>
      <c r="BF2560" s="251" t="s">
        <v>6950</v>
      </c>
      <c r="BG2560" s="399" t="s">
        <v>614</v>
      </c>
      <c r="BH2560" s="252">
        <v>38</v>
      </c>
      <c r="BI2560" s="251" t="s">
        <v>357</v>
      </c>
      <c r="BJ2560" s="251" t="s">
        <v>385</v>
      </c>
      <c r="BK2560" s="251" t="s">
        <v>6951</v>
      </c>
      <c r="BL2560" s="251" t="s">
        <v>617</v>
      </c>
    </row>
    <row r="2561" spans="2:64" ht="15">
      <c r="B2561" s="84"/>
      <c r="D2561" s="84"/>
      <c r="E2561" s="84"/>
      <c r="F2561" s="84"/>
      <c r="G2561" s="84"/>
      <c r="R2561" s="251"/>
      <c r="S2561" s="251"/>
      <c r="BD2561" s="399">
        <v>2558</v>
      </c>
      <c r="BE2561" s="399" t="s">
        <v>934</v>
      </c>
      <c r="BF2561" s="251" t="s">
        <v>6952</v>
      </c>
      <c r="BG2561" s="399" t="s">
        <v>363</v>
      </c>
      <c r="BH2561" s="252" t="s">
        <v>575</v>
      </c>
      <c r="BI2561" s="251" t="s">
        <v>740</v>
      </c>
      <c r="BJ2561" s="251" t="s">
        <v>413</v>
      </c>
      <c r="BK2561" s="251" t="s">
        <v>6953</v>
      </c>
      <c r="BL2561" s="251" t="s">
        <v>368</v>
      </c>
    </row>
    <row r="2562" spans="2:64" ht="15">
      <c r="B2562" s="84"/>
      <c r="D2562" s="84"/>
      <c r="E2562" s="84"/>
      <c r="F2562" s="84"/>
      <c r="G2562" s="84"/>
      <c r="R2562" s="251"/>
      <c r="S2562" s="251"/>
      <c r="BD2562" s="399">
        <v>2559</v>
      </c>
      <c r="BE2562" s="399" t="s">
        <v>6954</v>
      </c>
      <c r="BF2562" s="251" t="s">
        <v>6955</v>
      </c>
      <c r="BG2562" s="399" t="s">
        <v>455</v>
      </c>
      <c r="BH2562" s="252">
        <v>35</v>
      </c>
      <c r="BI2562" s="251" t="s">
        <v>333</v>
      </c>
      <c r="BJ2562" s="251" t="s">
        <v>373</v>
      </c>
      <c r="BK2562" s="251" t="s">
        <v>6956</v>
      </c>
      <c r="BL2562" s="251" t="s">
        <v>458</v>
      </c>
    </row>
    <row r="2563" spans="2:64" ht="15">
      <c r="B2563" s="84"/>
      <c r="D2563" s="84"/>
      <c r="E2563" s="84"/>
      <c r="F2563" s="84"/>
      <c r="G2563" s="84"/>
      <c r="R2563" s="251"/>
      <c r="S2563" s="251"/>
      <c r="BD2563" s="399">
        <v>2560</v>
      </c>
      <c r="BE2563" s="399" t="s">
        <v>6957</v>
      </c>
      <c r="BF2563" s="251" t="s">
        <v>6958</v>
      </c>
      <c r="BG2563" s="399" t="s">
        <v>602</v>
      </c>
      <c r="BH2563" s="252">
        <v>47</v>
      </c>
      <c r="BI2563" s="251" t="s">
        <v>350</v>
      </c>
      <c r="BJ2563" s="251" t="s">
        <v>397</v>
      </c>
      <c r="BK2563" s="251" t="s">
        <v>6959</v>
      </c>
      <c r="BL2563" s="251" t="s">
        <v>604</v>
      </c>
    </row>
    <row r="2564" spans="2:64" ht="15">
      <c r="B2564" s="84"/>
      <c r="D2564" s="84"/>
      <c r="E2564" s="84"/>
      <c r="F2564" s="84"/>
      <c r="G2564" s="84"/>
      <c r="R2564" s="251"/>
      <c r="S2564" s="251"/>
      <c r="BD2564" s="399">
        <v>2561</v>
      </c>
      <c r="BE2564" s="399" t="s">
        <v>6960</v>
      </c>
      <c r="BF2564" s="251" t="s">
        <v>6961</v>
      </c>
      <c r="BG2564" s="399" t="s">
        <v>739</v>
      </c>
      <c r="BH2564" s="252">
        <v>45</v>
      </c>
      <c r="BI2564" s="251" t="s">
        <v>728</v>
      </c>
      <c r="BJ2564" s="251" t="s">
        <v>366</v>
      </c>
      <c r="BK2564" s="251" t="s">
        <v>6962</v>
      </c>
      <c r="BL2564" s="251" t="s">
        <v>742</v>
      </c>
    </row>
    <row r="2565" spans="2:64" ht="15">
      <c r="B2565" s="84"/>
      <c r="D2565" s="84"/>
      <c r="E2565" s="84"/>
      <c r="F2565" s="84"/>
      <c r="G2565" s="84"/>
      <c r="R2565" s="251"/>
      <c r="S2565" s="251"/>
      <c r="BD2565" s="399">
        <v>2562</v>
      </c>
      <c r="BE2565" s="399" t="s">
        <v>6963</v>
      </c>
      <c r="BF2565" s="251" t="s">
        <v>6964</v>
      </c>
      <c r="BG2565" s="399" t="s">
        <v>566</v>
      </c>
      <c r="BH2565" s="252" t="s">
        <v>567</v>
      </c>
      <c r="BI2565" s="251" t="s">
        <v>491</v>
      </c>
      <c r="BJ2565" s="251" t="s">
        <v>366</v>
      </c>
      <c r="BK2565" s="251" t="s">
        <v>6965</v>
      </c>
      <c r="BL2565" s="251" t="s">
        <v>569</v>
      </c>
    </row>
    <row r="2566" spans="2:64" ht="15">
      <c r="B2566" s="84"/>
      <c r="D2566" s="84"/>
      <c r="E2566" s="84"/>
      <c r="F2566" s="84"/>
      <c r="G2566" s="84"/>
      <c r="R2566" s="251"/>
      <c r="S2566" s="251"/>
      <c r="BD2566" s="399">
        <v>2563</v>
      </c>
      <c r="BE2566" s="399" t="s">
        <v>6966</v>
      </c>
      <c r="BF2566" s="251" t="s">
        <v>6967</v>
      </c>
      <c r="BG2566" s="399" t="s">
        <v>395</v>
      </c>
      <c r="BH2566" s="252">
        <v>16</v>
      </c>
      <c r="BI2566" s="251" t="s">
        <v>333</v>
      </c>
      <c r="BJ2566" s="251" t="s">
        <v>390</v>
      </c>
      <c r="BK2566" s="251" t="s">
        <v>6968</v>
      </c>
      <c r="BL2566" s="251" t="s">
        <v>399</v>
      </c>
    </row>
    <row r="2567" spans="2:64" ht="15">
      <c r="B2567" s="84"/>
      <c r="D2567" s="84"/>
      <c r="E2567" s="84"/>
      <c r="F2567" s="84"/>
      <c r="G2567" s="84"/>
      <c r="R2567" s="251"/>
      <c r="S2567" s="251"/>
      <c r="BD2567" s="399">
        <v>2564</v>
      </c>
      <c r="BE2567" s="399" t="s">
        <v>5067</v>
      </c>
      <c r="BF2567" s="251" t="s">
        <v>6969</v>
      </c>
      <c r="BG2567" s="399" t="s">
        <v>363</v>
      </c>
      <c r="BH2567" s="252" t="s">
        <v>575</v>
      </c>
      <c r="BI2567" s="251" t="s">
        <v>334</v>
      </c>
      <c r="BJ2567" s="251" t="s">
        <v>380</v>
      </c>
      <c r="BK2567" s="251" t="s">
        <v>6970</v>
      </c>
      <c r="BL2567" s="251" t="s">
        <v>368</v>
      </c>
    </row>
    <row r="2568" spans="2:64" ht="15">
      <c r="B2568" s="84"/>
      <c r="D2568" s="84"/>
      <c r="E2568" s="84"/>
      <c r="F2568" s="84"/>
      <c r="G2568" s="84"/>
      <c r="R2568" s="251"/>
      <c r="S2568" s="251"/>
      <c r="BD2568" s="399">
        <v>2565</v>
      </c>
      <c r="BE2568" s="399" t="s">
        <v>6971</v>
      </c>
      <c r="BF2568" s="251" t="s">
        <v>6972</v>
      </c>
      <c r="BG2568" s="399" t="s">
        <v>435</v>
      </c>
      <c r="BH2568" s="252" t="s">
        <v>436</v>
      </c>
      <c r="BI2568" s="251" t="s">
        <v>379</v>
      </c>
      <c r="BJ2568" s="251" t="s">
        <v>407</v>
      </c>
      <c r="BK2568" s="251" t="s">
        <v>6973</v>
      </c>
      <c r="BL2568" s="251" t="s">
        <v>439</v>
      </c>
    </row>
    <row r="2569" spans="2:64" ht="15">
      <c r="B2569" s="84"/>
      <c r="D2569" s="84"/>
      <c r="E2569" s="84"/>
      <c r="F2569" s="84"/>
      <c r="G2569" s="84"/>
      <c r="R2569" s="251"/>
      <c r="S2569" s="251"/>
      <c r="BD2569" s="399">
        <v>2566</v>
      </c>
      <c r="BE2569" s="399" t="s">
        <v>6974</v>
      </c>
      <c r="BF2569" s="251" t="s">
        <v>6975</v>
      </c>
      <c r="BG2569" s="399" t="s">
        <v>429</v>
      </c>
      <c r="BH2569" s="252" t="s">
        <v>430</v>
      </c>
      <c r="BI2569" s="251" t="s">
        <v>332</v>
      </c>
      <c r="BJ2569" s="251" t="s">
        <v>351</v>
      </c>
      <c r="BK2569" s="251" t="s">
        <v>6976</v>
      </c>
      <c r="BL2569" s="251" t="s">
        <v>432</v>
      </c>
    </row>
    <row r="2570" spans="2:64" ht="15">
      <c r="B2570" s="84"/>
      <c r="D2570" s="84"/>
      <c r="E2570" s="84"/>
      <c r="F2570" s="84"/>
      <c r="G2570" s="84"/>
      <c r="R2570" s="251"/>
      <c r="S2570" s="251"/>
      <c r="BD2570" s="399">
        <v>2567</v>
      </c>
      <c r="BE2570" s="399" t="s">
        <v>2592</v>
      </c>
      <c r="BF2570" s="251" t="s">
        <v>6977</v>
      </c>
      <c r="BG2570" s="399" t="s">
        <v>566</v>
      </c>
      <c r="BH2570" s="252" t="s">
        <v>567</v>
      </c>
      <c r="BI2570" s="251" t="s">
        <v>615</v>
      </c>
      <c r="BJ2570" s="251" t="s">
        <v>407</v>
      </c>
      <c r="BK2570" s="251" t="s">
        <v>2593</v>
      </c>
      <c r="BL2570" s="251" t="s">
        <v>569</v>
      </c>
    </row>
    <row r="2571" spans="2:64" ht="15">
      <c r="B2571" s="84"/>
      <c r="D2571" s="84"/>
      <c r="E2571" s="84"/>
      <c r="F2571" s="84"/>
      <c r="G2571" s="84"/>
      <c r="R2571" s="251"/>
      <c r="S2571" s="251"/>
      <c r="BD2571" s="399">
        <v>2568</v>
      </c>
      <c r="BE2571" s="399" t="s">
        <v>6978</v>
      </c>
      <c r="BF2571" s="251" t="s">
        <v>6979</v>
      </c>
      <c r="BG2571" s="399" t="s">
        <v>519</v>
      </c>
      <c r="BH2571" s="252">
        <v>30</v>
      </c>
      <c r="BI2571" s="251" t="s">
        <v>333</v>
      </c>
      <c r="BJ2571" s="251" t="s">
        <v>539</v>
      </c>
      <c r="BK2571" s="251" t="s">
        <v>6980</v>
      </c>
      <c r="BL2571" s="251" t="s">
        <v>521</v>
      </c>
    </row>
    <row r="2572" spans="2:64" ht="15">
      <c r="B2572" s="84"/>
      <c r="D2572" s="84"/>
      <c r="E2572" s="84"/>
      <c r="F2572" s="84"/>
      <c r="G2572" s="84"/>
      <c r="R2572" s="251"/>
      <c r="S2572" s="251"/>
      <c r="BD2572" s="399">
        <v>2569</v>
      </c>
      <c r="BE2572" s="399" t="s">
        <v>6981</v>
      </c>
      <c r="BF2572" s="251" t="s">
        <v>6982</v>
      </c>
      <c r="BG2572" s="399" t="s">
        <v>435</v>
      </c>
      <c r="BH2572" s="252" t="s">
        <v>651</v>
      </c>
      <c r="BI2572" s="251" t="s">
        <v>379</v>
      </c>
      <c r="BJ2572" s="251" t="s">
        <v>380</v>
      </c>
      <c r="BK2572" s="251" t="s">
        <v>6983</v>
      </c>
      <c r="BL2572" s="251" t="s">
        <v>439</v>
      </c>
    </row>
    <row r="2573" spans="2:64" ht="15">
      <c r="B2573" s="84"/>
      <c r="D2573" s="84"/>
      <c r="E2573" s="84"/>
      <c r="F2573" s="84"/>
      <c r="G2573" s="84"/>
      <c r="R2573" s="251"/>
      <c r="S2573" s="251"/>
      <c r="BD2573" s="399">
        <v>2570</v>
      </c>
      <c r="BE2573" s="399" t="s">
        <v>6984</v>
      </c>
      <c r="BF2573" s="251" t="s">
        <v>6985</v>
      </c>
      <c r="BG2573" s="399" t="s">
        <v>349</v>
      </c>
      <c r="BH2573" s="252">
        <v>17</v>
      </c>
      <c r="BI2573" s="251" t="s">
        <v>379</v>
      </c>
      <c r="BJ2573" s="251" t="s">
        <v>366</v>
      </c>
      <c r="BK2573" s="251" t="s">
        <v>6986</v>
      </c>
      <c r="BL2573" s="251" t="s">
        <v>353</v>
      </c>
    </row>
    <row r="2574" spans="2:64" ht="15">
      <c r="B2574" s="84"/>
      <c r="D2574" s="84"/>
      <c r="E2574" s="84"/>
      <c r="F2574" s="84"/>
      <c r="G2574" s="84"/>
      <c r="R2574" s="251"/>
      <c r="S2574" s="251"/>
      <c r="BD2574" s="399">
        <v>2571</v>
      </c>
      <c r="BE2574" s="399" t="s">
        <v>6987</v>
      </c>
      <c r="BF2574" s="251" t="s">
        <v>6988</v>
      </c>
      <c r="BG2574" s="399" t="s">
        <v>566</v>
      </c>
      <c r="BH2574" s="252" t="s">
        <v>567</v>
      </c>
      <c r="BI2574" s="251" t="s">
        <v>334</v>
      </c>
      <c r="BJ2574" s="251" t="s">
        <v>397</v>
      </c>
      <c r="BK2574" s="251" t="s">
        <v>6989</v>
      </c>
      <c r="BL2574" s="251" t="s">
        <v>569</v>
      </c>
    </row>
    <row r="2575" spans="2:64" ht="15">
      <c r="B2575" s="84"/>
      <c r="D2575" s="84"/>
      <c r="E2575" s="84"/>
      <c r="F2575" s="84"/>
      <c r="G2575" s="84"/>
      <c r="R2575" s="251"/>
      <c r="S2575" s="251"/>
      <c r="BD2575" s="399">
        <v>2572</v>
      </c>
      <c r="BE2575" s="399" t="s">
        <v>6990</v>
      </c>
      <c r="BF2575" s="251" t="s">
        <v>6991</v>
      </c>
      <c r="BG2575" s="399" t="s">
        <v>519</v>
      </c>
      <c r="BH2575" s="252">
        <v>30</v>
      </c>
      <c r="BI2575" s="251" t="s">
        <v>331</v>
      </c>
      <c r="BJ2575" s="251" t="s">
        <v>380</v>
      </c>
      <c r="BK2575" s="251" t="s">
        <v>6992</v>
      </c>
      <c r="BL2575" s="251" t="s">
        <v>521</v>
      </c>
    </row>
    <row r="2576" spans="2:64" ht="15">
      <c r="B2576" s="84"/>
      <c r="D2576" s="84"/>
      <c r="E2576" s="84"/>
      <c r="F2576" s="84"/>
      <c r="G2576" s="84"/>
      <c r="R2576" s="251"/>
      <c r="S2576" s="251"/>
      <c r="BD2576" s="399">
        <v>2573</v>
      </c>
      <c r="BE2576" s="399" t="s">
        <v>949</v>
      </c>
      <c r="BF2576" s="251" t="s">
        <v>6993</v>
      </c>
      <c r="BG2576" s="399" t="s">
        <v>363</v>
      </c>
      <c r="BH2576" s="252" t="s">
        <v>364</v>
      </c>
      <c r="BI2576" s="251" t="s">
        <v>450</v>
      </c>
      <c r="BJ2576" s="251" t="s">
        <v>385</v>
      </c>
      <c r="BK2576" s="251" t="s">
        <v>6994</v>
      </c>
      <c r="BL2576" s="251" t="s">
        <v>368</v>
      </c>
    </row>
    <row r="2577" spans="2:64" ht="15">
      <c r="B2577" s="84"/>
      <c r="D2577" s="84"/>
      <c r="E2577" s="84"/>
      <c r="F2577" s="84"/>
      <c r="G2577" s="84"/>
      <c r="R2577" s="251"/>
      <c r="S2577" s="251"/>
      <c r="BD2577" s="399">
        <v>2574</v>
      </c>
      <c r="BE2577" s="399" t="s">
        <v>6995</v>
      </c>
      <c r="BF2577" s="251" t="s">
        <v>6996</v>
      </c>
      <c r="BG2577" s="399" t="s">
        <v>395</v>
      </c>
      <c r="BH2577" s="252">
        <v>16</v>
      </c>
      <c r="BI2577" s="251" t="s">
        <v>390</v>
      </c>
      <c r="BJ2577" s="251" t="s">
        <v>380</v>
      </c>
      <c r="BK2577" s="251" t="s">
        <v>6997</v>
      </c>
      <c r="BL2577" s="251" t="s">
        <v>399</v>
      </c>
    </row>
    <row r="2578" spans="2:64" ht="15">
      <c r="B2578" s="84"/>
      <c r="D2578" s="84"/>
      <c r="E2578" s="84"/>
      <c r="F2578" s="84"/>
      <c r="G2578" s="84"/>
      <c r="R2578" s="251"/>
      <c r="S2578" s="251"/>
      <c r="BD2578" s="399">
        <v>2575</v>
      </c>
      <c r="BE2578" s="399" t="s">
        <v>4393</v>
      </c>
      <c r="BF2578" s="251" t="s">
        <v>6998</v>
      </c>
      <c r="BG2578" s="399" t="s">
        <v>590</v>
      </c>
      <c r="BH2578" s="252">
        <v>44</v>
      </c>
      <c r="BI2578" s="251" t="s">
        <v>535</v>
      </c>
      <c r="BJ2578" s="251" t="s">
        <v>413</v>
      </c>
      <c r="BK2578" s="251" t="s">
        <v>4394</v>
      </c>
      <c r="BL2578" s="251" t="s">
        <v>592</v>
      </c>
    </row>
    <row r="2579" spans="2:64" ht="15">
      <c r="B2579" s="84"/>
      <c r="D2579" s="84"/>
      <c r="E2579" s="84"/>
      <c r="F2579" s="84"/>
      <c r="G2579" s="84"/>
      <c r="R2579" s="251"/>
      <c r="S2579" s="251"/>
      <c r="BD2579" s="399">
        <v>2576</v>
      </c>
      <c r="BE2579" s="399" t="s">
        <v>6999</v>
      </c>
      <c r="BF2579" s="251" t="s">
        <v>7000</v>
      </c>
      <c r="BG2579" s="399" t="s">
        <v>435</v>
      </c>
      <c r="BH2579" s="252" t="s">
        <v>436</v>
      </c>
      <c r="BI2579" s="251" t="s">
        <v>350</v>
      </c>
      <c r="BJ2579" s="251" t="s">
        <v>539</v>
      </c>
      <c r="BK2579" s="251" t="s">
        <v>7001</v>
      </c>
      <c r="BL2579" s="251" t="s">
        <v>439</v>
      </c>
    </row>
    <row r="2580" spans="2:64" ht="15">
      <c r="B2580" s="84"/>
      <c r="D2580" s="84"/>
      <c r="E2580" s="84"/>
      <c r="F2580" s="84"/>
      <c r="G2580" s="84"/>
      <c r="R2580" s="251"/>
      <c r="S2580" s="251"/>
      <c r="BD2580" s="399">
        <v>2577</v>
      </c>
      <c r="BE2580" s="399" t="s">
        <v>7002</v>
      </c>
      <c r="BF2580" s="251" t="s">
        <v>7003</v>
      </c>
      <c r="BG2580" s="399" t="s">
        <v>423</v>
      </c>
      <c r="BH2580" s="252" t="s">
        <v>424</v>
      </c>
      <c r="BI2580" s="251" t="s">
        <v>365</v>
      </c>
      <c r="BJ2580" s="251" t="s">
        <v>390</v>
      </c>
      <c r="BK2580" s="251" t="s">
        <v>7004</v>
      </c>
      <c r="BL2580" s="251" t="s">
        <v>426</v>
      </c>
    </row>
    <row r="2581" spans="2:64" ht="15">
      <c r="B2581" s="84"/>
      <c r="D2581" s="84"/>
      <c r="E2581" s="84"/>
      <c r="F2581" s="84"/>
      <c r="G2581" s="84"/>
      <c r="R2581" s="251"/>
      <c r="S2581" s="251"/>
      <c r="BD2581" s="399">
        <v>2578</v>
      </c>
      <c r="BE2581" s="399" t="s">
        <v>7005</v>
      </c>
      <c r="BF2581" s="251" t="s">
        <v>7006</v>
      </c>
      <c r="BG2581" s="399" t="s">
        <v>395</v>
      </c>
      <c r="BH2581" s="252">
        <v>16</v>
      </c>
      <c r="BI2581" s="251" t="s">
        <v>496</v>
      </c>
      <c r="BJ2581" s="251" t="s">
        <v>366</v>
      </c>
      <c r="BK2581" s="251" t="s">
        <v>7007</v>
      </c>
      <c r="BL2581" s="251" t="s">
        <v>399</v>
      </c>
    </row>
    <row r="2582" spans="2:64" ht="15">
      <c r="B2582" s="84"/>
      <c r="D2582" s="84"/>
      <c r="E2582" s="84"/>
      <c r="F2582" s="84"/>
      <c r="G2582" s="84"/>
      <c r="R2582" s="251"/>
      <c r="S2582" s="251"/>
      <c r="BD2582" s="399"/>
      <c r="BE2582" s="399"/>
      <c r="BF2582" s="251" t="s">
        <v>260</v>
      </c>
      <c r="BG2582" s="399"/>
      <c r="BH2582" s="252"/>
      <c r="BI2582" s="251"/>
      <c r="BJ2582" s="251"/>
      <c r="BK2582" s="251"/>
      <c r="BL2582" s="251"/>
    </row>
    <row r="2583" spans="2:64" ht="15">
      <c r="B2583" s="84"/>
      <c r="D2583" s="84"/>
      <c r="E2583" s="84"/>
      <c r="F2583" s="84"/>
      <c r="G2583" s="84"/>
      <c r="R2583" s="251"/>
      <c r="S2583" s="251"/>
      <c r="BD2583" s="399"/>
      <c r="BE2583" s="399"/>
      <c r="BF2583" s="251"/>
      <c r="BG2583" s="399"/>
      <c r="BH2583" s="252"/>
      <c r="BI2583" s="251"/>
      <c r="BJ2583" s="251"/>
      <c r="BK2583" s="251"/>
      <c r="BL2583" s="251"/>
    </row>
    <row r="2584" spans="2:64" ht="15">
      <c r="B2584" s="84"/>
      <c r="D2584" s="84"/>
      <c r="E2584" s="84"/>
      <c r="F2584" s="84"/>
      <c r="G2584" s="84"/>
      <c r="R2584" s="251"/>
      <c r="S2584" s="251"/>
    </row>
    <row r="2585" spans="2:64" ht="15">
      <c r="B2585" s="84"/>
      <c r="D2585" s="84"/>
      <c r="E2585" s="84"/>
      <c r="F2585" s="84"/>
      <c r="G2585" s="84"/>
      <c r="R2585" s="251"/>
      <c r="S2585" s="251"/>
    </row>
    <row r="2586" spans="2:64" ht="15">
      <c r="B2586" s="84"/>
      <c r="D2586" s="84"/>
      <c r="E2586" s="84"/>
      <c r="F2586" s="84"/>
      <c r="G2586" s="84"/>
      <c r="R2586" s="251"/>
      <c r="S2586" s="251"/>
    </row>
    <row r="2587" spans="2:64" ht="15">
      <c r="B2587" s="84"/>
      <c r="D2587" s="84"/>
      <c r="E2587" s="84"/>
      <c r="F2587" s="84"/>
      <c r="G2587" s="84"/>
      <c r="R2587" s="251"/>
      <c r="S2587" s="251"/>
    </row>
    <row r="2588" spans="2:64" ht="15">
      <c r="B2588" s="84"/>
      <c r="D2588" s="84"/>
      <c r="E2588" s="84"/>
      <c r="F2588" s="84"/>
      <c r="G2588" s="84"/>
      <c r="R2588" s="251"/>
      <c r="S2588" s="251"/>
    </row>
    <row r="2589" spans="2:64" ht="15">
      <c r="B2589" s="84"/>
      <c r="D2589" s="84"/>
      <c r="E2589" s="84"/>
      <c r="F2589" s="84"/>
      <c r="G2589" s="84"/>
      <c r="R2589" s="251"/>
      <c r="S2589" s="251"/>
    </row>
    <row r="2590" spans="2:64" ht="15">
      <c r="B2590" s="84"/>
      <c r="D2590" s="84"/>
      <c r="E2590" s="84"/>
      <c r="F2590" s="84"/>
      <c r="G2590" s="84"/>
      <c r="R2590" s="251"/>
      <c r="S2590" s="251"/>
    </row>
    <row r="2591" spans="2:64" ht="15">
      <c r="B2591" s="84"/>
      <c r="D2591" s="84"/>
      <c r="E2591" s="84"/>
      <c r="F2591" s="84"/>
      <c r="G2591" s="84"/>
      <c r="R2591" s="251"/>
      <c r="S2591" s="251"/>
    </row>
    <row r="2592" spans="2:64" ht="15">
      <c r="B2592" s="84"/>
      <c r="D2592" s="84"/>
      <c r="E2592" s="84"/>
      <c r="F2592" s="84"/>
      <c r="G2592" s="84"/>
      <c r="R2592" s="251"/>
      <c r="S2592" s="251"/>
    </row>
    <row r="2593" spans="2:19" ht="15">
      <c r="B2593" s="84"/>
      <c r="D2593" s="84"/>
      <c r="E2593" s="84"/>
      <c r="F2593" s="84"/>
      <c r="G2593" s="84"/>
      <c r="R2593" s="251"/>
      <c r="S2593" s="251"/>
    </row>
    <row r="2594" spans="2:19" ht="15">
      <c r="B2594" s="84"/>
      <c r="D2594" s="84"/>
      <c r="E2594" s="84"/>
      <c r="F2594" s="84"/>
      <c r="G2594" s="84"/>
      <c r="R2594" s="251"/>
      <c r="S2594" s="251"/>
    </row>
    <row r="2595" spans="2:19" ht="15">
      <c r="B2595" s="84"/>
      <c r="D2595" s="84"/>
      <c r="E2595" s="84"/>
      <c r="F2595" s="84"/>
      <c r="G2595" s="84"/>
      <c r="R2595" s="251"/>
      <c r="S2595" s="251"/>
    </row>
    <row r="2596" spans="2:19" ht="15">
      <c r="B2596" s="84"/>
      <c r="D2596" s="84"/>
      <c r="E2596" s="84"/>
      <c r="F2596" s="84"/>
      <c r="G2596" s="84"/>
      <c r="R2596" s="251"/>
      <c r="S2596" s="251"/>
    </row>
    <row r="2597" spans="2:19" ht="15">
      <c r="B2597" s="84"/>
      <c r="D2597" s="84"/>
      <c r="E2597" s="84"/>
      <c r="F2597" s="84"/>
      <c r="G2597" s="84"/>
      <c r="R2597" s="251"/>
      <c r="S2597" s="251"/>
    </row>
    <row r="2598" spans="2:19" ht="15">
      <c r="B2598" s="84"/>
      <c r="D2598" s="84"/>
      <c r="E2598" s="84"/>
      <c r="F2598" s="84"/>
      <c r="G2598" s="84"/>
      <c r="R2598" s="251"/>
      <c r="S2598" s="251"/>
    </row>
    <row r="2599" spans="2:19" ht="15">
      <c r="B2599" s="84"/>
      <c r="D2599" s="84"/>
      <c r="E2599" s="84"/>
      <c r="F2599" s="84"/>
      <c r="G2599" s="84"/>
      <c r="R2599" s="251"/>
      <c r="S2599" s="251"/>
    </row>
    <row r="2600" spans="2:19" ht="15">
      <c r="B2600" s="84"/>
      <c r="D2600" s="84"/>
      <c r="E2600" s="84"/>
      <c r="F2600" s="84"/>
      <c r="G2600" s="84"/>
      <c r="R2600" s="251"/>
      <c r="S2600" s="251"/>
    </row>
    <row r="2601" spans="2:19" ht="15">
      <c r="B2601" s="84"/>
      <c r="D2601" s="84"/>
      <c r="E2601" s="84"/>
      <c r="F2601" s="84"/>
      <c r="G2601" s="84"/>
      <c r="R2601" s="251"/>
      <c r="S2601" s="251"/>
    </row>
    <row r="2602" spans="2:19" ht="15">
      <c r="B2602" s="84"/>
      <c r="D2602" s="84"/>
      <c r="E2602" s="84"/>
      <c r="F2602" s="84"/>
      <c r="G2602" s="84"/>
      <c r="R2602" s="251"/>
      <c r="S2602" s="251"/>
    </row>
    <row r="2603" spans="2:19" ht="15">
      <c r="B2603" s="84"/>
      <c r="D2603" s="84"/>
      <c r="E2603" s="84"/>
      <c r="F2603" s="84"/>
      <c r="G2603" s="84"/>
      <c r="R2603" s="251"/>
      <c r="S2603" s="251"/>
    </row>
    <row r="2604" spans="2:19" ht="15">
      <c r="B2604" s="84"/>
      <c r="D2604" s="84"/>
      <c r="E2604" s="84"/>
      <c r="F2604" s="84"/>
      <c r="G2604" s="84"/>
      <c r="R2604" s="251"/>
      <c r="S2604" s="251"/>
    </row>
    <row r="2605" spans="2:19" ht="15">
      <c r="B2605" s="84"/>
      <c r="D2605" s="84"/>
      <c r="E2605" s="84"/>
      <c r="F2605" s="84"/>
      <c r="G2605" s="84"/>
      <c r="R2605" s="251"/>
      <c r="S2605" s="251"/>
    </row>
    <row r="2606" spans="2:19" ht="15">
      <c r="B2606" s="84"/>
      <c r="D2606" s="84"/>
      <c r="E2606" s="84"/>
      <c r="F2606" s="84"/>
      <c r="G2606" s="84"/>
      <c r="R2606" s="251"/>
      <c r="S2606" s="251"/>
    </row>
    <row r="2607" spans="2:19" ht="15">
      <c r="B2607" s="84"/>
      <c r="D2607" s="84"/>
      <c r="E2607" s="84"/>
      <c r="F2607" s="84"/>
      <c r="G2607" s="84"/>
      <c r="R2607" s="251"/>
      <c r="S2607" s="251"/>
    </row>
    <row r="2608" spans="2:19" ht="15">
      <c r="B2608" s="84"/>
      <c r="D2608" s="84"/>
      <c r="E2608" s="84"/>
      <c r="F2608" s="84"/>
      <c r="G2608" s="84"/>
      <c r="R2608" s="251"/>
      <c r="S2608" s="251"/>
    </row>
    <row r="2609" spans="2:19" ht="15">
      <c r="B2609" s="84"/>
      <c r="D2609" s="84"/>
      <c r="E2609" s="84"/>
      <c r="F2609" s="84"/>
      <c r="G2609" s="84"/>
      <c r="R2609" s="251"/>
      <c r="S2609" s="251"/>
    </row>
    <row r="2610" spans="2:19" ht="15">
      <c r="B2610" s="84"/>
      <c r="D2610" s="84"/>
      <c r="E2610" s="84"/>
      <c r="F2610" s="84"/>
      <c r="G2610" s="84"/>
      <c r="R2610" s="251"/>
      <c r="S2610" s="251"/>
    </row>
    <row r="2611" spans="2:19" ht="15">
      <c r="B2611" s="84"/>
      <c r="D2611" s="84"/>
      <c r="E2611" s="84"/>
      <c r="F2611" s="84"/>
      <c r="G2611" s="84"/>
      <c r="R2611" s="251"/>
      <c r="S2611" s="251"/>
    </row>
    <row r="2612" spans="2:19" ht="15">
      <c r="B2612" s="84"/>
      <c r="D2612" s="84"/>
      <c r="E2612" s="84"/>
      <c r="F2612" s="84"/>
      <c r="G2612" s="84"/>
      <c r="R2612" s="251"/>
      <c r="S2612" s="251"/>
    </row>
    <row r="2613" spans="2:19" ht="15">
      <c r="B2613" s="84"/>
      <c r="D2613" s="84"/>
      <c r="E2613" s="84"/>
      <c r="F2613" s="84"/>
      <c r="G2613" s="84"/>
      <c r="R2613" s="251"/>
      <c r="S2613" s="251"/>
    </row>
    <row r="2614" spans="2:19" ht="15">
      <c r="B2614" s="84"/>
      <c r="D2614" s="84"/>
      <c r="E2614" s="84"/>
      <c r="F2614" s="84"/>
      <c r="G2614" s="84"/>
      <c r="R2614" s="251"/>
      <c r="S2614" s="251"/>
    </row>
    <row r="2615" spans="2:19" ht="15">
      <c r="B2615" s="84"/>
      <c r="D2615" s="84"/>
      <c r="E2615" s="84"/>
      <c r="F2615" s="84"/>
      <c r="G2615" s="84"/>
      <c r="R2615" s="251"/>
      <c r="S2615" s="251"/>
    </row>
    <row r="2616" spans="2:19" ht="15">
      <c r="B2616" s="84"/>
      <c r="D2616" s="84"/>
      <c r="E2616" s="84"/>
      <c r="F2616" s="84"/>
      <c r="G2616" s="84"/>
      <c r="R2616" s="251"/>
      <c r="S2616" s="251"/>
    </row>
    <row r="2617" spans="2:19" ht="15">
      <c r="B2617" s="84"/>
      <c r="D2617" s="84"/>
      <c r="E2617" s="84"/>
      <c r="F2617" s="84"/>
      <c r="G2617" s="84"/>
      <c r="R2617" s="251"/>
      <c r="S2617" s="251"/>
    </row>
    <row r="2618" spans="2:19" ht="15">
      <c r="B2618" s="84"/>
      <c r="D2618" s="84"/>
      <c r="E2618" s="84"/>
      <c r="F2618" s="84"/>
      <c r="G2618" s="84"/>
      <c r="R2618" s="251"/>
      <c r="S2618" s="251"/>
    </row>
    <row r="2619" spans="2:19" ht="15">
      <c r="B2619" s="84"/>
      <c r="D2619" s="84"/>
      <c r="E2619" s="84"/>
      <c r="F2619" s="84"/>
      <c r="G2619" s="84"/>
      <c r="R2619" s="251"/>
      <c r="S2619" s="251"/>
    </row>
    <row r="2620" spans="2:19" ht="15">
      <c r="B2620" s="84"/>
      <c r="D2620" s="84"/>
      <c r="E2620" s="84"/>
      <c r="F2620" s="84"/>
      <c r="G2620" s="84"/>
      <c r="R2620" s="251"/>
      <c r="S2620" s="251"/>
    </row>
    <row r="2621" spans="2:19" ht="15">
      <c r="B2621" s="84"/>
      <c r="D2621" s="84"/>
      <c r="E2621" s="84"/>
      <c r="F2621" s="84"/>
      <c r="G2621" s="84"/>
      <c r="R2621" s="251"/>
      <c r="S2621" s="251"/>
    </row>
    <row r="2622" spans="2:19" ht="15">
      <c r="B2622" s="84"/>
      <c r="D2622" s="84"/>
      <c r="E2622" s="84"/>
      <c r="F2622" s="84"/>
      <c r="G2622" s="84"/>
      <c r="R2622" s="251"/>
      <c r="S2622" s="251"/>
    </row>
    <row r="2623" spans="2:19" ht="15">
      <c r="B2623" s="84"/>
      <c r="D2623" s="84"/>
      <c r="E2623" s="84"/>
      <c r="F2623" s="84"/>
      <c r="G2623" s="84"/>
      <c r="R2623" s="251"/>
      <c r="S2623" s="251"/>
    </row>
    <row r="2624" spans="2:19" ht="15">
      <c r="B2624" s="84"/>
      <c r="D2624" s="84"/>
      <c r="E2624" s="84"/>
      <c r="F2624" s="84"/>
      <c r="G2624" s="84"/>
      <c r="R2624" s="251"/>
      <c r="S2624" s="251"/>
    </row>
    <row r="2625" spans="2:19" ht="15">
      <c r="B2625" s="84"/>
      <c r="D2625" s="84"/>
      <c r="E2625" s="84"/>
      <c r="F2625" s="84"/>
      <c r="G2625" s="84"/>
      <c r="R2625" s="251"/>
      <c r="S2625" s="251"/>
    </row>
    <row r="2626" spans="2:19" ht="15">
      <c r="B2626" s="84"/>
      <c r="D2626" s="84"/>
      <c r="E2626" s="84"/>
      <c r="F2626" s="84"/>
      <c r="G2626" s="84"/>
      <c r="R2626" s="251"/>
      <c r="S2626" s="251"/>
    </row>
    <row r="2627" spans="2:19" ht="15">
      <c r="B2627" s="84"/>
      <c r="D2627" s="84"/>
      <c r="E2627" s="84"/>
      <c r="F2627" s="84"/>
      <c r="G2627" s="84"/>
      <c r="R2627" s="251"/>
      <c r="S2627" s="251"/>
    </row>
    <row r="2628" spans="2:19" ht="15">
      <c r="B2628" s="84"/>
      <c r="D2628" s="84"/>
      <c r="E2628" s="84"/>
      <c r="F2628" s="84"/>
      <c r="G2628" s="84"/>
      <c r="R2628" s="251"/>
      <c r="S2628" s="251"/>
    </row>
    <row r="2629" spans="2:19" ht="15">
      <c r="B2629" s="84"/>
      <c r="D2629" s="84"/>
      <c r="E2629" s="84"/>
      <c r="F2629" s="84"/>
      <c r="G2629" s="84"/>
      <c r="R2629" s="251"/>
      <c r="S2629" s="251"/>
    </row>
    <row r="2630" spans="2:19" ht="15">
      <c r="B2630" s="84"/>
      <c r="D2630" s="84"/>
      <c r="E2630" s="84"/>
      <c r="F2630" s="84"/>
      <c r="G2630" s="84"/>
      <c r="R2630" s="251"/>
      <c r="S2630" s="251"/>
    </row>
    <row r="2631" spans="2:19" ht="15">
      <c r="B2631" s="84"/>
      <c r="D2631" s="84"/>
      <c r="E2631" s="84"/>
      <c r="F2631" s="84"/>
      <c r="G2631" s="84"/>
      <c r="R2631" s="251"/>
      <c r="S2631" s="251"/>
    </row>
    <row r="2632" spans="2:19" ht="15">
      <c r="B2632" s="84"/>
      <c r="D2632" s="84"/>
      <c r="E2632" s="84"/>
      <c r="F2632" s="84"/>
      <c r="G2632" s="84"/>
      <c r="R2632" s="251"/>
      <c r="S2632" s="251"/>
    </row>
    <row r="2633" spans="2:19" ht="15">
      <c r="B2633" s="84"/>
      <c r="D2633" s="84"/>
      <c r="E2633" s="84"/>
      <c r="F2633" s="84"/>
      <c r="G2633" s="84"/>
      <c r="R2633" s="251"/>
      <c r="S2633" s="251"/>
    </row>
    <row r="2634" spans="2:19" ht="15">
      <c r="B2634" s="84"/>
      <c r="D2634" s="84"/>
      <c r="E2634" s="84"/>
      <c r="F2634" s="84"/>
      <c r="G2634" s="84"/>
      <c r="R2634" s="251"/>
      <c r="S2634" s="251"/>
    </row>
    <row r="2635" spans="2:19" ht="15">
      <c r="B2635" s="84"/>
      <c r="D2635" s="84"/>
      <c r="E2635" s="84"/>
      <c r="F2635" s="84"/>
      <c r="G2635" s="84"/>
      <c r="R2635" s="251"/>
      <c r="S2635" s="251"/>
    </row>
    <row r="2636" spans="2:19" ht="15">
      <c r="B2636" s="84"/>
      <c r="D2636" s="84"/>
      <c r="E2636" s="84"/>
      <c r="F2636" s="84"/>
      <c r="G2636" s="84"/>
      <c r="R2636" s="251"/>
      <c r="S2636" s="251"/>
    </row>
    <row r="2637" spans="2:19" ht="15">
      <c r="B2637" s="84"/>
      <c r="D2637" s="84"/>
      <c r="E2637" s="84"/>
      <c r="F2637" s="84"/>
      <c r="G2637" s="84"/>
      <c r="R2637" s="251"/>
      <c r="S2637" s="251"/>
    </row>
    <row r="2638" spans="2:19" ht="15">
      <c r="B2638" s="84"/>
      <c r="D2638" s="84"/>
      <c r="E2638" s="84"/>
      <c r="F2638" s="84"/>
      <c r="G2638" s="84"/>
      <c r="R2638" s="251"/>
      <c r="S2638" s="251"/>
    </row>
    <row r="2639" spans="2:19" ht="15">
      <c r="B2639" s="84"/>
      <c r="D2639" s="84"/>
      <c r="E2639" s="84"/>
      <c r="F2639" s="84"/>
      <c r="G2639" s="84"/>
      <c r="R2639" s="251"/>
      <c r="S2639" s="251"/>
    </row>
    <row r="2640" spans="2:19" ht="15">
      <c r="B2640" s="84"/>
      <c r="D2640" s="84"/>
      <c r="E2640" s="84"/>
      <c r="F2640" s="84"/>
      <c r="G2640" s="84"/>
      <c r="R2640" s="251"/>
      <c r="S2640" s="251"/>
    </row>
    <row r="2641" spans="2:19" ht="15">
      <c r="B2641" s="84"/>
      <c r="D2641" s="84"/>
      <c r="E2641" s="84"/>
      <c r="F2641" s="84"/>
      <c r="G2641" s="84"/>
      <c r="R2641" s="251"/>
      <c r="S2641" s="251"/>
    </row>
    <row r="2642" spans="2:19" ht="15">
      <c r="B2642" s="84"/>
      <c r="D2642" s="84"/>
      <c r="E2642" s="84"/>
      <c r="F2642" s="84"/>
      <c r="G2642" s="84"/>
      <c r="R2642" s="251"/>
      <c r="S2642" s="251"/>
    </row>
    <row r="2643" spans="2:19" ht="15">
      <c r="B2643" s="84"/>
      <c r="D2643" s="84"/>
      <c r="E2643" s="84"/>
      <c r="F2643" s="84"/>
      <c r="G2643" s="84"/>
      <c r="R2643" s="251"/>
      <c r="S2643" s="251"/>
    </row>
    <row r="2644" spans="2:19" ht="15">
      <c r="B2644" s="84"/>
      <c r="D2644" s="84"/>
      <c r="E2644" s="84"/>
      <c r="F2644" s="84"/>
      <c r="G2644" s="84"/>
      <c r="R2644" s="251"/>
      <c r="S2644" s="251"/>
    </row>
    <row r="2645" spans="2:19" ht="15">
      <c r="B2645" s="84"/>
      <c r="D2645" s="84"/>
      <c r="E2645" s="84"/>
      <c r="F2645" s="84"/>
      <c r="G2645" s="84"/>
      <c r="R2645" s="251"/>
      <c r="S2645" s="251"/>
    </row>
    <row r="2646" spans="2:19" ht="15">
      <c r="B2646" s="84"/>
      <c r="D2646" s="84"/>
      <c r="E2646" s="84"/>
      <c r="F2646" s="84"/>
      <c r="G2646" s="84"/>
      <c r="R2646" s="251"/>
      <c r="S2646" s="251"/>
    </row>
    <row r="2647" spans="2:19" ht="15">
      <c r="B2647" s="84"/>
      <c r="D2647" s="84"/>
      <c r="E2647" s="84"/>
      <c r="F2647" s="84"/>
      <c r="G2647" s="84"/>
      <c r="R2647" s="251"/>
      <c r="S2647" s="251"/>
    </row>
    <row r="2648" spans="2:19" ht="15">
      <c r="B2648" s="84"/>
      <c r="D2648" s="84"/>
      <c r="E2648" s="84"/>
      <c r="F2648" s="84"/>
      <c r="G2648" s="84"/>
      <c r="R2648" s="251"/>
      <c r="S2648" s="251"/>
    </row>
    <row r="2649" spans="2:19" ht="15">
      <c r="B2649" s="84"/>
      <c r="D2649" s="84"/>
      <c r="E2649" s="84"/>
      <c r="F2649" s="84"/>
      <c r="G2649" s="84"/>
      <c r="R2649" s="251"/>
      <c r="S2649" s="251"/>
    </row>
    <row r="2650" spans="2:19" ht="15">
      <c r="B2650" s="84"/>
      <c r="D2650" s="84"/>
      <c r="E2650" s="84"/>
      <c r="F2650" s="84"/>
      <c r="G2650" s="84"/>
      <c r="R2650" s="251"/>
      <c r="S2650" s="251"/>
    </row>
    <row r="2651" spans="2:19" ht="15">
      <c r="B2651" s="84"/>
      <c r="D2651" s="84"/>
      <c r="E2651" s="84"/>
      <c r="F2651" s="84"/>
      <c r="G2651" s="84"/>
      <c r="R2651" s="251"/>
      <c r="S2651" s="251"/>
    </row>
    <row r="2652" spans="2:19" ht="15">
      <c r="B2652" s="84"/>
      <c r="D2652" s="84"/>
      <c r="E2652" s="84"/>
      <c r="F2652" s="84"/>
      <c r="G2652" s="84"/>
      <c r="R2652" s="251"/>
      <c r="S2652" s="251"/>
    </row>
    <row r="2653" spans="2:19" ht="15">
      <c r="B2653" s="84"/>
      <c r="D2653" s="84"/>
      <c r="E2653" s="84"/>
      <c r="F2653" s="84"/>
      <c r="G2653" s="84"/>
      <c r="R2653" s="251"/>
      <c r="S2653" s="251"/>
    </row>
    <row r="2654" spans="2:19" ht="15">
      <c r="B2654" s="84"/>
      <c r="D2654" s="84"/>
      <c r="E2654" s="84"/>
      <c r="F2654" s="84"/>
      <c r="G2654" s="84"/>
      <c r="R2654" s="251"/>
      <c r="S2654" s="251"/>
    </row>
    <row r="2655" spans="2:19" ht="15">
      <c r="B2655" s="84"/>
      <c r="D2655" s="84"/>
      <c r="E2655" s="84"/>
      <c r="F2655" s="84"/>
      <c r="G2655" s="84"/>
      <c r="R2655" s="251"/>
      <c r="S2655" s="251"/>
    </row>
    <row r="2656" spans="2:19" ht="15">
      <c r="B2656" s="84"/>
      <c r="D2656" s="84"/>
      <c r="E2656" s="84"/>
      <c r="F2656" s="84"/>
      <c r="G2656" s="84"/>
      <c r="R2656" s="251"/>
      <c r="S2656" s="251"/>
    </row>
    <row r="2657" spans="2:19" ht="15">
      <c r="B2657" s="84"/>
      <c r="D2657" s="84"/>
      <c r="E2657" s="84"/>
      <c r="F2657" s="84"/>
      <c r="G2657" s="84"/>
      <c r="R2657" s="251"/>
      <c r="S2657" s="251"/>
    </row>
    <row r="2658" spans="2:19" ht="15">
      <c r="B2658" s="84"/>
      <c r="D2658" s="84"/>
      <c r="E2658" s="84"/>
      <c r="F2658" s="84"/>
      <c r="G2658" s="84"/>
      <c r="R2658" s="251"/>
      <c r="S2658" s="251"/>
    </row>
    <row r="2659" spans="2:19" ht="15">
      <c r="B2659" s="84"/>
      <c r="D2659" s="84"/>
      <c r="E2659" s="84"/>
      <c r="F2659" s="84"/>
      <c r="G2659" s="84"/>
      <c r="R2659" s="251"/>
      <c r="S2659" s="251"/>
    </row>
    <row r="2660" spans="2:19" ht="15">
      <c r="B2660" s="84"/>
      <c r="D2660" s="84"/>
      <c r="E2660" s="84"/>
      <c r="F2660" s="84"/>
      <c r="G2660" s="84"/>
      <c r="R2660" s="251"/>
      <c r="S2660" s="251"/>
    </row>
    <row r="2661" spans="2:19" ht="15">
      <c r="B2661" s="84"/>
      <c r="D2661" s="84"/>
      <c r="E2661" s="84"/>
      <c r="F2661" s="84"/>
      <c r="G2661" s="84"/>
      <c r="R2661" s="251"/>
      <c r="S2661" s="251"/>
    </row>
    <row r="2662" spans="2:19" ht="15">
      <c r="B2662" s="84"/>
      <c r="D2662" s="84"/>
      <c r="E2662" s="84"/>
      <c r="F2662" s="84"/>
      <c r="G2662" s="84"/>
      <c r="R2662" s="251"/>
      <c r="S2662" s="251"/>
    </row>
    <row r="2663" spans="2:19" ht="15">
      <c r="B2663" s="84"/>
      <c r="D2663" s="84"/>
      <c r="E2663" s="84"/>
      <c r="F2663" s="84"/>
      <c r="G2663" s="84"/>
      <c r="R2663" s="251"/>
      <c r="S2663" s="251"/>
    </row>
    <row r="2664" spans="2:19" ht="15">
      <c r="B2664" s="84"/>
      <c r="D2664" s="84"/>
      <c r="E2664" s="84"/>
      <c r="F2664" s="84"/>
      <c r="G2664" s="84"/>
      <c r="R2664" s="251"/>
      <c r="S2664" s="251"/>
    </row>
    <row r="2665" spans="2:19" ht="15">
      <c r="B2665" s="84"/>
      <c r="D2665" s="84"/>
      <c r="E2665" s="84"/>
      <c r="F2665" s="84"/>
      <c r="G2665" s="84"/>
      <c r="R2665" s="251"/>
      <c r="S2665" s="251"/>
    </row>
    <row r="2666" spans="2:19" ht="15">
      <c r="B2666" s="84"/>
      <c r="D2666" s="84"/>
      <c r="E2666" s="84"/>
      <c r="F2666" s="84"/>
      <c r="G2666" s="84"/>
      <c r="R2666" s="251"/>
      <c r="S2666" s="251"/>
    </row>
    <row r="2667" spans="2:19" ht="15">
      <c r="B2667" s="84"/>
      <c r="D2667" s="84"/>
      <c r="E2667" s="84"/>
      <c r="F2667" s="84"/>
      <c r="G2667" s="84"/>
      <c r="R2667" s="251"/>
      <c r="S2667" s="251"/>
    </row>
    <row r="2668" spans="2:19" ht="15">
      <c r="B2668" s="84"/>
      <c r="D2668" s="84"/>
      <c r="E2668" s="84"/>
      <c r="F2668" s="84"/>
      <c r="G2668" s="84"/>
      <c r="R2668" s="251"/>
      <c r="S2668" s="251"/>
    </row>
    <row r="2669" spans="2:19" ht="15">
      <c r="B2669" s="84"/>
      <c r="D2669" s="84"/>
      <c r="E2669" s="84"/>
      <c r="F2669" s="84"/>
      <c r="G2669" s="84"/>
      <c r="R2669" s="251"/>
      <c r="S2669" s="251"/>
    </row>
    <row r="2670" spans="2:19" ht="15">
      <c r="B2670" s="84"/>
      <c r="D2670" s="84"/>
      <c r="E2670" s="84"/>
      <c r="F2670" s="84"/>
      <c r="G2670" s="84"/>
      <c r="R2670" s="251"/>
      <c r="S2670" s="251"/>
    </row>
    <row r="2671" spans="2:19" ht="15">
      <c r="B2671" s="84"/>
      <c r="D2671" s="84"/>
      <c r="E2671" s="84"/>
      <c r="F2671" s="84"/>
      <c r="G2671" s="84"/>
      <c r="R2671" s="251"/>
      <c r="S2671" s="251"/>
    </row>
    <row r="2672" spans="2:19" ht="15">
      <c r="B2672" s="84"/>
      <c r="D2672" s="84"/>
      <c r="E2672" s="84"/>
      <c r="F2672" s="84"/>
      <c r="G2672" s="84"/>
      <c r="R2672" s="251"/>
      <c r="S2672" s="251"/>
    </row>
    <row r="2673" spans="2:19" ht="15">
      <c r="B2673" s="84"/>
      <c r="D2673" s="84"/>
      <c r="E2673" s="84"/>
      <c r="F2673" s="84"/>
      <c r="G2673" s="84"/>
      <c r="R2673" s="251"/>
      <c r="S2673" s="251"/>
    </row>
    <row r="2674" spans="2:19" ht="15">
      <c r="B2674" s="84"/>
      <c r="D2674" s="84"/>
      <c r="E2674" s="84"/>
      <c r="F2674" s="84"/>
      <c r="G2674" s="84"/>
      <c r="R2674" s="251"/>
      <c r="S2674" s="251"/>
    </row>
    <row r="2675" spans="2:19" ht="15">
      <c r="B2675" s="84"/>
      <c r="D2675" s="84"/>
      <c r="E2675" s="84"/>
      <c r="F2675" s="84"/>
      <c r="G2675" s="84"/>
      <c r="R2675" s="251"/>
      <c r="S2675" s="251"/>
    </row>
    <row r="2676" spans="2:19" ht="15">
      <c r="B2676" s="84"/>
      <c r="D2676" s="84"/>
      <c r="E2676" s="84"/>
      <c r="F2676" s="84"/>
      <c r="G2676" s="84"/>
      <c r="R2676" s="251"/>
      <c r="S2676" s="251"/>
    </row>
    <row r="2677" spans="2:19" ht="15">
      <c r="B2677" s="84"/>
      <c r="D2677" s="84"/>
      <c r="E2677" s="84"/>
      <c r="F2677" s="84"/>
      <c r="G2677" s="84"/>
      <c r="R2677" s="251"/>
      <c r="S2677" s="251"/>
    </row>
    <row r="2678" spans="2:19" ht="15">
      <c r="B2678" s="84"/>
      <c r="D2678" s="84"/>
      <c r="E2678" s="84"/>
      <c r="F2678" s="84"/>
      <c r="G2678" s="84"/>
      <c r="R2678" s="251"/>
      <c r="S2678" s="251"/>
    </row>
    <row r="2679" spans="2:19" ht="15">
      <c r="B2679" s="84"/>
      <c r="D2679" s="84"/>
      <c r="E2679" s="84"/>
      <c r="F2679" s="84"/>
      <c r="G2679" s="84"/>
      <c r="R2679" s="251"/>
      <c r="S2679" s="251"/>
    </row>
    <row r="2680" spans="2:19" ht="15">
      <c r="B2680" s="84"/>
      <c r="D2680" s="84"/>
      <c r="E2680" s="84"/>
      <c r="F2680" s="84"/>
      <c r="G2680" s="84"/>
      <c r="R2680" s="251"/>
      <c r="S2680" s="251"/>
    </row>
    <row r="2681" spans="2:19" ht="15">
      <c r="B2681" s="84"/>
      <c r="D2681" s="84"/>
      <c r="E2681" s="84"/>
      <c r="F2681" s="84"/>
      <c r="G2681" s="84"/>
      <c r="R2681" s="251"/>
      <c r="S2681" s="251"/>
    </row>
    <row r="2682" spans="2:19" ht="15">
      <c r="B2682" s="84"/>
      <c r="D2682" s="84"/>
      <c r="E2682" s="84"/>
      <c r="F2682" s="84"/>
      <c r="G2682" s="84"/>
      <c r="R2682" s="251"/>
      <c r="S2682" s="251"/>
    </row>
    <row r="2683" spans="2:19" ht="15">
      <c r="B2683" s="84"/>
      <c r="D2683" s="84"/>
      <c r="E2683" s="84"/>
      <c r="F2683" s="84"/>
      <c r="G2683" s="84"/>
      <c r="R2683" s="251"/>
      <c r="S2683" s="251"/>
    </row>
    <row r="2684" spans="2:19" ht="15">
      <c r="B2684" s="84"/>
      <c r="D2684" s="84"/>
      <c r="E2684" s="84"/>
      <c r="F2684" s="84"/>
      <c r="G2684" s="84"/>
      <c r="R2684" s="251"/>
      <c r="S2684" s="251"/>
    </row>
    <row r="2685" spans="2:19" ht="15">
      <c r="B2685" s="84"/>
      <c r="D2685" s="84"/>
      <c r="E2685" s="84"/>
      <c r="F2685" s="84"/>
      <c r="G2685" s="84"/>
      <c r="R2685" s="251"/>
      <c r="S2685" s="251"/>
    </row>
    <row r="2686" spans="2:19" ht="15">
      <c r="B2686" s="84"/>
      <c r="D2686" s="84"/>
      <c r="E2686" s="84"/>
      <c r="F2686" s="84"/>
      <c r="G2686" s="84"/>
      <c r="R2686" s="251"/>
      <c r="S2686" s="251"/>
    </row>
    <row r="2687" spans="2:19" ht="15">
      <c r="B2687" s="84"/>
      <c r="D2687" s="84"/>
      <c r="E2687" s="84"/>
      <c r="F2687" s="84"/>
      <c r="G2687" s="84"/>
      <c r="R2687" s="251"/>
      <c r="S2687" s="251"/>
    </row>
    <row r="2688" spans="2:19" ht="15">
      <c r="B2688" s="84"/>
      <c r="D2688" s="84"/>
      <c r="E2688" s="84"/>
      <c r="F2688" s="84"/>
      <c r="G2688" s="84"/>
      <c r="R2688" s="251"/>
      <c r="S2688" s="251"/>
    </row>
    <row r="2689" spans="2:19" ht="15">
      <c r="B2689" s="84"/>
      <c r="D2689" s="84"/>
      <c r="E2689" s="84"/>
      <c r="F2689" s="84"/>
      <c r="G2689" s="84"/>
      <c r="R2689" s="251"/>
      <c r="S2689" s="251"/>
    </row>
    <row r="2690" spans="2:19" ht="15">
      <c r="B2690" s="84"/>
      <c r="D2690" s="84"/>
      <c r="E2690" s="84"/>
      <c r="F2690" s="84"/>
      <c r="G2690" s="84"/>
      <c r="R2690" s="251"/>
      <c r="S2690" s="251"/>
    </row>
    <row r="2691" spans="2:19" ht="15">
      <c r="B2691" s="84"/>
      <c r="D2691" s="84"/>
      <c r="E2691" s="84"/>
      <c r="F2691" s="84"/>
      <c r="G2691" s="84"/>
      <c r="R2691" s="251"/>
      <c r="S2691" s="251"/>
    </row>
    <row r="2692" spans="2:19" ht="15">
      <c r="B2692" s="84"/>
      <c r="D2692" s="84"/>
      <c r="E2692" s="84"/>
      <c r="F2692" s="84"/>
      <c r="G2692" s="84"/>
      <c r="R2692" s="251"/>
      <c r="S2692" s="251"/>
    </row>
    <row r="2693" spans="2:19" ht="15">
      <c r="B2693" s="84"/>
      <c r="D2693" s="84"/>
      <c r="E2693" s="84"/>
      <c r="F2693" s="84"/>
      <c r="G2693" s="84"/>
      <c r="R2693" s="251"/>
      <c r="S2693" s="251"/>
    </row>
    <row r="2694" spans="2:19" ht="15">
      <c r="B2694" s="84"/>
      <c r="D2694" s="84"/>
      <c r="E2694" s="84"/>
      <c r="F2694" s="84"/>
      <c r="G2694" s="84"/>
      <c r="R2694" s="251"/>
      <c r="S2694" s="251"/>
    </row>
    <row r="2695" spans="2:19" ht="15">
      <c r="B2695" s="84"/>
      <c r="D2695" s="84"/>
      <c r="E2695" s="84"/>
      <c r="F2695" s="84"/>
      <c r="G2695" s="84"/>
      <c r="R2695" s="251"/>
      <c r="S2695" s="251"/>
    </row>
    <row r="2696" spans="2:19" ht="15">
      <c r="B2696" s="84"/>
      <c r="D2696" s="84"/>
      <c r="E2696" s="84"/>
      <c r="F2696" s="84"/>
      <c r="G2696" s="84"/>
      <c r="R2696" s="251"/>
      <c r="S2696" s="251"/>
    </row>
    <row r="2697" spans="2:19" ht="15">
      <c r="B2697" s="84"/>
      <c r="D2697" s="84"/>
      <c r="E2697" s="84"/>
      <c r="F2697" s="84"/>
      <c r="G2697" s="84"/>
      <c r="R2697" s="251"/>
      <c r="S2697" s="251"/>
    </row>
    <row r="2698" spans="2:19" ht="15">
      <c r="B2698" s="84"/>
      <c r="D2698" s="84"/>
      <c r="E2698" s="84"/>
      <c r="F2698" s="84"/>
      <c r="G2698" s="84"/>
      <c r="R2698" s="251"/>
      <c r="S2698" s="251"/>
    </row>
    <row r="2699" spans="2:19" ht="15">
      <c r="B2699" s="84"/>
      <c r="D2699" s="84"/>
      <c r="E2699" s="84"/>
      <c r="F2699" s="84"/>
      <c r="G2699" s="84"/>
      <c r="R2699" s="251"/>
      <c r="S2699" s="251"/>
    </row>
    <row r="2700" spans="2:19" ht="15">
      <c r="B2700" s="84"/>
      <c r="D2700" s="84"/>
      <c r="E2700" s="84"/>
      <c r="F2700" s="84"/>
      <c r="G2700" s="84"/>
      <c r="R2700" s="251"/>
      <c r="S2700" s="251"/>
    </row>
    <row r="2701" spans="2:19" ht="15">
      <c r="B2701" s="84"/>
      <c r="D2701" s="84"/>
      <c r="E2701" s="84"/>
      <c r="F2701" s="84"/>
      <c r="G2701" s="84"/>
      <c r="R2701" s="251"/>
      <c r="S2701" s="251"/>
    </row>
    <row r="2702" spans="2:19" ht="15">
      <c r="B2702" s="84"/>
      <c r="D2702" s="84"/>
      <c r="E2702" s="84"/>
      <c r="F2702" s="84"/>
      <c r="G2702" s="84"/>
      <c r="R2702" s="251"/>
      <c r="S2702" s="251"/>
    </row>
    <row r="2703" spans="2:19" ht="15">
      <c r="B2703" s="84"/>
      <c r="D2703" s="84"/>
      <c r="E2703" s="84"/>
      <c r="F2703" s="84"/>
      <c r="G2703" s="84"/>
      <c r="R2703" s="251"/>
      <c r="S2703" s="251"/>
    </row>
    <row r="2704" spans="2:19" ht="15">
      <c r="B2704" s="84"/>
      <c r="D2704" s="84"/>
      <c r="E2704" s="84"/>
      <c r="F2704" s="84"/>
      <c r="G2704" s="84"/>
      <c r="R2704" s="251"/>
      <c r="S2704" s="251"/>
    </row>
    <row r="2705" spans="2:19" ht="15">
      <c r="B2705" s="84"/>
      <c r="D2705" s="84"/>
      <c r="E2705" s="84"/>
      <c r="F2705" s="84"/>
      <c r="G2705" s="84"/>
      <c r="R2705" s="251"/>
      <c r="S2705" s="251"/>
    </row>
    <row r="2706" spans="2:19" ht="15">
      <c r="B2706" s="84"/>
      <c r="D2706" s="84"/>
      <c r="E2706" s="84"/>
      <c r="F2706" s="84"/>
      <c r="G2706" s="84"/>
      <c r="R2706" s="251"/>
      <c r="S2706" s="251"/>
    </row>
    <row r="2707" spans="2:19" ht="15">
      <c r="B2707" s="84"/>
      <c r="D2707" s="84"/>
      <c r="E2707" s="84"/>
      <c r="F2707" s="84"/>
      <c r="G2707" s="84"/>
      <c r="R2707" s="251"/>
      <c r="S2707" s="251"/>
    </row>
    <row r="2708" spans="2:19" ht="15">
      <c r="B2708" s="84"/>
      <c r="D2708" s="84"/>
      <c r="E2708" s="84"/>
      <c r="F2708" s="84"/>
      <c r="G2708" s="84"/>
      <c r="R2708" s="251"/>
      <c r="S2708" s="251"/>
    </row>
    <row r="2709" spans="2:19" ht="15">
      <c r="B2709" s="84"/>
      <c r="D2709" s="84"/>
      <c r="E2709" s="84"/>
      <c r="F2709" s="84"/>
      <c r="G2709" s="84"/>
      <c r="R2709" s="251"/>
      <c r="S2709" s="251"/>
    </row>
    <row r="2710" spans="2:19" ht="15">
      <c r="B2710" s="84"/>
      <c r="D2710" s="84"/>
      <c r="E2710" s="84"/>
      <c r="F2710" s="84"/>
      <c r="G2710" s="84"/>
      <c r="R2710" s="251"/>
      <c r="S2710" s="251"/>
    </row>
    <row r="2711" spans="2:19" ht="15">
      <c r="B2711" s="84"/>
      <c r="D2711" s="84"/>
      <c r="E2711" s="84"/>
      <c r="F2711" s="84"/>
      <c r="G2711" s="84"/>
      <c r="R2711" s="251"/>
      <c r="S2711" s="251"/>
    </row>
    <row r="2712" spans="2:19" ht="15">
      <c r="B2712" s="84"/>
      <c r="D2712" s="84"/>
      <c r="E2712" s="84"/>
      <c r="F2712" s="84"/>
      <c r="G2712" s="84"/>
      <c r="R2712" s="251"/>
      <c r="S2712" s="251"/>
    </row>
    <row r="2713" spans="2:19" ht="15">
      <c r="B2713" s="84"/>
      <c r="D2713" s="84"/>
      <c r="E2713" s="84"/>
      <c r="F2713" s="84"/>
      <c r="G2713" s="84"/>
      <c r="R2713" s="251"/>
      <c r="S2713" s="251"/>
    </row>
    <row r="2714" spans="2:19" ht="15">
      <c r="B2714" s="84"/>
      <c r="D2714" s="84"/>
      <c r="E2714" s="84"/>
      <c r="F2714" s="84"/>
      <c r="G2714" s="84"/>
      <c r="R2714" s="251"/>
      <c r="S2714" s="251"/>
    </row>
    <row r="2715" spans="2:19" ht="15">
      <c r="B2715" s="84"/>
      <c r="D2715" s="84"/>
      <c r="E2715" s="84"/>
      <c r="F2715" s="84"/>
      <c r="G2715" s="84"/>
      <c r="R2715" s="251"/>
      <c r="S2715" s="251"/>
    </row>
    <row r="2716" spans="2:19" ht="15">
      <c r="B2716" s="84"/>
      <c r="D2716" s="84"/>
      <c r="E2716" s="84"/>
      <c r="F2716" s="84"/>
      <c r="G2716" s="84"/>
      <c r="R2716" s="251"/>
      <c r="S2716" s="251"/>
    </row>
    <row r="2717" spans="2:19" ht="15">
      <c r="B2717" s="84"/>
      <c r="D2717" s="84"/>
      <c r="E2717" s="84"/>
      <c r="F2717" s="84"/>
      <c r="G2717" s="84"/>
      <c r="R2717" s="251"/>
      <c r="S2717" s="251"/>
    </row>
    <row r="2718" spans="2:19" ht="15">
      <c r="B2718" s="84"/>
      <c r="D2718" s="84"/>
      <c r="E2718" s="84"/>
      <c r="F2718" s="84"/>
      <c r="G2718" s="84"/>
      <c r="R2718" s="251"/>
      <c r="S2718" s="251"/>
    </row>
    <row r="2719" spans="2:19" ht="15">
      <c r="B2719" s="84"/>
      <c r="D2719" s="84"/>
      <c r="E2719" s="84"/>
      <c r="F2719" s="84"/>
      <c r="G2719" s="84"/>
      <c r="R2719" s="251"/>
      <c r="S2719" s="251"/>
    </row>
    <row r="2720" spans="2:19" ht="15">
      <c r="B2720" s="84"/>
      <c r="D2720" s="84"/>
      <c r="E2720" s="84"/>
      <c r="F2720" s="84"/>
      <c r="G2720" s="84"/>
      <c r="R2720" s="251"/>
      <c r="S2720" s="251"/>
    </row>
    <row r="2721" spans="2:19" ht="15">
      <c r="B2721" s="84"/>
      <c r="D2721" s="84"/>
      <c r="E2721" s="84"/>
      <c r="F2721" s="84"/>
      <c r="G2721" s="84"/>
      <c r="R2721" s="251"/>
      <c r="S2721" s="251"/>
    </row>
    <row r="2722" spans="2:19" ht="15">
      <c r="B2722" s="84"/>
      <c r="D2722" s="84"/>
      <c r="E2722" s="84"/>
      <c r="F2722" s="84"/>
      <c r="G2722" s="84"/>
      <c r="R2722" s="251"/>
      <c r="S2722" s="251"/>
    </row>
    <row r="2723" spans="2:19" ht="15">
      <c r="B2723" s="84"/>
      <c r="D2723" s="84"/>
      <c r="E2723" s="84"/>
      <c r="F2723" s="84"/>
      <c r="G2723" s="84"/>
      <c r="R2723" s="251"/>
      <c r="S2723" s="251"/>
    </row>
    <row r="2724" spans="2:19" ht="15">
      <c r="B2724" s="84"/>
      <c r="D2724" s="84"/>
      <c r="E2724" s="84"/>
      <c r="F2724" s="84"/>
      <c r="G2724" s="84"/>
      <c r="R2724" s="251"/>
      <c r="S2724" s="251"/>
    </row>
    <row r="2725" spans="2:19" ht="15">
      <c r="B2725" s="84"/>
      <c r="D2725" s="84"/>
      <c r="E2725" s="84"/>
      <c r="F2725" s="84"/>
      <c r="G2725" s="84"/>
      <c r="R2725" s="251"/>
      <c r="S2725" s="251"/>
    </row>
    <row r="2726" spans="2:19" ht="15">
      <c r="B2726" s="84"/>
      <c r="D2726" s="84"/>
      <c r="E2726" s="84"/>
      <c r="F2726" s="84"/>
      <c r="G2726" s="84"/>
      <c r="R2726" s="251"/>
      <c r="S2726" s="251"/>
    </row>
    <row r="2727" spans="2:19" ht="15">
      <c r="B2727" s="84"/>
      <c r="D2727" s="84"/>
      <c r="E2727" s="84"/>
      <c r="F2727" s="84"/>
      <c r="G2727" s="84"/>
      <c r="R2727" s="251"/>
      <c r="S2727" s="251"/>
    </row>
    <row r="2728" spans="2:19" ht="15">
      <c r="B2728" s="84"/>
      <c r="D2728" s="84"/>
      <c r="E2728" s="84"/>
      <c r="F2728" s="84"/>
      <c r="G2728" s="84"/>
      <c r="R2728" s="251"/>
      <c r="S2728" s="251"/>
    </row>
    <row r="2729" spans="2:19" ht="15">
      <c r="B2729" s="84"/>
      <c r="D2729" s="84"/>
      <c r="E2729" s="84"/>
      <c r="F2729" s="84"/>
      <c r="G2729" s="84"/>
      <c r="R2729" s="251"/>
      <c r="S2729" s="251"/>
    </row>
    <row r="2730" spans="2:19" ht="15">
      <c r="B2730" s="84"/>
      <c r="D2730" s="84"/>
      <c r="E2730" s="84"/>
      <c r="F2730" s="84"/>
      <c r="G2730" s="84"/>
      <c r="R2730" s="251"/>
      <c r="S2730" s="251"/>
    </row>
    <row r="2731" spans="2:19" ht="15">
      <c r="B2731" s="84"/>
      <c r="D2731" s="84"/>
      <c r="E2731" s="84"/>
      <c r="F2731" s="84"/>
      <c r="G2731" s="84"/>
      <c r="R2731" s="251"/>
      <c r="S2731" s="251"/>
    </row>
    <row r="2732" spans="2:19" ht="15">
      <c r="B2732" s="84"/>
      <c r="D2732" s="84"/>
      <c r="E2732" s="84"/>
      <c r="F2732" s="84"/>
      <c r="G2732" s="84"/>
      <c r="R2732" s="251"/>
      <c r="S2732" s="251"/>
    </row>
    <row r="2733" spans="2:19" ht="15">
      <c r="B2733" s="84"/>
      <c r="D2733" s="84"/>
      <c r="E2733" s="84"/>
      <c r="F2733" s="84"/>
      <c r="G2733" s="84"/>
      <c r="R2733" s="251"/>
      <c r="S2733" s="251"/>
    </row>
    <row r="2734" spans="2:19" ht="15">
      <c r="B2734" s="84"/>
      <c r="D2734" s="84"/>
      <c r="E2734" s="84"/>
      <c r="F2734" s="84"/>
      <c r="G2734" s="84"/>
      <c r="R2734" s="251"/>
      <c r="S2734" s="251"/>
    </row>
    <row r="2735" spans="2:19" ht="15">
      <c r="B2735" s="84"/>
      <c r="D2735" s="84"/>
      <c r="E2735" s="84"/>
      <c r="F2735" s="84"/>
      <c r="G2735" s="84"/>
      <c r="R2735" s="251"/>
      <c r="S2735" s="251"/>
    </row>
    <row r="2736" spans="2:19" ht="15">
      <c r="B2736" s="84"/>
      <c r="D2736" s="84"/>
      <c r="E2736" s="84"/>
      <c r="F2736" s="84"/>
      <c r="G2736" s="84"/>
      <c r="R2736" s="251"/>
      <c r="S2736" s="251"/>
    </row>
    <row r="2737" spans="2:19" ht="15">
      <c r="B2737" s="84"/>
      <c r="D2737" s="84"/>
      <c r="E2737" s="84"/>
      <c r="F2737" s="84"/>
      <c r="G2737" s="84"/>
      <c r="R2737" s="251"/>
      <c r="S2737" s="251"/>
    </row>
    <row r="2738" spans="2:19" ht="15">
      <c r="B2738" s="84"/>
      <c r="D2738" s="84"/>
      <c r="E2738" s="84"/>
      <c r="F2738" s="84"/>
      <c r="G2738" s="84"/>
      <c r="R2738" s="251"/>
      <c r="S2738" s="251"/>
    </row>
    <row r="2739" spans="2:19" ht="15">
      <c r="B2739" s="84"/>
      <c r="D2739" s="84"/>
      <c r="E2739" s="84"/>
      <c r="F2739" s="84"/>
      <c r="G2739" s="84"/>
      <c r="R2739" s="251"/>
      <c r="S2739" s="251"/>
    </row>
    <row r="2740" spans="2:19" ht="15">
      <c r="B2740" s="84"/>
      <c r="D2740" s="84"/>
      <c r="E2740" s="84"/>
      <c r="F2740" s="84"/>
      <c r="G2740" s="84"/>
      <c r="R2740" s="251"/>
      <c r="S2740" s="251"/>
    </row>
    <row r="2741" spans="2:19" ht="15">
      <c r="B2741" s="84"/>
      <c r="D2741" s="84"/>
      <c r="E2741" s="84"/>
      <c r="F2741" s="84"/>
      <c r="G2741" s="84"/>
      <c r="R2741" s="251"/>
      <c r="S2741" s="251"/>
    </row>
    <row r="2742" spans="2:19" ht="15">
      <c r="B2742" s="84"/>
      <c r="D2742" s="84"/>
      <c r="E2742" s="84"/>
      <c r="F2742" s="84"/>
      <c r="G2742" s="84"/>
      <c r="R2742" s="251"/>
      <c r="S2742" s="251"/>
    </row>
    <row r="2743" spans="2:19" ht="15">
      <c r="B2743" s="84"/>
      <c r="D2743" s="84"/>
      <c r="E2743" s="84"/>
      <c r="F2743" s="84"/>
      <c r="G2743" s="84"/>
      <c r="R2743" s="251"/>
      <c r="S2743" s="251"/>
    </row>
    <row r="2744" spans="2:19" ht="15">
      <c r="B2744" s="84"/>
      <c r="D2744" s="84"/>
      <c r="E2744" s="84"/>
      <c r="F2744" s="84"/>
      <c r="G2744" s="84"/>
      <c r="R2744" s="251"/>
      <c r="S2744" s="251"/>
    </row>
    <row r="2745" spans="2:19" ht="15">
      <c r="B2745" s="84"/>
      <c r="D2745" s="84"/>
      <c r="E2745" s="84"/>
      <c r="F2745" s="84"/>
      <c r="G2745" s="84"/>
      <c r="R2745" s="251"/>
      <c r="S2745" s="251"/>
    </row>
    <row r="2746" spans="2:19" ht="15">
      <c r="B2746" s="84"/>
      <c r="D2746" s="84"/>
      <c r="E2746" s="84"/>
      <c r="F2746" s="84"/>
      <c r="G2746" s="84"/>
      <c r="R2746" s="251"/>
      <c r="S2746" s="251"/>
    </row>
    <row r="2747" spans="2:19" ht="15">
      <c r="B2747" s="84"/>
      <c r="D2747" s="84"/>
      <c r="E2747" s="84"/>
      <c r="F2747" s="84"/>
      <c r="G2747" s="84"/>
      <c r="R2747" s="251"/>
      <c r="S2747" s="251"/>
    </row>
    <row r="2748" spans="2:19" ht="15">
      <c r="B2748" s="84"/>
      <c r="D2748" s="84"/>
      <c r="E2748" s="84"/>
      <c r="F2748" s="84"/>
      <c r="G2748" s="84"/>
      <c r="R2748" s="251"/>
      <c r="S2748" s="251"/>
    </row>
    <row r="2749" spans="2:19" ht="15">
      <c r="B2749" s="84"/>
      <c r="D2749" s="84"/>
      <c r="E2749" s="84"/>
      <c r="F2749" s="84"/>
      <c r="G2749" s="84"/>
      <c r="R2749" s="251"/>
      <c r="S2749" s="251"/>
    </row>
    <row r="2750" spans="2:19" ht="15">
      <c r="B2750" s="84"/>
      <c r="D2750" s="84"/>
      <c r="E2750" s="84"/>
      <c r="F2750" s="84"/>
      <c r="G2750" s="84"/>
      <c r="R2750" s="251"/>
      <c r="S2750" s="251"/>
    </row>
    <row r="2751" spans="2:19" ht="15">
      <c r="B2751" s="84"/>
      <c r="D2751" s="84"/>
      <c r="E2751" s="84"/>
      <c r="F2751" s="84"/>
      <c r="G2751" s="84"/>
      <c r="R2751" s="251"/>
      <c r="S2751" s="251"/>
    </row>
    <row r="2752" spans="2:19" ht="15">
      <c r="B2752" s="84"/>
      <c r="D2752" s="84"/>
      <c r="E2752" s="84"/>
      <c r="F2752" s="84"/>
      <c r="G2752" s="84"/>
      <c r="R2752" s="251"/>
      <c r="S2752" s="251"/>
    </row>
    <row r="2753" spans="2:19" ht="15">
      <c r="B2753" s="84"/>
      <c r="D2753" s="84"/>
      <c r="E2753" s="84"/>
      <c r="F2753" s="84"/>
      <c r="G2753" s="84"/>
      <c r="R2753" s="251"/>
      <c r="S2753" s="251"/>
    </row>
    <row r="2754" spans="2:19" ht="15">
      <c r="B2754" s="84"/>
      <c r="D2754" s="84"/>
      <c r="E2754" s="84"/>
      <c r="F2754" s="84"/>
      <c r="G2754" s="84"/>
      <c r="R2754" s="251"/>
      <c r="S2754" s="251"/>
    </row>
    <row r="2755" spans="2:19" ht="15">
      <c r="B2755" s="84"/>
      <c r="D2755" s="84"/>
      <c r="E2755" s="84"/>
      <c r="F2755" s="84"/>
      <c r="G2755" s="84"/>
      <c r="R2755" s="251"/>
      <c r="S2755" s="251"/>
    </row>
    <row r="2756" spans="2:19" ht="15">
      <c r="B2756" s="84"/>
      <c r="D2756" s="84"/>
      <c r="E2756" s="84"/>
      <c r="F2756" s="84"/>
      <c r="G2756" s="84"/>
      <c r="R2756" s="251"/>
      <c r="S2756" s="251"/>
    </row>
    <row r="2757" spans="2:19" ht="15">
      <c r="B2757" s="84"/>
      <c r="D2757" s="84"/>
      <c r="E2757" s="84"/>
      <c r="F2757" s="84"/>
      <c r="G2757" s="84"/>
      <c r="R2757" s="251"/>
      <c r="S2757" s="251"/>
    </row>
    <row r="2758" spans="2:19" ht="15">
      <c r="B2758" s="84"/>
      <c r="D2758" s="84"/>
      <c r="E2758" s="84"/>
      <c r="F2758" s="84"/>
      <c r="G2758" s="84"/>
      <c r="R2758" s="251"/>
      <c r="S2758" s="251"/>
    </row>
    <row r="2759" spans="2:19" ht="15">
      <c r="B2759" s="84"/>
      <c r="D2759" s="84"/>
      <c r="E2759" s="84"/>
      <c r="F2759" s="84"/>
      <c r="G2759" s="84"/>
      <c r="R2759" s="251"/>
      <c r="S2759" s="251"/>
    </row>
    <row r="2760" spans="2:19" ht="15">
      <c r="B2760" s="84"/>
      <c r="D2760" s="84"/>
      <c r="E2760" s="84"/>
      <c r="F2760" s="84"/>
      <c r="G2760" s="84"/>
      <c r="R2760" s="251"/>
      <c r="S2760" s="251"/>
    </row>
    <row r="2761" spans="2:19" ht="15">
      <c r="B2761" s="84"/>
      <c r="D2761" s="84"/>
      <c r="E2761" s="84"/>
      <c r="F2761" s="84"/>
      <c r="G2761" s="84"/>
      <c r="R2761" s="251"/>
      <c r="S2761" s="251"/>
    </row>
    <row r="2762" spans="2:19" ht="15">
      <c r="B2762" s="84"/>
      <c r="D2762" s="84"/>
      <c r="E2762" s="84"/>
      <c r="F2762" s="84"/>
      <c r="G2762" s="84"/>
      <c r="R2762" s="251"/>
      <c r="S2762" s="251"/>
    </row>
    <row r="2763" spans="2:19" ht="15">
      <c r="B2763" s="84"/>
      <c r="D2763" s="84"/>
      <c r="E2763" s="84"/>
      <c r="F2763" s="84"/>
      <c r="G2763" s="84"/>
      <c r="R2763" s="251"/>
      <c r="S2763" s="251"/>
    </row>
    <row r="2764" spans="2:19" ht="15">
      <c r="B2764" s="84"/>
      <c r="D2764" s="84"/>
      <c r="E2764" s="84"/>
      <c r="F2764" s="84"/>
      <c r="G2764" s="84"/>
      <c r="R2764" s="251"/>
      <c r="S2764" s="251"/>
    </row>
    <row r="2765" spans="2:19" ht="15">
      <c r="B2765" s="84"/>
      <c r="D2765" s="84"/>
      <c r="E2765" s="84"/>
      <c r="F2765" s="84"/>
      <c r="G2765" s="84"/>
      <c r="R2765" s="251"/>
      <c r="S2765" s="251"/>
    </row>
    <row r="2766" spans="2:19" ht="15">
      <c r="B2766" s="84"/>
      <c r="D2766" s="84"/>
      <c r="E2766" s="84"/>
      <c r="F2766" s="84"/>
      <c r="G2766" s="84"/>
      <c r="R2766" s="251"/>
      <c r="S2766" s="251"/>
    </row>
    <row r="2767" spans="2:19" ht="15">
      <c r="B2767" s="84"/>
      <c r="D2767" s="84"/>
      <c r="E2767" s="84"/>
      <c r="F2767" s="84"/>
      <c r="G2767" s="84"/>
      <c r="R2767" s="251"/>
      <c r="S2767" s="251"/>
    </row>
    <row r="2768" spans="2:19" ht="15">
      <c r="B2768" s="84"/>
      <c r="D2768" s="84"/>
      <c r="E2768" s="84"/>
      <c r="F2768" s="84"/>
      <c r="G2768" s="84"/>
      <c r="R2768" s="251"/>
      <c r="S2768" s="251"/>
    </row>
    <row r="2769" spans="2:19" ht="15">
      <c r="B2769" s="84"/>
      <c r="D2769" s="84"/>
      <c r="E2769" s="84"/>
      <c r="F2769" s="84"/>
      <c r="G2769" s="84"/>
      <c r="R2769" s="251"/>
      <c r="S2769" s="251"/>
    </row>
    <row r="2770" spans="2:19" ht="15">
      <c r="B2770" s="84"/>
      <c r="D2770" s="84"/>
      <c r="E2770" s="84"/>
      <c r="F2770" s="84"/>
      <c r="G2770" s="84"/>
      <c r="R2770" s="251"/>
      <c r="S2770" s="251"/>
    </row>
    <row r="2771" spans="2:19" ht="15">
      <c r="B2771" s="84"/>
      <c r="D2771" s="84"/>
      <c r="E2771" s="84"/>
      <c r="F2771" s="84"/>
      <c r="G2771" s="84"/>
      <c r="R2771" s="251"/>
      <c r="S2771" s="251"/>
    </row>
    <row r="2772" spans="2:19" ht="15">
      <c r="B2772" s="84"/>
      <c r="D2772" s="84"/>
      <c r="E2772" s="84"/>
      <c r="F2772" s="84"/>
      <c r="G2772" s="84"/>
      <c r="R2772" s="251"/>
      <c r="S2772" s="251"/>
    </row>
    <row r="2773" spans="2:19" ht="15">
      <c r="B2773" s="84"/>
      <c r="D2773" s="84"/>
      <c r="E2773" s="84"/>
      <c r="F2773" s="84"/>
      <c r="G2773" s="84"/>
      <c r="R2773" s="251"/>
      <c r="S2773" s="251"/>
    </row>
    <row r="2774" spans="2:19" ht="15">
      <c r="B2774" s="84"/>
      <c r="D2774" s="84"/>
      <c r="E2774" s="84"/>
      <c r="F2774" s="84"/>
      <c r="G2774" s="84"/>
      <c r="R2774" s="251"/>
      <c r="S2774" s="251"/>
    </row>
    <row r="2775" spans="2:19" ht="15">
      <c r="B2775" s="84"/>
      <c r="D2775" s="84"/>
      <c r="E2775" s="84"/>
      <c r="F2775" s="84"/>
      <c r="G2775" s="84"/>
      <c r="R2775" s="251"/>
      <c r="S2775" s="251"/>
    </row>
    <row r="2776" spans="2:19" ht="15">
      <c r="B2776" s="84"/>
      <c r="D2776" s="84"/>
      <c r="E2776" s="84"/>
      <c r="F2776" s="84"/>
      <c r="G2776" s="84"/>
      <c r="R2776" s="251"/>
      <c r="S2776" s="251"/>
    </row>
    <row r="2777" spans="2:19" ht="15">
      <c r="B2777" s="84"/>
      <c r="D2777" s="84"/>
      <c r="E2777" s="84"/>
      <c r="F2777" s="84"/>
      <c r="G2777" s="84"/>
      <c r="R2777" s="251"/>
      <c r="S2777" s="251"/>
    </row>
    <row r="2778" spans="2:19" ht="15">
      <c r="B2778" s="84"/>
      <c r="D2778" s="84"/>
      <c r="E2778" s="84"/>
      <c r="F2778" s="84"/>
      <c r="G2778" s="84"/>
      <c r="R2778" s="251"/>
      <c r="S2778" s="251"/>
    </row>
    <row r="2779" spans="2:19" ht="15">
      <c r="B2779" s="84"/>
      <c r="D2779" s="84"/>
      <c r="E2779" s="84"/>
      <c r="F2779" s="84"/>
      <c r="G2779" s="84"/>
      <c r="R2779" s="251"/>
      <c r="S2779" s="251"/>
    </row>
    <row r="2780" spans="2:19" ht="15">
      <c r="B2780" s="84"/>
      <c r="D2780" s="84"/>
      <c r="E2780" s="84"/>
      <c r="F2780" s="84"/>
      <c r="G2780" s="84"/>
      <c r="R2780" s="251"/>
      <c r="S2780" s="251"/>
    </row>
    <row r="2781" spans="2:19" ht="15">
      <c r="B2781" s="84"/>
      <c r="D2781" s="84"/>
      <c r="E2781" s="84"/>
      <c r="F2781" s="84"/>
      <c r="G2781" s="84"/>
      <c r="R2781" s="251"/>
      <c r="S2781" s="251"/>
    </row>
    <row r="2782" spans="2:19" ht="15">
      <c r="B2782" s="84"/>
      <c r="D2782" s="84"/>
      <c r="E2782" s="84"/>
      <c r="F2782" s="84"/>
      <c r="G2782" s="84"/>
      <c r="R2782" s="251"/>
      <c r="S2782" s="251"/>
    </row>
    <row r="2783" spans="2:19" ht="15">
      <c r="B2783" s="84"/>
      <c r="D2783" s="84"/>
      <c r="E2783" s="84"/>
      <c r="F2783" s="84"/>
      <c r="G2783" s="84"/>
      <c r="R2783" s="251"/>
      <c r="S2783" s="251"/>
    </row>
    <row r="2784" spans="2:19" ht="15">
      <c r="B2784" s="84"/>
      <c r="D2784" s="84"/>
      <c r="E2784" s="84"/>
      <c r="F2784" s="84"/>
      <c r="G2784" s="84"/>
      <c r="R2784" s="251"/>
      <c r="S2784" s="251"/>
    </row>
    <row r="2785" spans="2:19" ht="15">
      <c r="B2785" s="84"/>
      <c r="D2785" s="84"/>
      <c r="E2785" s="84"/>
      <c r="F2785" s="84"/>
      <c r="G2785" s="84"/>
      <c r="R2785" s="251"/>
      <c r="S2785" s="251"/>
    </row>
    <row r="2786" spans="2:19" ht="15">
      <c r="B2786" s="84"/>
      <c r="D2786" s="84"/>
      <c r="E2786" s="84"/>
      <c r="F2786" s="84"/>
      <c r="G2786" s="84"/>
      <c r="R2786" s="251"/>
      <c r="S2786" s="251"/>
    </row>
    <row r="2787" spans="2:19" ht="15">
      <c r="B2787" s="84"/>
      <c r="D2787" s="84"/>
      <c r="E2787" s="84"/>
      <c r="F2787" s="84"/>
      <c r="G2787" s="84"/>
      <c r="R2787" s="251"/>
      <c r="S2787" s="251"/>
    </row>
    <row r="2788" spans="2:19" ht="15">
      <c r="B2788" s="84"/>
      <c r="D2788" s="84"/>
      <c r="E2788" s="84"/>
      <c r="F2788" s="84"/>
      <c r="G2788" s="84"/>
      <c r="R2788" s="251"/>
      <c r="S2788" s="251"/>
    </row>
    <row r="2789" spans="2:19" ht="15">
      <c r="B2789" s="84"/>
      <c r="D2789" s="84"/>
      <c r="E2789" s="84"/>
      <c r="F2789" s="84"/>
      <c r="G2789" s="84"/>
      <c r="R2789" s="251"/>
      <c r="S2789" s="251"/>
    </row>
    <row r="2790" spans="2:19" ht="15">
      <c r="B2790" s="84"/>
      <c r="D2790" s="84"/>
      <c r="E2790" s="84"/>
      <c r="F2790" s="84"/>
      <c r="G2790" s="84"/>
      <c r="R2790" s="251"/>
      <c r="S2790" s="251"/>
    </row>
    <row r="2791" spans="2:19" ht="15">
      <c r="B2791" s="84"/>
      <c r="D2791" s="84"/>
      <c r="E2791" s="84"/>
      <c r="F2791" s="84"/>
      <c r="G2791" s="84"/>
      <c r="R2791" s="251"/>
      <c r="S2791" s="251"/>
    </row>
    <row r="2792" spans="2:19" ht="15">
      <c r="B2792" s="84"/>
      <c r="D2792" s="84"/>
      <c r="E2792" s="84"/>
      <c r="F2792" s="84"/>
      <c r="G2792" s="84"/>
      <c r="R2792" s="251"/>
      <c r="S2792" s="251"/>
    </row>
    <row r="2793" spans="2:19" ht="15">
      <c r="B2793" s="84"/>
      <c r="D2793" s="84"/>
      <c r="E2793" s="84"/>
      <c r="F2793" s="84"/>
      <c r="G2793" s="84"/>
      <c r="R2793" s="251"/>
      <c r="S2793" s="251"/>
    </row>
    <row r="2794" spans="2:19" ht="15">
      <c r="B2794" s="84"/>
      <c r="D2794" s="84"/>
      <c r="E2794" s="84"/>
      <c r="F2794" s="84"/>
      <c r="G2794" s="84"/>
      <c r="R2794" s="251"/>
      <c r="S2794" s="251"/>
    </row>
    <row r="2795" spans="2:19" ht="15">
      <c r="B2795" s="84"/>
      <c r="D2795" s="84"/>
      <c r="E2795" s="84"/>
      <c r="F2795" s="84"/>
      <c r="G2795" s="84"/>
      <c r="R2795" s="251"/>
      <c r="S2795" s="251"/>
    </row>
    <row r="2796" spans="2:19" ht="15">
      <c r="B2796" s="84"/>
      <c r="D2796" s="84"/>
      <c r="E2796" s="84"/>
      <c r="F2796" s="84"/>
      <c r="G2796" s="84"/>
      <c r="R2796" s="251"/>
      <c r="S2796" s="251"/>
    </row>
    <row r="2797" spans="2:19" ht="15">
      <c r="B2797" s="84"/>
      <c r="D2797" s="84"/>
      <c r="E2797" s="84"/>
      <c r="F2797" s="84"/>
      <c r="G2797" s="84"/>
      <c r="R2797" s="251"/>
      <c r="S2797" s="251"/>
    </row>
    <row r="2798" spans="2:19" ht="15">
      <c r="B2798" s="84"/>
      <c r="D2798" s="84"/>
      <c r="E2798" s="84"/>
      <c r="F2798" s="84"/>
      <c r="G2798" s="84"/>
      <c r="R2798" s="251"/>
      <c r="S2798" s="251"/>
    </row>
    <row r="2799" spans="2:19" ht="15">
      <c r="B2799" s="84"/>
      <c r="D2799" s="84"/>
      <c r="E2799" s="84"/>
      <c r="F2799" s="84"/>
      <c r="G2799" s="84"/>
      <c r="R2799" s="251"/>
      <c r="S2799" s="251"/>
    </row>
    <row r="2800" spans="2:19" ht="15">
      <c r="B2800" s="84"/>
      <c r="D2800" s="84"/>
      <c r="E2800" s="84"/>
      <c r="F2800" s="84"/>
      <c r="G2800" s="84"/>
      <c r="R2800" s="251"/>
      <c r="S2800" s="251"/>
    </row>
    <row r="2801" spans="2:19" ht="15">
      <c r="B2801" s="84"/>
      <c r="D2801" s="84"/>
      <c r="E2801" s="84"/>
      <c r="F2801" s="84"/>
      <c r="G2801" s="84"/>
      <c r="R2801" s="251"/>
      <c r="S2801" s="251"/>
    </row>
    <row r="2802" spans="2:19" ht="15">
      <c r="B2802" s="84"/>
      <c r="D2802" s="84"/>
      <c r="E2802" s="84"/>
      <c r="F2802" s="84"/>
      <c r="G2802" s="84"/>
      <c r="R2802" s="251"/>
      <c r="S2802" s="251"/>
    </row>
    <row r="2803" spans="2:19" ht="15">
      <c r="B2803" s="84"/>
      <c r="D2803" s="84"/>
      <c r="E2803" s="84"/>
      <c r="F2803" s="84"/>
      <c r="G2803" s="84"/>
      <c r="R2803" s="251"/>
      <c r="S2803" s="251"/>
    </row>
    <row r="2804" spans="2:19" ht="15">
      <c r="B2804" s="84"/>
      <c r="D2804" s="84"/>
      <c r="E2804" s="84"/>
      <c r="F2804" s="84"/>
      <c r="G2804" s="84"/>
      <c r="R2804" s="251"/>
      <c r="S2804" s="251"/>
    </row>
    <row r="2805" spans="2:19" ht="15">
      <c r="B2805" s="84"/>
      <c r="D2805" s="84"/>
      <c r="E2805" s="84"/>
      <c r="F2805" s="84"/>
      <c r="G2805" s="84"/>
      <c r="R2805" s="251"/>
      <c r="S2805" s="251"/>
    </row>
    <row r="2806" spans="2:19" ht="15">
      <c r="B2806" s="84"/>
      <c r="D2806" s="84"/>
      <c r="E2806" s="84"/>
      <c r="F2806" s="84"/>
      <c r="G2806" s="84"/>
      <c r="R2806" s="251"/>
      <c r="S2806" s="251"/>
    </row>
    <row r="2807" spans="2:19" ht="15">
      <c r="B2807" s="84"/>
      <c r="D2807" s="84"/>
      <c r="E2807" s="84"/>
      <c r="F2807" s="84"/>
      <c r="G2807" s="84"/>
      <c r="R2807" s="251"/>
      <c r="S2807" s="251"/>
    </row>
    <row r="2808" spans="2:19" ht="15">
      <c r="B2808" s="84"/>
      <c r="D2808" s="84"/>
      <c r="E2808" s="84"/>
      <c r="F2808" s="84"/>
      <c r="G2808" s="84"/>
      <c r="R2808" s="251"/>
      <c r="S2808" s="251"/>
    </row>
    <row r="2809" spans="2:19" ht="15">
      <c r="B2809" s="84"/>
      <c r="D2809" s="84"/>
      <c r="E2809" s="84"/>
      <c r="F2809" s="84"/>
      <c r="G2809" s="84"/>
      <c r="R2809" s="251"/>
      <c r="S2809" s="251"/>
    </row>
    <row r="2810" spans="2:19" ht="15">
      <c r="B2810" s="84"/>
      <c r="D2810" s="84"/>
      <c r="E2810" s="84"/>
      <c r="F2810" s="84"/>
      <c r="G2810" s="84"/>
      <c r="R2810" s="251"/>
      <c r="S2810" s="251"/>
    </row>
    <row r="2811" spans="2:19" ht="15">
      <c r="B2811" s="84"/>
      <c r="D2811" s="84"/>
      <c r="E2811" s="84"/>
      <c r="F2811" s="84"/>
      <c r="G2811" s="84"/>
      <c r="R2811" s="251"/>
      <c r="S2811" s="251"/>
    </row>
    <row r="2812" spans="2:19" ht="15">
      <c r="B2812" s="84"/>
      <c r="D2812" s="84"/>
      <c r="E2812" s="84"/>
      <c r="F2812" s="84"/>
      <c r="G2812" s="84"/>
      <c r="R2812" s="251"/>
      <c r="S2812" s="251"/>
    </row>
    <row r="2813" spans="2:19" ht="15">
      <c r="B2813" s="84"/>
      <c r="D2813" s="84"/>
      <c r="E2813" s="84"/>
      <c r="F2813" s="84"/>
      <c r="G2813" s="84"/>
      <c r="R2813" s="251"/>
      <c r="S2813" s="251"/>
    </row>
    <row r="2814" spans="2:19" ht="15">
      <c r="B2814" s="84"/>
      <c r="D2814" s="84"/>
      <c r="E2814" s="84"/>
      <c r="F2814" s="84"/>
      <c r="G2814" s="84"/>
      <c r="R2814" s="251"/>
      <c r="S2814" s="251"/>
    </row>
    <row r="2815" spans="2:19" ht="15">
      <c r="B2815" s="84"/>
      <c r="D2815" s="84"/>
      <c r="E2815" s="84"/>
      <c r="F2815" s="84"/>
      <c r="G2815" s="84"/>
      <c r="R2815" s="251"/>
      <c r="S2815" s="251"/>
    </row>
    <row r="2816" spans="2:19" ht="15">
      <c r="B2816" s="84"/>
      <c r="D2816" s="84"/>
      <c r="E2816" s="84"/>
      <c r="F2816" s="84"/>
      <c r="G2816" s="84"/>
      <c r="R2816" s="251"/>
      <c r="S2816" s="251"/>
    </row>
    <row r="2817" spans="2:19" ht="15">
      <c r="B2817" s="84"/>
      <c r="D2817" s="84"/>
      <c r="E2817" s="84"/>
      <c r="F2817" s="84"/>
      <c r="G2817" s="84"/>
      <c r="R2817" s="251"/>
      <c r="S2817" s="251"/>
    </row>
    <row r="2818" spans="2:19" ht="15">
      <c r="B2818" s="84"/>
      <c r="D2818" s="84"/>
      <c r="E2818" s="84"/>
      <c r="F2818" s="84"/>
      <c r="G2818" s="84"/>
      <c r="R2818" s="251"/>
      <c r="S2818" s="251"/>
    </row>
    <row r="2819" spans="2:19" ht="15">
      <c r="B2819" s="84"/>
      <c r="D2819" s="84"/>
      <c r="E2819" s="84"/>
      <c r="F2819" s="84"/>
      <c r="G2819" s="84"/>
      <c r="R2819" s="251"/>
      <c r="S2819" s="251"/>
    </row>
    <row r="2820" spans="2:19" ht="15">
      <c r="B2820" s="84"/>
      <c r="D2820" s="84"/>
      <c r="E2820" s="84"/>
      <c r="F2820" s="84"/>
      <c r="G2820" s="84"/>
      <c r="R2820" s="251"/>
      <c r="S2820" s="251"/>
    </row>
    <row r="2821" spans="2:19" ht="15">
      <c r="B2821" s="84"/>
      <c r="D2821" s="84"/>
      <c r="E2821" s="84"/>
      <c r="F2821" s="84"/>
      <c r="G2821" s="84"/>
      <c r="R2821" s="251"/>
      <c r="S2821" s="251"/>
    </row>
    <row r="2822" spans="2:19" ht="15">
      <c r="B2822" s="84"/>
      <c r="D2822" s="84"/>
      <c r="E2822" s="84"/>
      <c r="F2822" s="84"/>
      <c r="G2822" s="84"/>
      <c r="R2822" s="251"/>
      <c r="S2822" s="251"/>
    </row>
    <row r="2823" spans="2:19" ht="15">
      <c r="B2823" s="84"/>
      <c r="D2823" s="84"/>
      <c r="E2823" s="84"/>
      <c r="F2823" s="84"/>
      <c r="G2823" s="84"/>
      <c r="R2823" s="251"/>
      <c r="S2823" s="251"/>
    </row>
    <row r="2824" spans="2:19" ht="15">
      <c r="B2824" s="84"/>
      <c r="D2824" s="84"/>
      <c r="E2824" s="84"/>
      <c r="F2824" s="84"/>
      <c r="G2824" s="84"/>
      <c r="R2824" s="251"/>
      <c r="S2824" s="251"/>
    </row>
    <row r="2825" spans="2:19" ht="15">
      <c r="B2825" s="84"/>
      <c r="D2825" s="84"/>
      <c r="E2825" s="84"/>
      <c r="F2825" s="84"/>
      <c r="G2825" s="84"/>
      <c r="R2825" s="251"/>
      <c r="S2825" s="251"/>
    </row>
    <row r="2826" spans="2:19" ht="15">
      <c r="B2826" s="84"/>
      <c r="D2826" s="84"/>
      <c r="E2826" s="84"/>
      <c r="F2826" s="84"/>
      <c r="G2826" s="84"/>
      <c r="R2826" s="251"/>
      <c r="S2826" s="251"/>
    </row>
    <row r="2827" spans="2:19" ht="15">
      <c r="B2827" s="84"/>
      <c r="D2827" s="84"/>
      <c r="E2827" s="84"/>
      <c r="F2827" s="84"/>
      <c r="G2827" s="84"/>
      <c r="R2827" s="251"/>
      <c r="S2827" s="251"/>
    </row>
    <row r="2828" spans="2:19" ht="15">
      <c r="B2828" s="84"/>
      <c r="D2828" s="84"/>
      <c r="E2828" s="84"/>
      <c r="F2828" s="84"/>
      <c r="G2828" s="84"/>
      <c r="R2828" s="251"/>
      <c r="S2828" s="251"/>
    </row>
    <row r="2829" spans="2:19" ht="15">
      <c r="B2829" s="84"/>
      <c r="D2829" s="84"/>
      <c r="E2829" s="84"/>
      <c r="F2829" s="84"/>
      <c r="G2829" s="84"/>
      <c r="R2829" s="251"/>
      <c r="S2829" s="251"/>
    </row>
    <row r="2830" spans="2:19" ht="15">
      <c r="B2830" s="84"/>
      <c r="D2830" s="84"/>
      <c r="E2830" s="84"/>
      <c r="F2830" s="84"/>
      <c r="G2830" s="84"/>
      <c r="R2830" s="251"/>
      <c r="S2830" s="251"/>
    </row>
    <row r="2831" spans="2:19" ht="15">
      <c r="B2831" s="84"/>
      <c r="D2831" s="84"/>
      <c r="E2831" s="84"/>
      <c r="F2831" s="84"/>
      <c r="G2831" s="84"/>
      <c r="R2831" s="251"/>
      <c r="S2831" s="251"/>
    </row>
    <row r="2832" spans="2:19" ht="15">
      <c r="B2832" s="84"/>
      <c r="D2832" s="84"/>
      <c r="E2832" s="84"/>
      <c r="F2832" s="84"/>
      <c r="G2832" s="84"/>
      <c r="R2832" s="251"/>
      <c r="S2832" s="251"/>
    </row>
    <row r="2833" spans="2:19" ht="15">
      <c r="B2833" s="84"/>
      <c r="D2833" s="84"/>
      <c r="E2833" s="84"/>
      <c r="F2833" s="84"/>
      <c r="G2833" s="84"/>
      <c r="R2833" s="251"/>
      <c r="S2833" s="251"/>
    </row>
    <row r="2834" spans="2:19" ht="15">
      <c r="B2834" s="84"/>
      <c r="D2834" s="84"/>
      <c r="E2834" s="84"/>
      <c r="F2834" s="84"/>
      <c r="G2834" s="84"/>
      <c r="R2834" s="251"/>
      <c r="S2834" s="251"/>
    </row>
    <row r="2835" spans="2:19" ht="15">
      <c r="B2835" s="84"/>
      <c r="D2835" s="84"/>
      <c r="E2835" s="84"/>
      <c r="F2835" s="84"/>
      <c r="G2835" s="84"/>
      <c r="R2835" s="251"/>
      <c r="S2835" s="251"/>
    </row>
    <row r="2836" spans="2:19" ht="15">
      <c r="B2836" s="84"/>
      <c r="D2836" s="84"/>
      <c r="E2836" s="84"/>
      <c r="F2836" s="84"/>
      <c r="G2836" s="84"/>
      <c r="R2836" s="251"/>
      <c r="S2836" s="251"/>
    </row>
    <row r="2837" spans="2:19" ht="15">
      <c r="B2837" s="84"/>
      <c r="D2837" s="84"/>
      <c r="E2837" s="84"/>
      <c r="F2837" s="84"/>
      <c r="G2837" s="84"/>
      <c r="R2837" s="251"/>
      <c r="S2837" s="251"/>
    </row>
    <row r="2838" spans="2:19" ht="15">
      <c r="B2838" s="84"/>
      <c r="D2838" s="84"/>
      <c r="E2838" s="84"/>
      <c r="F2838" s="84"/>
      <c r="G2838" s="84"/>
      <c r="R2838" s="251"/>
      <c r="S2838" s="251"/>
    </row>
    <row r="2839" spans="2:19" ht="15">
      <c r="B2839" s="84"/>
      <c r="D2839" s="84"/>
      <c r="E2839" s="84"/>
      <c r="F2839" s="84"/>
      <c r="G2839" s="84"/>
      <c r="R2839" s="251"/>
      <c r="S2839" s="251"/>
    </row>
    <row r="2840" spans="2:19" ht="15">
      <c r="B2840" s="84"/>
      <c r="D2840" s="84"/>
      <c r="E2840" s="84"/>
      <c r="F2840" s="84"/>
      <c r="G2840" s="84"/>
      <c r="R2840" s="251"/>
      <c r="S2840" s="251"/>
    </row>
    <row r="2841" spans="2:19" ht="15">
      <c r="B2841" s="84"/>
      <c r="D2841" s="84"/>
      <c r="E2841" s="84"/>
      <c r="F2841" s="84"/>
      <c r="G2841" s="84"/>
      <c r="R2841" s="251"/>
      <c r="S2841" s="251"/>
    </row>
    <row r="2842" spans="2:19" ht="15">
      <c r="B2842" s="84"/>
      <c r="D2842" s="84"/>
      <c r="E2842" s="84"/>
      <c r="F2842" s="84"/>
      <c r="G2842" s="84"/>
      <c r="R2842" s="251"/>
      <c r="S2842" s="251"/>
    </row>
    <row r="2843" spans="2:19" ht="15">
      <c r="B2843" s="84"/>
      <c r="D2843" s="84"/>
      <c r="E2843" s="84"/>
      <c r="F2843" s="84"/>
      <c r="G2843" s="84"/>
      <c r="R2843" s="251"/>
      <c r="S2843" s="251"/>
    </row>
    <row r="2844" spans="2:19" ht="15">
      <c r="B2844" s="84"/>
      <c r="D2844" s="84"/>
      <c r="E2844" s="84"/>
      <c r="F2844" s="84"/>
      <c r="G2844" s="84"/>
      <c r="R2844" s="251"/>
      <c r="S2844" s="251"/>
    </row>
    <row r="2845" spans="2:19" ht="15">
      <c r="B2845" s="84"/>
      <c r="D2845" s="84"/>
      <c r="E2845" s="84"/>
      <c r="F2845" s="84"/>
      <c r="G2845" s="84"/>
      <c r="R2845" s="251"/>
      <c r="S2845" s="251"/>
    </row>
    <row r="2846" spans="2:19" ht="15">
      <c r="B2846" s="84"/>
      <c r="D2846" s="84"/>
      <c r="E2846" s="84"/>
      <c r="F2846" s="84"/>
      <c r="G2846" s="84"/>
      <c r="R2846" s="251"/>
      <c r="S2846" s="251"/>
    </row>
    <row r="2847" spans="2:19" ht="15">
      <c r="B2847" s="84"/>
      <c r="D2847" s="84"/>
      <c r="E2847" s="84"/>
      <c r="F2847" s="84"/>
      <c r="G2847" s="84"/>
      <c r="R2847" s="251"/>
      <c r="S2847" s="251"/>
    </row>
    <row r="2848" spans="2:19" ht="15">
      <c r="B2848" s="84"/>
      <c r="D2848" s="84"/>
      <c r="E2848" s="84"/>
      <c r="F2848" s="84"/>
      <c r="G2848" s="84"/>
      <c r="R2848" s="251"/>
      <c r="S2848" s="251"/>
    </row>
    <row r="2849" spans="2:19" ht="15">
      <c r="B2849" s="84"/>
      <c r="D2849" s="84"/>
      <c r="E2849" s="84"/>
      <c r="F2849" s="84"/>
      <c r="G2849" s="84"/>
      <c r="R2849" s="251"/>
      <c r="S2849" s="251"/>
    </row>
    <row r="2850" spans="2:19" ht="15">
      <c r="B2850" s="84"/>
      <c r="D2850" s="84"/>
      <c r="E2850" s="84"/>
      <c r="F2850" s="84"/>
      <c r="G2850" s="84"/>
      <c r="R2850" s="251"/>
      <c r="S2850" s="251"/>
    </row>
    <row r="2851" spans="2:19" ht="15">
      <c r="B2851" s="84"/>
      <c r="D2851" s="84"/>
      <c r="E2851" s="84"/>
      <c r="F2851" s="84"/>
      <c r="G2851" s="84"/>
      <c r="R2851" s="251"/>
      <c r="S2851" s="251"/>
    </row>
    <row r="2852" spans="2:19" ht="15">
      <c r="B2852" s="84"/>
      <c r="D2852" s="84"/>
      <c r="E2852" s="84"/>
      <c r="F2852" s="84"/>
      <c r="G2852" s="84"/>
      <c r="R2852" s="251"/>
      <c r="S2852" s="251"/>
    </row>
    <row r="2853" spans="2:19" ht="15">
      <c r="B2853" s="84"/>
      <c r="D2853" s="84"/>
      <c r="E2853" s="84"/>
      <c r="F2853" s="84"/>
      <c r="G2853" s="84"/>
      <c r="R2853" s="251"/>
      <c r="S2853" s="251"/>
    </row>
    <row r="2854" spans="2:19" ht="15">
      <c r="B2854" s="84"/>
      <c r="D2854" s="84"/>
      <c r="E2854" s="84"/>
      <c r="F2854" s="84"/>
      <c r="G2854" s="84"/>
      <c r="R2854" s="251"/>
      <c r="S2854" s="251"/>
    </row>
    <row r="2855" spans="2:19" ht="15">
      <c r="B2855" s="84"/>
      <c r="D2855" s="84"/>
      <c r="E2855" s="84"/>
      <c r="F2855" s="84"/>
      <c r="G2855" s="84"/>
      <c r="R2855" s="251"/>
      <c r="S2855" s="251"/>
    </row>
    <row r="2856" spans="2:19" ht="15">
      <c r="B2856" s="84"/>
      <c r="D2856" s="84"/>
      <c r="E2856" s="84"/>
      <c r="F2856" s="84"/>
      <c r="G2856" s="84"/>
      <c r="R2856" s="251"/>
      <c r="S2856" s="251"/>
    </row>
    <row r="2857" spans="2:19" ht="15">
      <c r="B2857" s="84"/>
      <c r="D2857" s="84"/>
      <c r="E2857" s="84"/>
      <c r="F2857" s="84"/>
      <c r="G2857" s="84"/>
      <c r="R2857" s="251"/>
      <c r="S2857" s="251"/>
    </row>
    <row r="2858" spans="2:19" ht="15">
      <c r="B2858" s="84"/>
      <c r="D2858" s="84"/>
      <c r="E2858" s="84"/>
      <c r="F2858" s="84"/>
      <c r="G2858" s="84"/>
      <c r="R2858" s="251"/>
      <c r="S2858" s="251"/>
    </row>
    <row r="2859" spans="2:19" ht="15">
      <c r="B2859" s="84"/>
      <c r="D2859" s="84"/>
      <c r="E2859" s="84"/>
      <c r="F2859" s="84"/>
      <c r="G2859" s="84"/>
      <c r="R2859" s="251"/>
      <c r="S2859" s="251"/>
    </row>
    <row r="2860" spans="2:19" ht="15">
      <c r="B2860" s="84"/>
      <c r="D2860" s="84"/>
      <c r="E2860" s="84"/>
      <c r="F2860" s="84"/>
      <c r="G2860" s="84"/>
      <c r="R2860" s="251"/>
      <c r="S2860" s="251"/>
    </row>
    <row r="2861" spans="2:19" ht="15">
      <c r="B2861" s="84"/>
      <c r="D2861" s="84"/>
      <c r="E2861" s="84"/>
      <c r="F2861" s="84"/>
      <c r="G2861" s="84"/>
      <c r="R2861" s="251"/>
      <c r="S2861" s="251"/>
    </row>
    <row r="2862" spans="2:19" ht="15">
      <c r="B2862" s="84"/>
      <c r="D2862" s="84"/>
      <c r="E2862" s="84"/>
      <c r="F2862" s="84"/>
      <c r="G2862" s="84"/>
      <c r="R2862" s="251"/>
      <c r="S2862" s="251"/>
    </row>
    <row r="2863" spans="2:19" ht="15">
      <c r="B2863" s="84"/>
      <c r="D2863" s="84"/>
      <c r="E2863" s="84"/>
      <c r="F2863" s="84"/>
      <c r="G2863" s="84"/>
      <c r="R2863" s="251"/>
      <c r="S2863" s="251"/>
    </row>
    <row r="2864" spans="2:19" ht="15">
      <c r="B2864" s="84"/>
      <c r="D2864" s="84"/>
      <c r="E2864" s="84"/>
      <c r="F2864" s="84"/>
      <c r="G2864" s="84"/>
      <c r="R2864" s="251"/>
      <c r="S2864" s="251"/>
    </row>
    <row r="2865" spans="2:19" ht="15">
      <c r="B2865" s="84"/>
      <c r="D2865" s="84"/>
      <c r="E2865" s="84"/>
      <c r="F2865" s="84"/>
      <c r="G2865" s="84"/>
      <c r="R2865" s="251"/>
      <c r="S2865" s="251"/>
    </row>
    <row r="2866" spans="2:19" ht="15">
      <c r="B2866" s="84"/>
      <c r="D2866" s="84"/>
      <c r="E2866" s="84"/>
      <c r="F2866" s="84"/>
      <c r="G2866" s="84"/>
      <c r="R2866" s="251"/>
      <c r="S2866" s="251"/>
    </row>
    <row r="2867" spans="2:19" ht="15">
      <c r="B2867" s="84"/>
      <c r="D2867" s="84"/>
      <c r="E2867" s="84"/>
      <c r="F2867" s="84"/>
      <c r="G2867" s="84"/>
      <c r="R2867" s="251"/>
      <c r="S2867" s="251"/>
    </row>
    <row r="2868" spans="2:19" ht="15">
      <c r="B2868" s="84"/>
      <c r="D2868" s="84"/>
      <c r="E2868" s="84"/>
      <c r="F2868" s="84"/>
      <c r="G2868" s="84"/>
      <c r="R2868" s="251"/>
      <c r="S2868" s="251"/>
    </row>
    <row r="2869" spans="2:19" ht="15">
      <c r="B2869" s="84"/>
      <c r="D2869" s="84"/>
      <c r="E2869" s="84"/>
      <c r="F2869" s="84"/>
      <c r="G2869" s="84"/>
      <c r="R2869" s="251"/>
      <c r="S2869" s="251"/>
    </row>
    <row r="2870" spans="2:19" ht="15">
      <c r="B2870" s="84"/>
      <c r="D2870" s="84"/>
      <c r="E2870" s="84"/>
      <c r="F2870" s="84"/>
      <c r="G2870" s="84"/>
      <c r="R2870" s="251"/>
      <c r="S2870" s="251"/>
    </row>
    <row r="2871" spans="2:19" ht="15">
      <c r="B2871" s="84"/>
      <c r="D2871" s="84"/>
      <c r="E2871" s="84"/>
      <c r="F2871" s="84"/>
      <c r="G2871" s="84"/>
      <c r="R2871" s="251"/>
      <c r="S2871" s="251"/>
    </row>
    <row r="2872" spans="2:19" ht="15">
      <c r="B2872" s="84"/>
      <c r="D2872" s="84"/>
      <c r="E2872" s="84"/>
      <c r="F2872" s="84"/>
      <c r="G2872" s="84"/>
      <c r="R2872" s="251"/>
      <c r="S2872" s="251"/>
    </row>
    <row r="2873" spans="2:19" ht="15">
      <c r="B2873" s="84"/>
      <c r="D2873" s="84"/>
      <c r="E2873" s="84"/>
      <c r="F2873" s="84"/>
      <c r="G2873" s="84"/>
      <c r="R2873" s="251"/>
      <c r="S2873" s="251"/>
    </row>
    <row r="2874" spans="2:19" ht="15">
      <c r="B2874" s="84"/>
      <c r="D2874" s="84"/>
      <c r="E2874" s="84"/>
      <c r="F2874" s="84"/>
      <c r="G2874" s="84"/>
      <c r="R2874" s="251"/>
      <c r="S2874" s="251"/>
    </row>
    <row r="2875" spans="2:19" ht="15">
      <c r="B2875" s="84"/>
      <c r="D2875" s="84"/>
      <c r="E2875" s="84"/>
      <c r="F2875" s="84"/>
      <c r="G2875" s="84"/>
      <c r="R2875" s="251"/>
      <c r="S2875" s="251"/>
    </row>
    <row r="2876" spans="2:19" ht="15">
      <c r="B2876" s="84"/>
      <c r="D2876" s="84"/>
      <c r="E2876" s="84"/>
      <c r="F2876" s="84"/>
      <c r="G2876" s="84"/>
      <c r="R2876" s="251"/>
      <c r="S2876" s="251"/>
    </row>
    <row r="2877" spans="2:19" ht="15">
      <c r="B2877" s="84"/>
      <c r="D2877" s="84"/>
      <c r="E2877" s="84"/>
      <c r="F2877" s="84"/>
      <c r="G2877" s="84"/>
      <c r="R2877" s="251"/>
      <c r="S2877" s="251"/>
    </row>
    <row r="2878" spans="2:19" ht="15">
      <c r="B2878" s="84"/>
      <c r="D2878" s="84"/>
      <c r="E2878" s="84"/>
      <c r="F2878" s="84"/>
      <c r="G2878" s="84"/>
      <c r="R2878" s="251"/>
      <c r="S2878" s="251"/>
    </row>
    <row r="2879" spans="2:19" ht="15">
      <c r="B2879" s="84"/>
      <c r="D2879" s="84"/>
      <c r="E2879" s="84"/>
      <c r="F2879" s="84"/>
      <c r="G2879" s="84"/>
      <c r="R2879" s="251"/>
      <c r="S2879" s="251"/>
    </row>
    <row r="2880" spans="2:19" ht="15">
      <c r="B2880" s="84"/>
      <c r="D2880" s="84"/>
      <c r="E2880" s="84"/>
      <c r="F2880" s="84"/>
      <c r="G2880" s="84"/>
      <c r="R2880" s="251"/>
      <c r="S2880" s="251"/>
    </row>
    <row r="2881" spans="2:19" ht="15">
      <c r="B2881" s="84"/>
      <c r="D2881" s="84"/>
      <c r="E2881" s="84"/>
      <c r="F2881" s="84"/>
      <c r="G2881" s="84"/>
      <c r="R2881" s="251"/>
      <c r="S2881" s="251"/>
    </row>
    <row r="2882" spans="2:19" ht="15">
      <c r="B2882" s="84"/>
      <c r="D2882" s="84"/>
      <c r="E2882" s="84"/>
      <c r="F2882" s="84"/>
      <c r="G2882" s="84"/>
      <c r="R2882" s="251"/>
      <c r="S2882" s="251"/>
    </row>
    <row r="2883" spans="2:19" ht="15">
      <c r="B2883" s="84"/>
      <c r="D2883" s="84"/>
      <c r="E2883" s="84"/>
      <c r="F2883" s="84"/>
      <c r="G2883" s="84"/>
      <c r="R2883" s="251"/>
      <c r="S2883" s="251"/>
    </row>
    <row r="2884" spans="2:19" ht="15">
      <c r="B2884" s="84"/>
      <c r="D2884" s="84"/>
      <c r="E2884" s="84"/>
      <c r="F2884" s="84"/>
      <c r="G2884" s="84"/>
      <c r="R2884" s="251"/>
      <c r="S2884" s="251"/>
    </row>
    <row r="2885" spans="2:19" ht="15">
      <c r="B2885" s="84"/>
      <c r="D2885" s="84"/>
      <c r="E2885" s="84"/>
      <c r="F2885" s="84"/>
      <c r="G2885" s="84"/>
      <c r="R2885" s="251"/>
      <c r="S2885" s="251"/>
    </row>
    <row r="2886" spans="2:19" ht="15">
      <c r="B2886" s="84"/>
      <c r="D2886" s="84"/>
      <c r="E2886" s="84"/>
      <c r="F2886" s="84"/>
      <c r="G2886" s="84"/>
      <c r="R2886" s="251"/>
      <c r="S2886" s="251"/>
    </row>
    <row r="2887" spans="2:19" ht="15">
      <c r="B2887" s="84"/>
      <c r="D2887" s="84"/>
      <c r="E2887" s="84"/>
      <c r="F2887" s="84"/>
      <c r="G2887" s="84"/>
      <c r="R2887" s="251"/>
      <c r="S2887" s="251"/>
    </row>
    <row r="2888" spans="2:19" ht="15">
      <c r="B2888" s="84"/>
      <c r="D2888" s="84"/>
      <c r="E2888" s="84"/>
      <c r="F2888" s="84"/>
      <c r="G2888" s="84"/>
      <c r="R2888" s="251"/>
      <c r="S2888" s="251"/>
    </row>
    <row r="2889" spans="2:19" ht="15">
      <c r="B2889" s="84"/>
      <c r="D2889" s="84"/>
      <c r="E2889" s="84"/>
      <c r="F2889" s="84"/>
      <c r="G2889" s="84"/>
      <c r="R2889" s="251"/>
      <c r="S2889" s="251"/>
    </row>
    <row r="2890" spans="2:19" ht="15">
      <c r="B2890" s="84"/>
      <c r="D2890" s="84"/>
      <c r="E2890" s="84"/>
      <c r="F2890" s="84"/>
      <c r="G2890" s="84"/>
      <c r="R2890" s="251"/>
      <c r="S2890" s="251"/>
    </row>
    <row r="2891" spans="2:19" ht="15">
      <c r="B2891" s="84"/>
      <c r="D2891" s="84"/>
      <c r="E2891" s="84"/>
      <c r="F2891" s="84"/>
      <c r="G2891" s="84"/>
      <c r="R2891" s="251"/>
      <c r="S2891" s="251"/>
    </row>
    <row r="2892" spans="2:19" ht="15">
      <c r="B2892" s="84"/>
      <c r="D2892" s="84"/>
      <c r="E2892" s="84"/>
      <c r="F2892" s="84"/>
      <c r="G2892" s="84"/>
      <c r="R2892" s="251"/>
      <c r="S2892" s="251"/>
    </row>
    <row r="2893" spans="2:19" ht="15">
      <c r="B2893" s="84"/>
      <c r="D2893" s="84"/>
      <c r="E2893" s="84"/>
      <c r="F2893" s="84"/>
      <c r="G2893" s="84"/>
      <c r="R2893" s="251"/>
      <c r="S2893" s="251"/>
    </row>
    <row r="2894" spans="2:19" ht="15">
      <c r="B2894" s="84"/>
      <c r="D2894" s="84"/>
      <c r="E2894" s="84"/>
      <c r="F2894" s="84"/>
      <c r="G2894" s="84"/>
      <c r="R2894" s="251"/>
      <c r="S2894" s="251"/>
    </row>
    <row r="2895" spans="2:19" ht="15">
      <c r="B2895" s="84"/>
      <c r="D2895" s="84"/>
      <c r="E2895" s="84"/>
      <c r="F2895" s="84"/>
      <c r="G2895" s="84"/>
      <c r="R2895" s="251"/>
      <c r="S2895" s="251"/>
    </row>
    <row r="2896" spans="2:19" ht="15">
      <c r="B2896" s="84"/>
      <c r="D2896" s="84"/>
      <c r="E2896" s="84"/>
      <c r="F2896" s="84"/>
      <c r="G2896" s="84"/>
      <c r="R2896" s="251"/>
      <c r="S2896" s="251"/>
    </row>
    <row r="2897" spans="2:19" ht="15">
      <c r="B2897" s="84"/>
      <c r="D2897" s="84"/>
      <c r="E2897" s="84"/>
      <c r="F2897" s="84"/>
      <c r="G2897" s="84"/>
      <c r="R2897" s="251"/>
      <c r="S2897" s="251"/>
    </row>
    <row r="2898" spans="2:19" ht="15">
      <c r="B2898" s="84"/>
      <c r="D2898" s="84"/>
      <c r="E2898" s="84"/>
      <c r="F2898" s="84"/>
      <c r="G2898" s="84"/>
      <c r="R2898" s="251"/>
      <c r="S2898" s="251"/>
    </row>
    <row r="2899" spans="2:19" ht="15">
      <c r="B2899" s="84"/>
      <c r="D2899" s="84"/>
      <c r="E2899" s="84"/>
      <c r="F2899" s="84"/>
      <c r="G2899" s="84"/>
      <c r="R2899" s="251"/>
      <c r="S2899" s="251"/>
    </row>
    <row r="2900" spans="2:19" ht="15">
      <c r="B2900" s="84"/>
      <c r="D2900" s="84"/>
      <c r="E2900" s="84"/>
      <c r="F2900" s="84"/>
      <c r="G2900" s="84"/>
      <c r="R2900" s="251"/>
      <c r="S2900" s="251"/>
    </row>
    <row r="2901" spans="2:19" ht="15">
      <c r="B2901" s="84"/>
      <c r="D2901" s="84"/>
      <c r="E2901" s="84"/>
      <c r="F2901" s="84"/>
      <c r="G2901" s="84"/>
      <c r="R2901" s="251"/>
      <c r="S2901" s="251"/>
    </row>
    <row r="2902" spans="2:19" ht="15">
      <c r="B2902" s="84"/>
      <c r="D2902" s="84"/>
      <c r="E2902" s="84"/>
      <c r="F2902" s="84"/>
      <c r="G2902" s="84"/>
      <c r="R2902" s="251"/>
      <c r="S2902" s="251"/>
    </row>
    <row r="2903" spans="2:19" ht="15">
      <c r="B2903" s="84"/>
      <c r="D2903" s="84"/>
      <c r="E2903" s="84"/>
      <c r="F2903" s="84"/>
      <c r="G2903" s="84"/>
      <c r="R2903" s="251"/>
      <c r="S2903" s="251"/>
    </row>
    <row r="2904" spans="2:19" ht="15">
      <c r="B2904" s="84"/>
      <c r="D2904" s="84"/>
      <c r="E2904" s="84"/>
      <c r="F2904" s="84"/>
      <c r="G2904" s="84"/>
      <c r="R2904" s="251"/>
      <c r="S2904" s="251"/>
    </row>
    <row r="2905" spans="2:19" ht="15">
      <c r="B2905" s="84"/>
      <c r="D2905" s="84"/>
      <c r="E2905" s="84"/>
      <c r="F2905" s="84"/>
      <c r="G2905" s="84"/>
      <c r="R2905" s="251"/>
      <c r="S2905" s="251"/>
    </row>
    <row r="2906" spans="2:19" ht="15">
      <c r="B2906" s="84"/>
      <c r="D2906" s="84"/>
      <c r="E2906" s="84"/>
      <c r="F2906" s="84"/>
      <c r="G2906" s="84"/>
      <c r="R2906" s="251"/>
      <c r="S2906" s="251"/>
    </row>
    <row r="2907" spans="2:19" ht="15">
      <c r="B2907" s="84"/>
      <c r="D2907" s="84"/>
      <c r="E2907" s="84"/>
      <c r="F2907" s="84"/>
      <c r="G2907" s="84"/>
      <c r="R2907" s="251"/>
      <c r="S2907" s="251"/>
    </row>
    <row r="2908" spans="2:19" ht="15">
      <c r="B2908" s="84"/>
      <c r="D2908" s="84"/>
      <c r="E2908" s="84"/>
      <c r="F2908" s="84"/>
      <c r="G2908" s="84"/>
      <c r="R2908" s="251"/>
      <c r="S2908" s="251"/>
    </row>
    <row r="2909" spans="2:19" ht="15">
      <c r="B2909" s="84"/>
      <c r="D2909" s="84"/>
      <c r="E2909" s="84"/>
      <c r="F2909" s="84"/>
      <c r="G2909" s="84"/>
      <c r="R2909" s="251"/>
      <c r="S2909" s="251"/>
    </row>
    <row r="2910" spans="2:19" ht="15">
      <c r="B2910" s="84"/>
      <c r="D2910" s="84"/>
      <c r="E2910" s="84"/>
      <c r="F2910" s="84"/>
      <c r="G2910" s="84"/>
      <c r="R2910" s="251"/>
      <c r="S2910" s="251"/>
    </row>
    <row r="2911" spans="2:19" ht="15">
      <c r="B2911" s="84"/>
      <c r="D2911" s="84"/>
      <c r="E2911" s="84"/>
      <c r="F2911" s="84"/>
      <c r="G2911" s="84"/>
      <c r="R2911" s="251"/>
      <c r="S2911" s="251"/>
    </row>
    <row r="2912" spans="2:19" ht="15">
      <c r="B2912" s="84"/>
      <c r="D2912" s="84"/>
      <c r="E2912" s="84"/>
      <c r="F2912" s="84"/>
      <c r="G2912" s="84"/>
      <c r="R2912" s="251"/>
      <c r="S2912" s="251"/>
    </row>
    <row r="2913" spans="2:19" ht="15">
      <c r="B2913" s="84"/>
      <c r="D2913" s="84"/>
      <c r="E2913" s="84"/>
      <c r="F2913" s="84"/>
      <c r="G2913" s="84"/>
      <c r="R2913" s="251"/>
      <c r="S2913" s="251"/>
    </row>
    <row r="2914" spans="2:19" ht="15">
      <c r="B2914" s="84"/>
      <c r="D2914" s="84"/>
      <c r="E2914" s="84"/>
      <c r="F2914" s="84"/>
      <c r="G2914" s="84"/>
      <c r="R2914" s="251"/>
      <c r="S2914" s="251"/>
    </row>
    <row r="2915" spans="2:19" ht="15">
      <c r="B2915" s="84"/>
      <c r="D2915" s="84"/>
      <c r="E2915" s="84"/>
      <c r="F2915" s="84"/>
      <c r="G2915" s="84"/>
      <c r="R2915" s="251"/>
      <c r="S2915" s="251"/>
    </row>
    <row r="2916" spans="2:19" ht="15">
      <c r="B2916" s="84"/>
      <c r="D2916" s="84"/>
      <c r="E2916" s="84"/>
      <c r="F2916" s="84"/>
      <c r="G2916" s="84"/>
      <c r="R2916" s="251"/>
      <c r="S2916" s="251"/>
    </row>
    <row r="2917" spans="2:19" ht="15">
      <c r="B2917" s="84"/>
      <c r="D2917" s="84"/>
      <c r="E2917" s="84"/>
      <c r="F2917" s="84"/>
      <c r="G2917" s="84"/>
      <c r="R2917" s="251"/>
      <c r="S2917" s="251"/>
    </row>
    <row r="2918" spans="2:19" ht="15">
      <c r="B2918" s="84"/>
      <c r="D2918" s="84"/>
      <c r="E2918" s="84"/>
      <c r="F2918" s="84"/>
      <c r="G2918" s="84"/>
      <c r="R2918" s="251"/>
      <c r="S2918" s="251"/>
    </row>
    <row r="2919" spans="2:19" ht="15">
      <c r="B2919" s="84"/>
      <c r="D2919" s="84"/>
      <c r="E2919" s="84"/>
      <c r="F2919" s="84"/>
      <c r="G2919" s="84"/>
      <c r="R2919" s="251"/>
      <c r="S2919" s="251"/>
    </row>
    <row r="2920" spans="2:19" ht="15">
      <c r="B2920" s="84"/>
      <c r="D2920" s="84"/>
      <c r="E2920" s="84"/>
      <c r="F2920" s="84"/>
      <c r="G2920" s="84"/>
      <c r="R2920" s="251"/>
      <c r="S2920" s="251"/>
    </row>
    <row r="2921" spans="2:19" ht="15">
      <c r="B2921" s="84"/>
      <c r="D2921" s="84"/>
      <c r="E2921" s="84"/>
      <c r="F2921" s="84"/>
      <c r="G2921" s="84"/>
      <c r="R2921" s="251"/>
      <c r="S2921" s="251"/>
    </row>
    <row r="2922" spans="2:19" ht="15">
      <c r="B2922" s="84"/>
      <c r="D2922" s="84"/>
      <c r="E2922" s="84"/>
      <c r="F2922" s="84"/>
      <c r="G2922" s="84"/>
      <c r="R2922" s="251"/>
      <c r="S2922" s="251"/>
    </row>
    <row r="2923" spans="2:19" ht="15">
      <c r="B2923" s="84"/>
      <c r="D2923" s="84"/>
      <c r="E2923" s="84"/>
      <c r="F2923" s="84"/>
      <c r="G2923" s="84"/>
      <c r="R2923" s="251"/>
      <c r="S2923" s="251"/>
    </row>
    <row r="2924" spans="2:19" ht="15">
      <c r="B2924" s="84"/>
      <c r="D2924" s="84"/>
      <c r="E2924" s="84"/>
      <c r="F2924" s="84"/>
      <c r="G2924" s="84"/>
      <c r="R2924" s="251"/>
      <c r="S2924" s="251"/>
    </row>
    <row r="2925" spans="2:19" ht="15">
      <c r="B2925" s="84"/>
      <c r="D2925" s="84"/>
      <c r="E2925" s="84"/>
      <c r="F2925" s="84"/>
      <c r="G2925" s="84"/>
      <c r="R2925" s="251"/>
      <c r="S2925" s="251"/>
    </row>
    <row r="2926" spans="2:19" ht="15">
      <c r="B2926" s="84"/>
      <c r="D2926" s="84"/>
      <c r="E2926" s="84"/>
      <c r="F2926" s="84"/>
      <c r="G2926" s="84"/>
      <c r="R2926" s="251"/>
      <c r="S2926" s="251"/>
    </row>
    <row r="2927" spans="2:19" ht="15">
      <c r="B2927" s="84"/>
      <c r="D2927" s="84"/>
      <c r="E2927" s="84"/>
      <c r="F2927" s="84"/>
      <c r="G2927" s="84"/>
      <c r="R2927" s="251"/>
      <c r="S2927" s="251"/>
    </row>
    <row r="2928" spans="2:19" ht="15">
      <c r="B2928" s="84"/>
      <c r="D2928" s="84"/>
      <c r="E2928" s="84"/>
      <c r="F2928" s="84"/>
      <c r="G2928" s="84"/>
      <c r="R2928" s="251"/>
      <c r="S2928" s="251"/>
    </row>
    <row r="2929" spans="2:19" ht="15">
      <c r="B2929" s="84"/>
      <c r="D2929" s="84"/>
      <c r="E2929" s="84"/>
      <c r="F2929" s="84"/>
      <c r="G2929" s="84"/>
      <c r="R2929" s="251"/>
      <c r="S2929" s="251"/>
    </row>
    <row r="2930" spans="2:19" ht="15">
      <c r="B2930" s="84"/>
      <c r="D2930" s="84"/>
      <c r="E2930" s="84"/>
      <c r="F2930" s="84"/>
      <c r="G2930" s="84"/>
      <c r="R2930" s="251"/>
      <c r="S2930" s="251"/>
    </row>
    <row r="2931" spans="2:19" ht="15">
      <c r="B2931" s="84"/>
      <c r="D2931" s="84"/>
      <c r="E2931" s="84"/>
      <c r="F2931" s="84"/>
      <c r="G2931" s="84"/>
      <c r="R2931" s="251"/>
      <c r="S2931" s="251"/>
    </row>
    <row r="2932" spans="2:19" ht="15">
      <c r="B2932" s="84"/>
      <c r="D2932" s="84"/>
      <c r="E2932" s="84"/>
      <c r="F2932" s="84"/>
      <c r="G2932" s="84"/>
      <c r="R2932" s="251"/>
      <c r="S2932" s="251"/>
    </row>
    <row r="2933" spans="2:19" ht="15">
      <c r="B2933" s="84"/>
      <c r="D2933" s="84"/>
      <c r="E2933" s="84"/>
      <c r="F2933" s="84"/>
      <c r="G2933" s="84"/>
      <c r="R2933" s="251"/>
      <c r="S2933" s="251"/>
    </row>
    <row r="2934" spans="2:19" ht="15">
      <c r="B2934" s="84"/>
      <c r="D2934" s="84"/>
      <c r="E2934" s="84"/>
      <c r="F2934" s="84"/>
      <c r="G2934" s="84"/>
      <c r="R2934" s="251"/>
      <c r="S2934" s="251"/>
    </row>
    <row r="2935" spans="2:19" ht="15">
      <c r="B2935" s="84"/>
      <c r="D2935" s="84"/>
      <c r="E2935" s="84"/>
      <c r="F2935" s="84"/>
      <c r="G2935" s="84"/>
      <c r="R2935" s="251"/>
      <c r="S2935" s="251"/>
    </row>
    <row r="2936" spans="2:19" ht="15">
      <c r="B2936" s="84"/>
      <c r="D2936" s="84"/>
      <c r="E2936" s="84"/>
      <c r="F2936" s="84"/>
      <c r="G2936" s="84"/>
      <c r="R2936" s="251"/>
      <c r="S2936" s="251"/>
    </row>
    <row r="2937" spans="2:19" ht="15">
      <c r="B2937" s="84"/>
      <c r="D2937" s="84"/>
      <c r="E2937" s="84"/>
      <c r="F2937" s="84"/>
      <c r="G2937" s="84"/>
      <c r="R2937" s="251"/>
      <c r="S2937" s="251"/>
    </row>
    <row r="2938" spans="2:19" ht="15">
      <c r="B2938" s="84"/>
      <c r="D2938" s="84"/>
      <c r="E2938" s="84"/>
      <c r="F2938" s="84"/>
      <c r="G2938" s="84"/>
      <c r="R2938" s="251"/>
      <c r="S2938" s="251"/>
    </row>
    <row r="2939" spans="2:19" ht="15">
      <c r="B2939" s="84"/>
      <c r="D2939" s="84"/>
      <c r="E2939" s="84"/>
      <c r="F2939" s="84"/>
      <c r="G2939" s="84"/>
      <c r="R2939" s="251"/>
      <c r="S2939" s="251"/>
    </row>
    <row r="2940" spans="2:19" ht="15">
      <c r="B2940" s="84"/>
      <c r="D2940" s="84"/>
      <c r="E2940" s="84"/>
      <c r="F2940" s="84"/>
      <c r="G2940" s="84"/>
      <c r="R2940" s="251"/>
      <c r="S2940" s="251"/>
    </row>
    <row r="2941" spans="2:19" ht="15">
      <c r="B2941" s="84"/>
      <c r="D2941" s="84"/>
      <c r="E2941" s="84"/>
      <c r="F2941" s="84"/>
      <c r="G2941" s="84"/>
      <c r="R2941" s="251"/>
      <c r="S2941" s="251"/>
    </row>
    <row r="2942" spans="2:19" ht="15">
      <c r="B2942" s="84"/>
      <c r="D2942" s="84"/>
      <c r="E2942" s="84"/>
      <c r="F2942" s="84"/>
      <c r="G2942" s="84"/>
      <c r="R2942" s="251"/>
      <c r="S2942" s="251"/>
    </row>
    <row r="2943" spans="2:19" ht="15">
      <c r="B2943" s="84"/>
      <c r="D2943" s="84"/>
      <c r="E2943" s="84"/>
      <c r="F2943" s="84"/>
      <c r="G2943" s="84"/>
      <c r="R2943" s="251"/>
      <c r="S2943" s="251"/>
    </row>
    <row r="2944" spans="2:19" ht="15">
      <c r="B2944" s="84"/>
      <c r="D2944" s="84"/>
      <c r="E2944" s="84"/>
      <c r="F2944" s="84"/>
      <c r="G2944" s="84"/>
      <c r="R2944" s="251"/>
      <c r="S2944" s="251"/>
    </row>
    <row r="2945" spans="2:19" ht="15">
      <c r="B2945" s="84"/>
      <c r="D2945" s="84"/>
      <c r="E2945" s="84"/>
      <c r="F2945" s="84"/>
      <c r="G2945" s="84"/>
      <c r="R2945" s="251"/>
      <c r="S2945" s="251"/>
    </row>
    <row r="2946" spans="2:19" ht="15">
      <c r="B2946" s="84"/>
      <c r="D2946" s="84"/>
      <c r="E2946" s="84"/>
      <c r="F2946" s="84"/>
      <c r="G2946" s="84"/>
      <c r="R2946" s="251"/>
      <c r="S2946" s="251"/>
    </row>
    <row r="2947" spans="2:19" ht="15">
      <c r="B2947" s="84"/>
      <c r="D2947" s="84"/>
      <c r="E2947" s="84"/>
      <c r="F2947" s="84"/>
      <c r="G2947" s="84"/>
      <c r="R2947" s="251"/>
      <c r="S2947" s="251"/>
    </row>
    <row r="2948" spans="2:19" ht="15">
      <c r="B2948" s="84"/>
      <c r="D2948" s="84"/>
      <c r="E2948" s="84"/>
      <c r="F2948" s="84"/>
      <c r="G2948" s="84"/>
      <c r="R2948" s="251"/>
      <c r="S2948" s="251"/>
    </row>
    <row r="2949" spans="2:19" ht="15">
      <c r="B2949" s="84"/>
      <c r="D2949" s="84"/>
      <c r="E2949" s="84"/>
      <c r="F2949" s="84"/>
      <c r="G2949" s="84"/>
      <c r="R2949" s="251"/>
      <c r="S2949" s="251"/>
    </row>
    <row r="2950" spans="2:19" ht="15">
      <c r="B2950" s="84"/>
      <c r="D2950" s="84"/>
      <c r="E2950" s="84"/>
      <c r="F2950" s="84"/>
      <c r="G2950" s="84"/>
      <c r="R2950" s="251"/>
      <c r="S2950" s="251"/>
    </row>
    <row r="2951" spans="2:19" ht="15">
      <c r="B2951" s="84"/>
      <c r="D2951" s="84"/>
      <c r="E2951" s="84"/>
      <c r="F2951" s="84"/>
      <c r="G2951" s="84"/>
      <c r="R2951" s="251"/>
      <c r="S2951" s="251"/>
    </row>
    <row r="2952" spans="2:19" ht="15">
      <c r="B2952" s="84"/>
      <c r="D2952" s="84"/>
      <c r="E2952" s="84"/>
      <c r="F2952" s="84"/>
      <c r="G2952" s="84"/>
      <c r="R2952" s="251"/>
      <c r="S2952" s="251"/>
    </row>
    <row r="2953" spans="2:19" ht="15">
      <c r="B2953" s="84"/>
      <c r="D2953" s="84"/>
      <c r="E2953" s="84"/>
      <c r="F2953" s="84"/>
      <c r="G2953" s="84"/>
      <c r="R2953" s="251"/>
      <c r="S2953" s="251"/>
    </row>
    <row r="2954" spans="2:19" ht="15">
      <c r="B2954" s="84"/>
      <c r="D2954" s="84"/>
      <c r="E2954" s="84"/>
      <c r="F2954" s="84"/>
      <c r="G2954" s="84"/>
      <c r="R2954" s="251"/>
      <c r="S2954" s="251"/>
    </row>
    <row r="2955" spans="2:19" ht="15">
      <c r="B2955" s="84"/>
      <c r="D2955" s="84"/>
      <c r="E2955" s="84"/>
      <c r="F2955" s="84"/>
      <c r="G2955" s="84"/>
      <c r="R2955" s="251"/>
      <c r="S2955" s="251"/>
    </row>
    <row r="2956" spans="2:19" ht="15">
      <c r="B2956" s="84"/>
      <c r="D2956" s="84"/>
      <c r="E2956" s="84"/>
      <c r="F2956" s="84"/>
      <c r="G2956" s="84"/>
      <c r="R2956" s="251"/>
      <c r="S2956" s="251"/>
    </row>
    <row r="2957" spans="2:19" ht="15">
      <c r="B2957" s="84"/>
      <c r="D2957" s="84"/>
      <c r="E2957" s="84"/>
      <c r="F2957" s="84"/>
      <c r="G2957" s="84"/>
      <c r="R2957" s="251"/>
      <c r="S2957" s="251"/>
    </row>
    <row r="2958" spans="2:19" ht="15">
      <c r="B2958" s="84"/>
      <c r="D2958" s="84"/>
      <c r="E2958" s="84"/>
      <c r="F2958" s="84"/>
      <c r="G2958" s="84"/>
      <c r="R2958" s="251"/>
      <c r="S2958" s="251"/>
    </row>
    <row r="2959" spans="2:19" ht="15">
      <c r="B2959" s="84"/>
      <c r="D2959" s="84"/>
      <c r="E2959" s="84"/>
      <c r="F2959" s="84"/>
      <c r="G2959" s="84"/>
      <c r="R2959" s="251"/>
      <c r="S2959" s="251"/>
    </row>
    <row r="2960" spans="2:19" ht="15">
      <c r="B2960" s="84"/>
      <c r="D2960" s="84"/>
      <c r="E2960" s="84"/>
      <c r="F2960" s="84"/>
      <c r="G2960" s="84"/>
      <c r="R2960" s="251"/>
      <c r="S2960" s="251"/>
    </row>
    <row r="2961" spans="2:19" ht="15">
      <c r="B2961" s="84"/>
      <c r="D2961" s="84"/>
      <c r="E2961" s="84"/>
      <c r="F2961" s="84"/>
      <c r="G2961" s="84"/>
      <c r="R2961" s="251"/>
      <c r="S2961" s="251"/>
    </row>
    <row r="2962" spans="2:19" ht="15">
      <c r="B2962" s="84"/>
      <c r="D2962" s="84"/>
      <c r="E2962" s="84"/>
      <c r="F2962" s="84"/>
      <c r="G2962" s="84"/>
      <c r="R2962" s="251"/>
      <c r="S2962" s="251"/>
    </row>
    <row r="2963" spans="2:19" ht="15">
      <c r="B2963" s="84"/>
      <c r="D2963" s="84"/>
      <c r="E2963" s="84"/>
      <c r="F2963" s="84"/>
      <c r="G2963" s="84"/>
      <c r="R2963" s="251"/>
      <c r="S2963" s="251"/>
    </row>
    <row r="2964" spans="2:19" ht="15">
      <c r="B2964" s="84"/>
      <c r="D2964" s="84"/>
      <c r="E2964" s="84"/>
      <c r="F2964" s="84"/>
      <c r="G2964" s="84"/>
      <c r="R2964" s="251"/>
      <c r="S2964" s="251"/>
    </row>
    <row r="2965" spans="2:19" ht="15">
      <c r="B2965" s="84"/>
      <c r="D2965" s="84"/>
      <c r="E2965" s="84"/>
      <c r="F2965" s="84"/>
      <c r="G2965" s="84"/>
      <c r="R2965" s="251"/>
      <c r="S2965" s="251"/>
    </row>
    <row r="2966" spans="2:19" ht="15">
      <c r="B2966" s="84"/>
      <c r="D2966" s="84"/>
      <c r="E2966" s="84"/>
      <c r="F2966" s="84"/>
      <c r="G2966" s="84"/>
      <c r="R2966" s="251"/>
      <c r="S2966" s="251"/>
    </row>
    <row r="2967" spans="2:19" ht="15">
      <c r="B2967" s="84"/>
      <c r="D2967" s="84"/>
      <c r="E2967" s="84"/>
      <c r="F2967" s="84"/>
      <c r="G2967" s="84"/>
      <c r="R2967" s="251"/>
      <c r="S2967" s="251"/>
    </row>
    <row r="2968" spans="2:19" ht="15">
      <c r="B2968" s="84"/>
      <c r="D2968" s="84"/>
      <c r="E2968" s="84"/>
      <c r="F2968" s="84"/>
      <c r="G2968" s="84"/>
      <c r="R2968" s="251"/>
      <c r="S2968" s="251"/>
    </row>
    <row r="2969" spans="2:19" ht="15">
      <c r="B2969" s="84"/>
      <c r="D2969" s="84"/>
      <c r="E2969" s="84"/>
      <c r="F2969" s="84"/>
      <c r="G2969" s="84"/>
      <c r="R2969" s="251"/>
      <c r="S2969" s="251"/>
    </row>
    <row r="2970" spans="2:19" ht="15">
      <c r="B2970" s="84"/>
      <c r="D2970" s="84"/>
      <c r="E2970" s="84"/>
      <c r="F2970" s="84"/>
      <c r="G2970" s="84"/>
      <c r="R2970" s="251"/>
      <c r="S2970" s="251"/>
    </row>
    <row r="2971" spans="2:19" ht="15">
      <c r="B2971" s="84"/>
      <c r="D2971" s="84"/>
      <c r="E2971" s="84"/>
      <c r="F2971" s="84"/>
      <c r="G2971" s="84"/>
      <c r="R2971" s="251"/>
      <c r="S2971" s="251"/>
    </row>
    <row r="2972" spans="2:19" ht="15">
      <c r="B2972" s="84"/>
      <c r="D2972" s="84"/>
      <c r="E2972" s="84"/>
      <c r="F2972" s="84"/>
      <c r="G2972" s="84"/>
      <c r="R2972" s="251"/>
      <c r="S2972" s="251"/>
    </row>
    <row r="2973" spans="2:19" ht="15">
      <c r="B2973" s="84"/>
      <c r="D2973" s="84"/>
      <c r="E2973" s="84"/>
      <c r="F2973" s="84"/>
      <c r="G2973" s="84"/>
      <c r="R2973" s="251"/>
      <c r="S2973" s="251"/>
    </row>
    <row r="2974" spans="2:19" ht="15">
      <c r="B2974" s="84"/>
      <c r="D2974" s="84"/>
      <c r="E2974" s="84"/>
      <c r="F2974" s="84"/>
      <c r="G2974" s="84"/>
      <c r="R2974" s="251"/>
      <c r="S2974" s="251"/>
    </row>
    <row r="2975" spans="2:19" ht="15">
      <c r="B2975" s="84"/>
      <c r="D2975" s="84"/>
      <c r="E2975" s="84"/>
      <c r="F2975" s="84"/>
      <c r="G2975" s="84"/>
      <c r="R2975" s="251"/>
      <c r="S2975" s="251"/>
    </row>
    <row r="2976" spans="2:19" ht="15">
      <c r="B2976" s="84"/>
      <c r="D2976" s="84"/>
      <c r="E2976" s="84"/>
      <c r="F2976" s="84"/>
      <c r="G2976" s="84"/>
      <c r="R2976" s="251"/>
      <c r="S2976" s="251"/>
    </row>
    <row r="2977" spans="2:19" ht="15">
      <c r="B2977" s="84"/>
      <c r="D2977" s="84"/>
      <c r="E2977" s="84"/>
      <c r="F2977" s="84"/>
      <c r="G2977" s="84"/>
      <c r="R2977" s="251"/>
      <c r="S2977" s="251"/>
    </row>
    <row r="2978" spans="2:19" ht="15">
      <c r="B2978" s="84"/>
      <c r="D2978" s="84"/>
      <c r="E2978" s="84"/>
      <c r="F2978" s="84"/>
      <c r="G2978" s="84"/>
      <c r="R2978" s="251"/>
      <c r="S2978" s="251"/>
    </row>
    <row r="2979" spans="2:19" ht="15">
      <c r="B2979" s="84"/>
      <c r="D2979" s="84"/>
      <c r="E2979" s="84"/>
      <c r="F2979" s="84"/>
      <c r="G2979" s="84"/>
      <c r="R2979" s="251"/>
      <c r="S2979" s="251"/>
    </row>
    <row r="2980" spans="2:19" ht="15">
      <c r="B2980" s="84"/>
      <c r="D2980" s="84"/>
      <c r="E2980" s="84"/>
      <c r="F2980" s="84"/>
      <c r="G2980" s="84"/>
      <c r="R2980" s="251"/>
      <c r="S2980" s="251"/>
    </row>
    <row r="2981" spans="2:19" ht="15">
      <c r="B2981" s="84"/>
      <c r="D2981" s="84"/>
      <c r="E2981" s="84"/>
      <c r="F2981" s="84"/>
      <c r="G2981" s="84"/>
      <c r="R2981" s="251"/>
      <c r="S2981" s="251"/>
    </row>
    <row r="2982" spans="2:19" ht="15">
      <c r="B2982" s="84"/>
      <c r="D2982" s="84"/>
      <c r="E2982" s="84"/>
      <c r="F2982" s="84"/>
      <c r="G2982" s="84"/>
      <c r="R2982" s="251"/>
      <c r="S2982" s="251"/>
    </row>
    <row r="2983" spans="2:19" ht="15">
      <c r="B2983" s="84"/>
      <c r="D2983" s="84"/>
      <c r="E2983" s="84"/>
      <c r="F2983" s="84"/>
      <c r="G2983" s="84"/>
      <c r="R2983" s="251"/>
      <c r="S2983" s="251"/>
    </row>
    <row r="2984" spans="2:19" ht="15">
      <c r="B2984" s="84"/>
      <c r="D2984" s="84"/>
      <c r="E2984" s="84"/>
      <c r="F2984" s="84"/>
      <c r="G2984" s="84"/>
      <c r="R2984" s="251"/>
      <c r="S2984" s="251"/>
    </row>
    <row r="2985" spans="2:19" ht="15">
      <c r="B2985" s="84"/>
      <c r="D2985" s="84"/>
      <c r="E2985" s="84"/>
      <c r="F2985" s="84"/>
      <c r="G2985" s="84"/>
      <c r="R2985" s="251"/>
      <c r="S2985" s="251"/>
    </row>
    <row r="2986" spans="2:19" ht="15">
      <c r="B2986" s="84"/>
      <c r="D2986" s="84"/>
      <c r="E2986" s="84"/>
      <c r="F2986" s="84"/>
      <c r="G2986" s="84"/>
      <c r="R2986" s="251"/>
      <c r="S2986" s="251"/>
    </row>
    <row r="2987" spans="2:19" ht="15">
      <c r="B2987" s="84"/>
      <c r="D2987" s="84"/>
      <c r="E2987" s="84"/>
      <c r="F2987" s="84"/>
      <c r="G2987" s="84"/>
      <c r="R2987" s="251"/>
      <c r="S2987" s="251"/>
    </row>
    <row r="2988" spans="2:19" ht="15">
      <c r="B2988" s="84"/>
      <c r="D2988" s="84"/>
      <c r="E2988" s="84"/>
      <c r="F2988" s="84"/>
      <c r="G2988" s="84"/>
      <c r="R2988" s="251"/>
      <c r="S2988" s="251"/>
    </row>
    <row r="2989" spans="2:19" ht="15">
      <c r="B2989" s="84"/>
      <c r="D2989" s="84"/>
      <c r="E2989" s="84"/>
      <c r="F2989" s="84"/>
      <c r="G2989" s="84"/>
      <c r="R2989" s="251"/>
      <c r="S2989" s="251"/>
    </row>
    <row r="2990" spans="2:19" ht="15">
      <c r="B2990" s="84"/>
      <c r="D2990" s="84"/>
      <c r="E2990" s="84"/>
      <c r="F2990" s="84"/>
      <c r="G2990" s="84"/>
      <c r="R2990" s="251"/>
      <c r="S2990" s="251"/>
    </row>
    <row r="2991" spans="2:19" ht="15">
      <c r="B2991" s="84"/>
      <c r="D2991" s="84"/>
      <c r="E2991" s="84"/>
      <c r="F2991" s="84"/>
      <c r="G2991" s="84"/>
      <c r="R2991" s="251"/>
      <c r="S2991" s="251"/>
    </row>
    <row r="2992" spans="2:19" ht="15">
      <c r="B2992" s="84"/>
      <c r="D2992" s="84"/>
      <c r="E2992" s="84"/>
      <c r="F2992" s="84"/>
      <c r="G2992" s="84"/>
      <c r="R2992" s="251"/>
      <c r="S2992" s="251"/>
    </row>
    <row r="2993" spans="2:19" ht="15">
      <c r="B2993" s="84"/>
      <c r="D2993" s="84"/>
      <c r="E2993" s="84"/>
      <c r="F2993" s="84"/>
      <c r="G2993" s="84"/>
      <c r="R2993" s="251"/>
      <c r="S2993" s="251"/>
    </row>
    <row r="2994" spans="2:19" ht="15">
      <c r="B2994" s="84"/>
      <c r="D2994" s="84"/>
      <c r="E2994" s="84"/>
      <c r="F2994" s="84"/>
      <c r="G2994" s="84"/>
      <c r="R2994" s="251"/>
      <c r="S2994" s="251"/>
    </row>
    <row r="2995" spans="2:19" ht="15">
      <c r="B2995" s="84"/>
      <c r="D2995" s="84"/>
      <c r="E2995" s="84"/>
      <c r="F2995" s="84"/>
      <c r="G2995" s="84"/>
      <c r="R2995" s="251"/>
      <c r="S2995" s="251"/>
    </row>
    <row r="2996" spans="2:19" ht="15">
      <c r="B2996" s="84"/>
      <c r="D2996" s="84"/>
      <c r="E2996" s="84"/>
      <c r="F2996" s="84"/>
      <c r="G2996" s="84"/>
      <c r="R2996" s="251"/>
      <c r="S2996" s="251"/>
    </row>
    <row r="2997" spans="2:19" ht="15">
      <c r="B2997" s="84"/>
      <c r="D2997" s="84"/>
      <c r="E2997" s="84"/>
      <c r="F2997" s="84"/>
      <c r="G2997" s="84"/>
      <c r="R2997" s="251"/>
      <c r="S2997" s="251"/>
    </row>
    <row r="2998" spans="2:19" ht="15">
      <c r="B2998" s="84"/>
      <c r="D2998" s="84"/>
      <c r="E2998" s="84"/>
      <c r="F2998" s="84"/>
      <c r="G2998" s="84"/>
      <c r="R2998" s="251"/>
      <c r="S2998" s="251"/>
    </row>
    <row r="2999" spans="2:19" ht="15">
      <c r="B2999" s="84"/>
      <c r="D2999" s="84"/>
      <c r="E2999" s="84"/>
      <c r="F2999" s="84"/>
      <c r="G2999" s="84"/>
      <c r="R2999" s="251"/>
      <c r="S2999" s="251"/>
    </row>
    <row r="3000" spans="2:19" ht="15">
      <c r="B3000" s="84"/>
      <c r="D3000" s="84"/>
      <c r="E3000" s="84"/>
      <c r="F3000" s="84"/>
      <c r="G3000" s="84"/>
      <c r="R3000" s="251"/>
      <c r="S3000" s="251"/>
    </row>
    <row r="3001" spans="2:19" ht="15">
      <c r="B3001" s="84"/>
      <c r="D3001" s="84"/>
      <c r="E3001" s="84"/>
      <c r="F3001" s="84"/>
      <c r="G3001" s="84"/>
      <c r="R3001" s="251"/>
      <c r="S3001" s="251"/>
    </row>
    <row r="3002" spans="2:19" ht="15">
      <c r="B3002" s="84"/>
      <c r="D3002" s="84"/>
      <c r="E3002" s="84"/>
      <c r="F3002" s="84"/>
      <c r="G3002" s="84"/>
      <c r="R3002" s="251"/>
      <c r="S3002" s="251"/>
    </row>
    <row r="3003" spans="2:19" ht="15">
      <c r="B3003" s="84"/>
      <c r="D3003" s="84"/>
      <c r="E3003" s="84"/>
      <c r="F3003" s="84"/>
      <c r="G3003" s="84"/>
      <c r="R3003" s="251"/>
      <c r="S3003" s="251"/>
    </row>
    <row r="3004" spans="2:19" ht="15">
      <c r="B3004" s="84"/>
      <c r="D3004" s="84"/>
      <c r="E3004" s="84"/>
      <c r="F3004" s="84"/>
      <c r="G3004" s="84"/>
      <c r="R3004" s="251"/>
      <c r="S3004" s="251"/>
    </row>
    <row r="3005" spans="2:19" ht="15">
      <c r="B3005" s="84"/>
      <c r="D3005" s="84"/>
      <c r="E3005" s="84"/>
      <c r="F3005" s="84"/>
      <c r="G3005" s="84"/>
      <c r="R3005" s="251"/>
      <c r="S3005" s="251"/>
    </row>
    <row r="3006" spans="2:19" ht="15">
      <c r="B3006" s="84"/>
      <c r="D3006" s="84"/>
      <c r="E3006" s="84"/>
      <c r="F3006" s="84"/>
      <c r="G3006" s="84"/>
      <c r="R3006" s="251"/>
      <c r="S3006" s="251"/>
    </row>
    <row r="3007" spans="2:19" ht="15">
      <c r="B3007" s="84"/>
      <c r="D3007" s="84"/>
      <c r="E3007" s="84"/>
      <c r="F3007" s="84"/>
      <c r="G3007" s="84"/>
      <c r="R3007" s="251"/>
      <c r="S3007" s="251"/>
    </row>
    <row r="3008" spans="2:19" ht="15">
      <c r="B3008" s="84"/>
      <c r="D3008" s="84"/>
      <c r="E3008" s="84"/>
      <c r="F3008" s="84"/>
      <c r="G3008" s="84"/>
      <c r="R3008" s="251"/>
      <c r="S3008" s="251"/>
    </row>
    <row r="3009" spans="2:19" ht="15">
      <c r="B3009" s="84"/>
      <c r="D3009" s="84"/>
      <c r="E3009" s="84"/>
      <c r="F3009" s="84"/>
      <c r="G3009" s="84"/>
      <c r="R3009" s="251"/>
      <c r="S3009" s="251"/>
    </row>
    <row r="3010" spans="2:19" ht="15">
      <c r="B3010" s="84"/>
      <c r="D3010" s="84"/>
      <c r="E3010" s="84"/>
      <c r="F3010" s="84"/>
      <c r="G3010" s="84"/>
      <c r="R3010" s="251"/>
      <c r="S3010" s="251"/>
    </row>
    <row r="3011" spans="2:19" ht="15">
      <c r="B3011" s="84"/>
      <c r="D3011" s="84"/>
      <c r="E3011" s="84"/>
      <c r="F3011" s="84"/>
      <c r="G3011" s="84"/>
      <c r="R3011" s="251"/>
      <c r="S3011" s="251"/>
    </row>
    <row r="3012" spans="2:19" ht="15">
      <c r="B3012" s="84"/>
      <c r="D3012" s="84"/>
      <c r="E3012" s="84"/>
      <c r="F3012" s="84"/>
      <c r="G3012" s="84"/>
      <c r="R3012" s="251"/>
      <c r="S3012" s="251"/>
    </row>
    <row r="3013" spans="2:19" ht="15">
      <c r="B3013" s="84"/>
      <c r="D3013" s="84"/>
      <c r="E3013" s="84"/>
      <c r="F3013" s="84"/>
      <c r="G3013" s="84"/>
      <c r="R3013" s="251"/>
      <c r="S3013" s="251"/>
    </row>
    <row r="3014" spans="2:19" ht="15">
      <c r="B3014" s="84"/>
      <c r="D3014" s="84"/>
      <c r="E3014" s="84"/>
      <c r="F3014" s="84"/>
      <c r="G3014" s="84"/>
      <c r="R3014" s="251"/>
      <c r="S3014" s="251"/>
    </row>
    <row r="3015" spans="2:19" ht="15">
      <c r="B3015" s="84"/>
      <c r="D3015" s="84"/>
      <c r="E3015" s="84"/>
      <c r="F3015" s="84"/>
      <c r="G3015" s="84"/>
      <c r="R3015" s="251"/>
      <c r="S3015" s="251"/>
    </row>
    <row r="3016" spans="2:19" ht="15">
      <c r="B3016" s="84"/>
      <c r="D3016" s="84"/>
      <c r="E3016" s="84"/>
      <c r="F3016" s="84"/>
      <c r="G3016" s="84"/>
      <c r="R3016" s="251"/>
      <c r="S3016" s="251"/>
    </row>
    <row r="3017" spans="2:19" ht="15">
      <c r="B3017" s="84"/>
      <c r="D3017" s="84"/>
      <c r="E3017" s="84"/>
      <c r="F3017" s="84"/>
      <c r="G3017" s="84"/>
      <c r="R3017" s="251"/>
      <c r="S3017" s="251"/>
    </row>
    <row r="3018" spans="2:19" ht="15">
      <c r="B3018" s="84"/>
      <c r="D3018" s="84"/>
      <c r="E3018" s="84"/>
      <c r="F3018" s="84"/>
      <c r="G3018" s="84"/>
      <c r="R3018" s="251"/>
      <c r="S3018" s="251"/>
    </row>
    <row r="3019" spans="2:19" ht="15">
      <c r="B3019" s="84"/>
      <c r="D3019" s="84"/>
      <c r="E3019" s="84"/>
      <c r="F3019" s="84"/>
      <c r="G3019" s="84"/>
      <c r="R3019" s="251"/>
      <c r="S3019" s="251"/>
    </row>
    <row r="3020" spans="2:19" ht="15">
      <c r="B3020" s="84"/>
      <c r="D3020" s="84"/>
      <c r="E3020" s="84"/>
      <c r="F3020" s="84"/>
      <c r="G3020" s="84"/>
      <c r="R3020" s="251"/>
      <c r="S3020" s="251"/>
    </row>
    <row r="3021" spans="2:19" ht="15">
      <c r="B3021" s="84"/>
      <c r="D3021" s="84"/>
      <c r="E3021" s="84"/>
      <c r="F3021" s="84"/>
      <c r="G3021" s="84"/>
      <c r="R3021" s="251"/>
      <c r="S3021" s="251"/>
    </row>
    <row r="3022" spans="2:19" ht="15">
      <c r="B3022" s="84"/>
      <c r="D3022" s="84"/>
      <c r="E3022" s="84"/>
      <c r="F3022" s="84"/>
      <c r="G3022" s="84"/>
      <c r="R3022" s="251"/>
      <c r="S3022" s="251"/>
    </row>
    <row r="3023" spans="2:19" ht="15">
      <c r="B3023" s="84"/>
      <c r="D3023" s="84"/>
      <c r="E3023" s="84"/>
      <c r="F3023" s="84"/>
      <c r="G3023" s="84"/>
      <c r="R3023" s="251"/>
      <c r="S3023" s="251"/>
    </row>
    <row r="3024" spans="2:19" ht="15">
      <c r="B3024" s="84"/>
      <c r="D3024" s="84"/>
      <c r="E3024" s="84"/>
      <c r="F3024" s="84"/>
      <c r="G3024" s="84"/>
      <c r="R3024" s="251"/>
      <c r="S3024" s="251"/>
    </row>
    <row r="3025" spans="2:19" ht="15">
      <c r="B3025" s="84"/>
      <c r="D3025" s="84"/>
      <c r="E3025" s="84"/>
      <c r="F3025" s="84"/>
      <c r="G3025" s="84"/>
      <c r="R3025" s="251"/>
      <c r="S3025" s="251"/>
    </row>
    <row r="3026" spans="2:19" ht="15">
      <c r="B3026" s="84"/>
      <c r="D3026" s="84"/>
      <c r="E3026" s="84"/>
      <c r="F3026" s="84"/>
      <c r="G3026" s="84"/>
      <c r="R3026" s="251"/>
      <c r="S3026" s="251"/>
    </row>
    <row r="3027" spans="2:19" ht="15">
      <c r="B3027" s="84"/>
      <c r="D3027" s="84"/>
      <c r="E3027" s="84"/>
      <c r="F3027" s="84"/>
      <c r="G3027" s="84"/>
      <c r="R3027" s="251"/>
      <c r="S3027" s="251"/>
    </row>
    <row r="3028" spans="2:19" ht="15">
      <c r="B3028" s="84"/>
      <c r="D3028" s="84"/>
      <c r="E3028" s="84"/>
      <c r="F3028" s="84"/>
      <c r="G3028" s="84"/>
      <c r="R3028" s="251"/>
      <c r="S3028" s="251"/>
    </row>
    <row r="3029" spans="2:19" ht="15">
      <c r="B3029" s="84"/>
      <c r="D3029" s="84"/>
      <c r="E3029" s="84"/>
      <c r="F3029" s="84"/>
      <c r="G3029" s="84"/>
      <c r="R3029" s="251"/>
      <c r="S3029" s="251"/>
    </row>
    <row r="3030" spans="2:19" ht="15">
      <c r="B3030" s="84"/>
      <c r="D3030" s="84"/>
      <c r="E3030" s="84"/>
      <c r="F3030" s="84"/>
      <c r="G3030" s="84"/>
      <c r="R3030" s="251"/>
      <c r="S3030" s="251"/>
    </row>
    <row r="3031" spans="2:19" ht="15">
      <c r="B3031" s="84"/>
      <c r="D3031" s="84"/>
      <c r="E3031" s="84"/>
      <c r="F3031" s="84"/>
      <c r="G3031" s="84"/>
      <c r="R3031" s="251"/>
      <c r="S3031" s="251"/>
    </row>
    <row r="3032" spans="2:19" ht="15">
      <c r="B3032" s="84"/>
      <c r="D3032" s="84"/>
      <c r="E3032" s="84"/>
      <c r="F3032" s="84"/>
      <c r="G3032" s="84"/>
      <c r="R3032" s="251"/>
      <c r="S3032" s="251"/>
    </row>
    <row r="3033" spans="2:19" ht="15">
      <c r="B3033" s="84"/>
      <c r="D3033" s="84"/>
      <c r="E3033" s="84"/>
      <c r="F3033" s="84"/>
      <c r="G3033" s="84"/>
      <c r="R3033" s="251"/>
      <c r="S3033" s="251"/>
    </row>
    <row r="3034" spans="2:19" ht="15">
      <c r="B3034" s="84"/>
      <c r="D3034" s="84"/>
      <c r="E3034" s="84"/>
      <c r="F3034" s="84"/>
      <c r="G3034" s="84"/>
      <c r="R3034" s="251"/>
      <c r="S3034" s="251"/>
    </row>
    <row r="3035" spans="2:19" ht="15">
      <c r="B3035" s="84"/>
      <c r="D3035" s="84"/>
      <c r="E3035" s="84"/>
      <c r="F3035" s="84"/>
      <c r="G3035" s="84"/>
      <c r="R3035" s="251"/>
      <c r="S3035" s="251"/>
    </row>
    <row r="3036" spans="2:19" ht="15">
      <c r="B3036" s="84"/>
      <c r="D3036" s="84"/>
      <c r="E3036" s="84"/>
      <c r="F3036" s="84"/>
      <c r="G3036" s="84"/>
      <c r="R3036" s="251"/>
      <c r="S3036" s="251"/>
    </row>
    <row r="3037" spans="2:19" ht="15">
      <c r="B3037" s="84"/>
      <c r="D3037" s="84"/>
      <c r="E3037" s="84"/>
      <c r="F3037" s="84"/>
      <c r="G3037" s="84"/>
      <c r="R3037" s="251"/>
      <c r="S3037" s="251"/>
    </row>
    <row r="3038" spans="2:19" ht="15">
      <c r="B3038" s="84"/>
      <c r="D3038" s="84"/>
      <c r="E3038" s="84"/>
      <c r="F3038" s="84"/>
      <c r="G3038" s="84"/>
      <c r="R3038" s="251"/>
      <c r="S3038" s="251"/>
    </row>
    <row r="3039" spans="2:19" ht="15">
      <c r="B3039" s="84"/>
      <c r="D3039" s="84"/>
      <c r="E3039" s="84"/>
      <c r="F3039" s="84"/>
      <c r="G3039" s="84"/>
      <c r="R3039" s="251"/>
      <c r="S3039" s="251"/>
    </row>
    <row r="3040" spans="2:19" ht="15">
      <c r="B3040" s="84"/>
      <c r="D3040" s="84"/>
      <c r="E3040" s="84"/>
      <c r="F3040" s="84"/>
      <c r="G3040" s="84"/>
      <c r="R3040" s="251"/>
      <c r="S3040" s="251"/>
    </row>
    <row r="3041" spans="2:19" ht="15">
      <c r="B3041" s="84"/>
      <c r="D3041" s="84"/>
      <c r="E3041" s="84"/>
      <c r="F3041" s="84"/>
      <c r="G3041" s="84"/>
      <c r="R3041" s="251"/>
      <c r="S3041" s="251"/>
    </row>
    <row r="3042" spans="2:19" ht="15">
      <c r="B3042" s="84"/>
      <c r="D3042" s="84"/>
      <c r="E3042" s="84"/>
      <c r="F3042" s="84"/>
      <c r="G3042" s="84"/>
      <c r="R3042" s="251"/>
      <c r="S3042" s="251"/>
    </row>
    <row r="3043" spans="2:19" ht="15">
      <c r="B3043" s="84"/>
      <c r="D3043" s="84"/>
      <c r="E3043" s="84"/>
      <c r="F3043" s="84"/>
      <c r="G3043" s="84"/>
      <c r="R3043" s="251"/>
      <c r="S3043" s="251"/>
    </row>
    <row r="3044" spans="2:19" ht="15">
      <c r="B3044" s="84"/>
      <c r="D3044" s="84"/>
      <c r="E3044" s="84"/>
      <c r="F3044" s="84"/>
      <c r="G3044" s="84"/>
      <c r="R3044" s="251"/>
      <c r="S3044" s="251"/>
    </row>
    <row r="3045" spans="2:19" ht="15">
      <c r="B3045" s="84"/>
      <c r="D3045" s="84"/>
      <c r="E3045" s="84"/>
      <c r="F3045" s="84"/>
      <c r="G3045" s="84"/>
      <c r="R3045" s="251"/>
      <c r="S3045" s="251"/>
    </row>
    <row r="3046" spans="2:19" ht="15">
      <c r="B3046" s="84"/>
      <c r="D3046" s="84"/>
      <c r="E3046" s="84"/>
      <c r="F3046" s="84"/>
      <c r="G3046" s="84"/>
      <c r="R3046" s="251"/>
      <c r="S3046" s="251"/>
    </row>
    <row r="3047" spans="2:19" ht="15">
      <c r="B3047" s="84"/>
      <c r="D3047" s="84"/>
      <c r="E3047" s="84"/>
      <c r="F3047" s="84"/>
      <c r="G3047" s="84"/>
      <c r="R3047" s="251"/>
      <c r="S3047" s="251"/>
    </row>
    <row r="3048" spans="2:19" ht="15">
      <c r="B3048" s="84"/>
      <c r="D3048" s="84"/>
      <c r="E3048" s="84"/>
      <c r="F3048" s="84"/>
      <c r="G3048" s="84"/>
      <c r="R3048" s="251"/>
      <c r="S3048" s="251"/>
    </row>
    <row r="3049" spans="2:19" ht="15">
      <c r="B3049" s="84"/>
      <c r="D3049" s="84"/>
      <c r="E3049" s="84"/>
      <c r="F3049" s="84"/>
      <c r="G3049" s="84"/>
      <c r="R3049" s="251"/>
      <c r="S3049" s="251"/>
    </row>
    <row r="3050" spans="2:19" ht="15">
      <c r="B3050" s="84"/>
      <c r="D3050" s="84"/>
      <c r="E3050" s="84"/>
      <c r="F3050" s="84"/>
      <c r="G3050" s="84"/>
      <c r="R3050" s="251"/>
      <c r="S3050" s="251"/>
    </row>
    <row r="3051" spans="2:19" ht="15">
      <c r="B3051" s="84"/>
      <c r="D3051" s="84"/>
      <c r="E3051" s="84"/>
      <c r="F3051" s="84"/>
      <c r="G3051" s="84"/>
      <c r="R3051" s="251"/>
      <c r="S3051" s="251"/>
    </row>
    <row r="3052" spans="2:19" ht="15">
      <c r="B3052" s="84"/>
      <c r="D3052" s="84"/>
      <c r="E3052" s="84"/>
      <c r="F3052" s="84"/>
      <c r="G3052" s="84"/>
      <c r="R3052" s="251"/>
      <c r="S3052" s="251"/>
    </row>
    <row r="3053" spans="2:19" ht="15">
      <c r="B3053" s="84"/>
      <c r="D3053" s="84"/>
      <c r="E3053" s="84"/>
      <c r="F3053" s="84"/>
      <c r="G3053" s="84"/>
      <c r="R3053" s="251"/>
      <c r="S3053" s="251"/>
    </row>
    <row r="3054" spans="2:19" ht="15">
      <c r="B3054" s="84"/>
      <c r="D3054" s="84"/>
      <c r="E3054" s="84"/>
      <c r="F3054" s="84"/>
      <c r="G3054" s="84"/>
      <c r="R3054" s="251"/>
      <c r="S3054" s="251"/>
    </row>
    <row r="3055" spans="2:19" ht="15">
      <c r="B3055" s="84"/>
      <c r="D3055" s="84"/>
      <c r="E3055" s="84"/>
      <c r="F3055" s="84"/>
      <c r="G3055" s="84"/>
      <c r="R3055" s="251"/>
      <c r="S3055" s="251"/>
    </row>
    <row r="3056" spans="2:19" ht="15">
      <c r="B3056" s="84"/>
      <c r="D3056" s="84"/>
      <c r="E3056" s="84"/>
      <c r="F3056" s="84"/>
      <c r="G3056" s="84"/>
      <c r="R3056" s="251"/>
      <c r="S3056" s="251"/>
    </row>
    <row r="3057" spans="2:19" ht="15">
      <c r="B3057" s="84"/>
      <c r="D3057" s="84"/>
      <c r="E3057" s="84"/>
      <c r="F3057" s="84"/>
      <c r="G3057" s="84"/>
      <c r="R3057" s="251"/>
      <c r="S3057" s="251"/>
    </row>
    <row r="3058" spans="2:19" ht="15">
      <c r="B3058" s="84"/>
      <c r="D3058" s="84"/>
      <c r="E3058" s="84"/>
      <c r="F3058" s="84"/>
      <c r="G3058" s="84"/>
      <c r="R3058" s="251"/>
      <c r="S3058" s="251"/>
    </row>
    <row r="3059" spans="2:19" ht="15">
      <c r="B3059" s="84"/>
      <c r="D3059" s="84"/>
      <c r="E3059" s="84"/>
      <c r="F3059" s="84"/>
      <c r="G3059" s="84"/>
      <c r="R3059" s="251"/>
      <c r="S3059" s="251"/>
    </row>
    <row r="3060" spans="2:19" ht="15">
      <c r="B3060" s="84"/>
      <c r="D3060" s="84"/>
      <c r="E3060" s="84"/>
      <c r="F3060" s="84"/>
      <c r="G3060" s="84"/>
      <c r="R3060" s="251"/>
      <c r="S3060" s="251"/>
    </row>
    <row r="3061" spans="2:19" ht="15">
      <c r="B3061" s="84"/>
      <c r="D3061" s="84"/>
      <c r="E3061" s="84"/>
      <c r="F3061" s="84"/>
      <c r="G3061" s="84"/>
      <c r="R3061" s="251"/>
      <c r="S3061" s="251"/>
    </row>
    <row r="3062" spans="2:19" ht="15">
      <c r="B3062" s="84"/>
      <c r="D3062" s="84"/>
      <c r="E3062" s="84"/>
      <c r="F3062" s="84"/>
      <c r="G3062" s="84"/>
      <c r="R3062" s="251"/>
      <c r="S3062" s="251"/>
    </row>
    <row r="3063" spans="2:19" ht="15">
      <c r="B3063" s="84"/>
      <c r="D3063" s="84"/>
      <c r="E3063" s="84"/>
      <c r="F3063" s="84"/>
      <c r="G3063" s="84"/>
      <c r="R3063" s="251"/>
      <c r="S3063" s="251"/>
    </row>
    <row r="3064" spans="2:19" ht="15">
      <c r="B3064" s="84"/>
      <c r="D3064" s="84"/>
      <c r="E3064" s="84"/>
      <c r="F3064" s="84"/>
      <c r="G3064" s="84"/>
      <c r="R3064" s="251"/>
      <c r="S3064" s="251"/>
    </row>
    <row r="3065" spans="2:19" ht="15">
      <c r="B3065" s="84"/>
      <c r="D3065" s="84"/>
      <c r="E3065" s="84"/>
      <c r="F3065" s="84"/>
      <c r="G3065" s="84"/>
      <c r="R3065" s="251"/>
      <c r="S3065" s="251"/>
    </row>
    <row r="3066" spans="2:19" ht="15">
      <c r="B3066" s="84"/>
      <c r="D3066" s="84"/>
      <c r="E3066" s="84"/>
      <c r="F3066" s="84"/>
      <c r="G3066" s="84"/>
      <c r="R3066" s="251"/>
      <c r="S3066" s="251"/>
    </row>
    <row r="3067" spans="2:19" ht="15">
      <c r="B3067" s="84"/>
      <c r="D3067" s="84"/>
      <c r="E3067" s="84"/>
      <c r="F3067" s="84"/>
      <c r="G3067" s="84"/>
      <c r="R3067" s="251"/>
      <c r="S3067" s="251"/>
    </row>
    <row r="3068" spans="2:19" ht="15">
      <c r="B3068" s="84"/>
      <c r="D3068" s="84"/>
      <c r="E3068" s="84"/>
      <c r="F3068" s="84"/>
      <c r="G3068" s="84"/>
      <c r="R3068" s="251"/>
      <c r="S3068" s="251"/>
    </row>
    <row r="3069" spans="2:19" ht="15">
      <c r="B3069" s="84"/>
      <c r="D3069" s="84"/>
      <c r="E3069" s="84"/>
      <c r="F3069" s="84"/>
      <c r="G3069" s="84"/>
      <c r="R3069" s="251"/>
      <c r="S3069" s="251"/>
    </row>
    <row r="3070" spans="2:19" ht="15">
      <c r="B3070" s="84"/>
      <c r="D3070" s="84"/>
      <c r="E3070" s="84"/>
      <c r="F3070" s="84"/>
      <c r="G3070" s="84"/>
      <c r="R3070" s="251"/>
      <c r="S3070" s="251"/>
    </row>
    <row r="3071" spans="2:19" ht="15">
      <c r="B3071" s="84"/>
      <c r="D3071" s="84"/>
      <c r="E3071" s="84"/>
      <c r="F3071" s="84"/>
      <c r="G3071" s="84"/>
      <c r="R3071" s="251"/>
      <c r="S3071" s="251"/>
    </row>
    <row r="3072" spans="2:19" ht="15">
      <c r="B3072" s="84"/>
      <c r="D3072" s="84"/>
      <c r="E3072" s="84"/>
      <c r="F3072" s="84"/>
      <c r="G3072" s="84"/>
      <c r="R3072" s="251"/>
      <c r="S3072" s="251"/>
    </row>
    <row r="3073" spans="2:19" ht="15">
      <c r="B3073" s="84"/>
      <c r="D3073" s="84"/>
      <c r="E3073" s="84"/>
      <c r="F3073" s="84"/>
      <c r="G3073" s="84"/>
      <c r="R3073" s="251"/>
      <c r="S3073" s="251"/>
    </row>
    <row r="3074" spans="2:19" ht="15">
      <c r="B3074" s="84"/>
      <c r="D3074" s="84"/>
      <c r="E3074" s="84"/>
      <c r="F3074" s="84"/>
      <c r="G3074" s="84"/>
      <c r="R3074" s="251"/>
      <c r="S3074" s="251"/>
    </row>
    <row r="3075" spans="2:19" ht="15">
      <c r="B3075" s="84"/>
      <c r="D3075" s="84"/>
      <c r="E3075" s="84"/>
      <c r="F3075" s="84"/>
      <c r="G3075" s="84"/>
      <c r="R3075" s="251"/>
      <c r="S3075" s="251"/>
    </row>
    <row r="3076" spans="2:19" ht="15">
      <c r="B3076" s="84"/>
      <c r="D3076" s="84"/>
      <c r="E3076" s="84"/>
      <c r="F3076" s="84"/>
      <c r="G3076" s="84"/>
      <c r="R3076" s="251"/>
      <c r="S3076" s="251"/>
    </row>
    <row r="3077" spans="2:19" ht="15">
      <c r="B3077" s="84"/>
      <c r="D3077" s="84"/>
      <c r="E3077" s="84"/>
      <c r="F3077" s="84"/>
      <c r="G3077" s="84"/>
      <c r="R3077" s="251"/>
      <c r="S3077" s="251"/>
    </row>
    <row r="3078" spans="2:19" ht="15">
      <c r="B3078" s="84"/>
      <c r="D3078" s="84"/>
      <c r="E3078" s="84"/>
      <c r="F3078" s="84"/>
      <c r="G3078" s="84"/>
      <c r="R3078" s="251"/>
      <c r="S3078" s="251"/>
    </row>
    <row r="3079" spans="2:19" ht="15">
      <c r="B3079" s="84"/>
      <c r="D3079" s="84"/>
      <c r="E3079" s="84"/>
      <c r="F3079" s="84"/>
      <c r="G3079" s="84"/>
      <c r="R3079" s="251"/>
      <c r="S3079" s="251"/>
    </row>
    <row r="3080" spans="2:19" ht="15">
      <c r="B3080" s="84"/>
      <c r="D3080" s="84"/>
      <c r="E3080" s="84"/>
      <c r="F3080" s="84"/>
      <c r="G3080" s="84"/>
      <c r="R3080" s="251"/>
      <c r="S3080" s="251"/>
    </row>
    <row r="3081" spans="2:19" ht="15">
      <c r="B3081" s="84"/>
      <c r="D3081" s="84"/>
      <c r="E3081" s="84"/>
      <c r="F3081" s="84"/>
      <c r="G3081" s="84"/>
      <c r="R3081" s="251"/>
      <c r="S3081" s="251"/>
    </row>
    <row r="3082" spans="2:19" ht="15">
      <c r="B3082" s="84"/>
      <c r="D3082" s="84"/>
      <c r="E3082" s="84"/>
      <c r="F3082" s="84"/>
      <c r="G3082" s="84"/>
      <c r="R3082" s="251"/>
      <c r="S3082" s="251"/>
    </row>
    <row r="3083" spans="2:19" ht="15">
      <c r="B3083" s="84"/>
      <c r="D3083" s="84"/>
      <c r="E3083" s="84"/>
      <c r="F3083" s="84"/>
      <c r="G3083" s="84"/>
      <c r="R3083" s="251"/>
      <c r="S3083" s="251"/>
    </row>
    <row r="3084" spans="2:19" ht="15">
      <c r="B3084" s="84"/>
      <c r="D3084" s="84"/>
      <c r="E3084" s="84"/>
      <c r="F3084" s="84"/>
      <c r="G3084" s="84"/>
      <c r="R3084" s="251"/>
      <c r="S3084" s="251"/>
    </row>
    <row r="3085" spans="2:19" ht="15">
      <c r="B3085" s="84"/>
      <c r="D3085" s="84"/>
      <c r="E3085" s="84"/>
      <c r="F3085" s="84"/>
      <c r="G3085" s="84"/>
      <c r="R3085" s="251"/>
      <c r="S3085" s="251"/>
    </row>
    <row r="3086" spans="2:19" ht="15">
      <c r="B3086" s="84"/>
      <c r="D3086" s="84"/>
      <c r="E3086" s="84"/>
      <c r="F3086" s="84"/>
      <c r="G3086" s="84"/>
      <c r="R3086" s="251"/>
      <c r="S3086" s="251"/>
    </row>
    <row r="3087" spans="2:19" ht="15">
      <c r="B3087" s="84"/>
      <c r="D3087" s="84"/>
      <c r="E3087" s="84"/>
      <c r="F3087" s="84"/>
      <c r="G3087" s="84"/>
      <c r="R3087" s="251"/>
      <c r="S3087" s="251"/>
    </row>
    <row r="3088" spans="2:19" ht="15">
      <c r="B3088" s="84"/>
      <c r="D3088" s="84"/>
      <c r="E3088" s="84"/>
      <c r="F3088" s="84"/>
      <c r="G3088" s="84"/>
      <c r="R3088" s="251"/>
      <c r="S3088" s="251"/>
    </row>
    <row r="3089" spans="2:19" ht="15">
      <c r="B3089" s="84"/>
      <c r="D3089" s="84"/>
      <c r="E3089" s="84"/>
      <c r="F3089" s="84"/>
      <c r="G3089" s="84"/>
      <c r="R3089" s="251"/>
      <c r="S3089" s="251"/>
    </row>
    <row r="3090" spans="2:19" ht="15">
      <c r="B3090" s="84"/>
      <c r="D3090" s="84"/>
      <c r="E3090" s="84"/>
      <c r="F3090" s="84"/>
      <c r="G3090" s="84"/>
      <c r="R3090" s="251"/>
      <c r="S3090" s="251"/>
    </row>
    <row r="3091" spans="2:19" ht="15">
      <c r="B3091" s="84"/>
      <c r="D3091" s="84"/>
      <c r="E3091" s="84"/>
      <c r="F3091" s="84"/>
      <c r="G3091" s="84"/>
      <c r="R3091" s="251"/>
      <c r="S3091" s="251"/>
    </row>
    <row r="3092" spans="2:19" ht="15">
      <c r="B3092" s="84"/>
      <c r="D3092" s="84"/>
      <c r="E3092" s="84"/>
      <c r="F3092" s="84"/>
      <c r="G3092" s="84"/>
      <c r="R3092" s="251"/>
      <c r="S3092" s="251"/>
    </row>
    <row r="3093" spans="2:19" ht="15">
      <c r="B3093" s="84"/>
      <c r="D3093" s="84"/>
      <c r="E3093" s="84"/>
      <c r="F3093" s="84"/>
      <c r="G3093" s="84"/>
      <c r="R3093" s="251"/>
      <c r="S3093" s="251"/>
    </row>
    <row r="3094" spans="2:19" ht="15">
      <c r="B3094" s="84"/>
      <c r="D3094" s="84"/>
      <c r="E3094" s="84"/>
      <c r="F3094" s="84"/>
      <c r="G3094" s="84"/>
      <c r="R3094" s="251"/>
      <c r="S3094" s="251"/>
    </row>
    <row r="3095" spans="2:19" ht="15">
      <c r="B3095" s="84"/>
      <c r="D3095" s="84"/>
      <c r="E3095" s="84"/>
      <c r="F3095" s="84"/>
      <c r="G3095" s="84"/>
      <c r="R3095" s="251"/>
      <c r="S3095" s="251"/>
    </row>
    <row r="3096" spans="2:19" ht="15">
      <c r="B3096" s="84"/>
      <c r="D3096" s="84"/>
      <c r="E3096" s="84"/>
      <c r="F3096" s="84"/>
      <c r="G3096" s="84"/>
      <c r="R3096" s="251"/>
      <c r="S3096" s="251"/>
    </row>
    <row r="3097" spans="2:19" ht="15">
      <c r="B3097" s="84"/>
      <c r="D3097" s="84"/>
      <c r="E3097" s="84"/>
      <c r="F3097" s="84"/>
      <c r="G3097" s="84"/>
      <c r="R3097" s="251"/>
      <c r="S3097" s="251"/>
    </row>
    <row r="3098" spans="2:19" ht="15">
      <c r="B3098" s="84"/>
      <c r="D3098" s="84"/>
      <c r="E3098" s="84"/>
      <c r="F3098" s="84"/>
      <c r="G3098" s="84"/>
      <c r="R3098" s="251"/>
      <c r="S3098" s="251"/>
    </row>
    <row r="3099" spans="2:19" ht="15">
      <c r="B3099" s="84"/>
      <c r="D3099" s="84"/>
      <c r="E3099" s="84"/>
      <c r="F3099" s="84"/>
      <c r="G3099" s="84"/>
      <c r="R3099" s="251"/>
      <c r="S3099" s="251"/>
    </row>
    <row r="3100" spans="2:19" ht="15">
      <c r="B3100" s="84"/>
      <c r="D3100" s="84"/>
      <c r="E3100" s="84"/>
      <c r="F3100" s="84"/>
      <c r="G3100" s="84"/>
      <c r="R3100" s="251"/>
      <c r="S3100" s="251"/>
    </row>
    <row r="3101" spans="2:19" ht="15">
      <c r="B3101" s="84"/>
      <c r="D3101" s="84"/>
      <c r="E3101" s="84"/>
      <c r="F3101" s="84"/>
      <c r="G3101" s="84"/>
      <c r="R3101" s="251"/>
      <c r="S3101" s="251"/>
    </row>
    <row r="3102" spans="2:19" ht="15">
      <c r="B3102" s="84"/>
      <c r="D3102" s="84"/>
      <c r="E3102" s="84"/>
      <c r="F3102" s="84"/>
      <c r="G3102" s="84"/>
      <c r="R3102" s="251"/>
      <c r="S3102" s="251"/>
    </row>
    <row r="3103" spans="2:19" ht="15">
      <c r="B3103" s="84"/>
      <c r="D3103" s="84"/>
      <c r="E3103" s="84"/>
      <c r="F3103" s="84"/>
      <c r="G3103" s="84"/>
      <c r="R3103" s="251"/>
      <c r="S3103" s="251"/>
    </row>
    <row r="3104" spans="2:19" ht="15">
      <c r="B3104" s="84"/>
      <c r="D3104" s="84"/>
      <c r="E3104" s="84"/>
      <c r="F3104" s="84"/>
      <c r="G3104" s="84"/>
      <c r="R3104" s="251"/>
      <c r="S3104" s="251"/>
    </row>
    <row r="3105" spans="2:19" ht="15">
      <c r="B3105" s="84"/>
      <c r="D3105" s="84"/>
      <c r="E3105" s="84"/>
      <c r="F3105" s="84"/>
      <c r="G3105" s="84"/>
      <c r="R3105" s="251"/>
      <c r="S3105" s="251"/>
    </row>
    <row r="3106" spans="2:19" ht="15">
      <c r="B3106" s="84"/>
      <c r="D3106" s="84"/>
      <c r="E3106" s="84"/>
      <c r="F3106" s="84"/>
      <c r="G3106" s="84"/>
      <c r="R3106" s="251"/>
      <c r="S3106" s="251"/>
    </row>
    <row r="3107" spans="2:19" ht="15">
      <c r="B3107" s="84"/>
      <c r="D3107" s="84"/>
      <c r="E3107" s="84"/>
      <c r="F3107" s="84"/>
      <c r="G3107" s="84"/>
      <c r="R3107" s="251"/>
      <c r="S3107" s="251"/>
    </row>
    <row r="3108" spans="2:19" ht="15">
      <c r="B3108" s="84"/>
      <c r="D3108" s="84"/>
      <c r="E3108" s="84"/>
      <c r="F3108" s="84"/>
      <c r="G3108" s="84"/>
      <c r="R3108" s="251"/>
      <c r="S3108" s="251"/>
    </row>
    <row r="3109" spans="2:19" ht="15">
      <c r="B3109" s="84"/>
      <c r="D3109" s="84"/>
      <c r="E3109" s="84"/>
      <c r="F3109" s="84"/>
      <c r="G3109" s="84"/>
      <c r="R3109" s="251"/>
      <c r="S3109" s="251"/>
    </row>
    <row r="3110" spans="2:19" ht="15">
      <c r="B3110" s="84"/>
      <c r="D3110" s="84"/>
      <c r="E3110" s="84"/>
      <c r="F3110" s="84"/>
      <c r="G3110" s="84"/>
      <c r="R3110" s="251"/>
      <c r="S3110" s="251"/>
    </row>
    <row r="3111" spans="2:19" ht="15">
      <c r="B3111" s="84"/>
      <c r="D3111" s="84"/>
      <c r="E3111" s="84"/>
      <c r="F3111" s="84"/>
      <c r="G3111" s="84"/>
      <c r="R3111" s="251"/>
      <c r="S3111" s="251"/>
    </row>
    <row r="3112" spans="2:19" ht="15">
      <c r="B3112" s="84"/>
      <c r="D3112" s="84"/>
      <c r="E3112" s="84"/>
      <c r="F3112" s="84"/>
      <c r="G3112" s="84"/>
      <c r="R3112" s="251"/>
      <c r="S3112" s="251"/>
    </row>
    <row r="3113" spans="2:19" ht="15">
      <c r="B3113" s="84"/>
      <c r="D3113" s="84"/>
      <c r="E3113" s="84"/>
      <c r="F3113" s="84"/>
      <c r="G3113" s="84"/>
      <c r="R3113" s="251"/>
      <c r="S3113" s="251"/>
    </row>
    <row r="3114" spans="2:19" ht="15">
      <c r="B3114" s="84"/>
      <c r="D3114" s="84"/>
      <c r="E3114" s="84"/>
      <c r="F3114" s="84"/>
      <c r="G3114" s="84"/>
      <c r="R3114" s="251"/>
      <c r="S3114" s="251"/>
    </row>
    <row r="3115" spans="2:19" ht="15">
      <c r="B3115" s="84"/>
      <c r="D3115" s="84"/>
      <c r="E3115" s="84"/>
      <c r="F3115" s="84"/>
      <c r="G3115" s="84"/>
      <c r="R3115" s="251"/>
      <c r="S3115" s="251"/>
    </row>
    <row r="3116" spans="2:19" ht="15">
      <c r="B3116" s="84"/>
      <c r="D3116" s="84"/>
      <c r="E3116" s="84"/>
      <c r="F3116" s="84"/>
      <c r="G3116" s="84"/>
      <c r="R3116" s="251"/>
      <c r="S3116" s="251"/>
    </row>
    <row r="3117" spans="2:19" ht="15">
      <c r="B3117" s="84"/>
      <c r="D3117" s="84"/>
      <c r="E3117" s="84"/>
      <c r="F3117" s="84"/>
      <c r="G3117" s="84"/>
      <c r="R3117" s="251"/>
      <c r="S3117" s="251"/>
    </row>
    <row r="3118" spans="2:19" ht="15">
      <c r="B3118" s="84"/>
      <c r="D3118" s="84"/>
      <c r="E3118" s="84"/>
      <c r="F3118" s="84"/>
      <c r="G3118" s="84"/>
      <c r="R3118" s="251"/>
      <c r="S3118" s="251"/>
    </row>
    <row r="3119" spans="2:19" ht="15">
      <c r="B3119" s="84"/>
      <c r="D3119" s="84"/>
      <c r="E3119" s="84"/>
      <c r="F3119" s="84"/>
      <c r="G3119" s="84"/>
      <c r="R3119" s="251"/>
      <c r="S3119" s="251"/>
    </row>
    <row r="3120" spans="2:19" ht="15">
      <c r="B3120" s="84"/>
      <c r="D3120" s="84"/>
      <c r="E3120" s="84"/>
      <c r="F3120" s="84"/>
      <c r="G3120" s="84"/>
      <c r="R3120" s="251"/>
      <c r="S3120" s="251"/>
    </row>
    <row r="3121" spans="2:19" ht="15">
      <c r="B3121" s="84"/>
      <c r="D3121" s="84"/>
      <c r="E3121" s="84"/>
      <c r="F3121" s="84"/>
      <c r="G3121" s="84"/>
      <c r="R3121" s="251"/>
      <c r="S3121" s="251"/>
    </row>
    <row r="3122" spans="2:19" ht="15">
      <c r="B3122" s="84"/>
      <c r="D3122" s="84"/>
      <c r="E3122" s="84"/>
      <c r="F3122" s="84"/>
      <c r="G3122" s="84"/>
      <c r="R3122" s="251"/>
      <c r="S3122" s="251"/>
    </row>
    <row r="3123" spans="2:19" ht="15">
      <c r="B3123" s="84"/>
      <c r="D3123" s="84"/>
      <c r="E3123" s="84"/>
      <c r="F3123" s="84"/>
      <c r="G3123" s="84"/>
      <c r="R3123" s="251"/>
      <c r="S3123" s="251"/>
    </row>
    <row r="3124" spans="2:19" ht="15">
      <c r="B3124" s="84"/>
      <c r="D3124" s="84"/>
      <c r="E3124" s="84"/>
      <c r="F3124" s="84"/>
      <c r="G3124" s="84"/>
      <c r="R3124" s="251"/>
      <c r="S3124" s="251"/>
    </row>
    <row r="3125" spans="2:19" ht="15">
      <c r="B3125" s="84"/>
      <c r="D3125" s="84"/>
      <c r="E3125" s="84"/>
      <c r="F3125" s="84"/>
      <c r="G3125" s="84"/>
      <c r="R3125" s="251"/>
      <c r="S3125" s="251"/>
    </row>
    <row r="3126" spans="2:19" ht="15">
      <c r="B3126" s="84"/>
      <c r="D3126" s="84"/>
      <c r="E3126" s="84"/>
      <c r="F3126" s="84"/>
      <c r="G3126" s="84"/>
      <c r="R3126" s="251"/>
      <c r="S3126" s="251"/>
    </row>
    <row r="3127" spans="2:19" ht="15">
      <c r="B3127" s="84"/>
      <c r="D3127" s="84"/>
      <c r="E3127" s="84"/>
      <c r="F3127" s="84"/>
      <c r="G3127" s="84"/>
      <c r="R3127" s="251"/>
      <c r="S3127" s="251"/>
    </row>
    <row r="3128" spans="2:19" ht="15">
      <c r="B3128" s="84"/>
      <c r="D3128" s="84"/>
      <c r="E3128" s="84"/>
      <c r="F3128" s="84"/>
      <c r="G3128" s="84"/>
      <c r="R3128" s="251"/>
      <c r="S3128" s="251"/>
    </row>
    <row r="3129" spans="2:19" ht="15">
      <c r="B3129" s="84"/>
      <c r="D3129" s="84"/>
      <c r="E3129" s="84"/>
      <c r="F3129" s="84"/>
      <c r="G3129" s="84"/>
      <c r="R3129" s="251"/>
      <c r="S3129" s="251"/>
    </row>
    <row r="3130" spans="2:19" ht="15">
      <c r="B3130" s="84"/>
      <c r="D3130" s="84"/>
      <c r="E3130" s="84"/>
      <c r="F3130" s="84"/>
      <c r="G3130" s="84"/>
      <c r="R3130" s="251"/>
      <c r="S3130" s="251"/>
    </row>
    <row r="3131" spans="2:19" ht="15">
      <c r="B3131" s="84"/>
      <c r="D3131" s="84"/>
      <c r="E3131" s="84"/>
      <c r="F3131" s="84"/>
      <c r="G3131" s="84"/>
      <c r="R3131" s="251"/>
      <c r="S3131" s="251"/>
    </row>
    <row r="3132" spans="2:19" ht="15">
      <c r="B3132" s="84"/>
      <c r="D3132" s="84"/>
      <c r="E3132" s="84"/>
      <c r="F3132" s="84"/>
      <c r="G3132" s="84"/>
      <c r="R3132" s="251"/>
      <c r="S3132" s="251"/>
    </row>
    <row r="3133" spans="2:19" ht="15">
      <c r="B3133" s="84"/>
      <c r="D3133" s="84"/>
      <c r="E3133" s="84"/>
      <c r="F3133" s="84"/>
      <c r="G3133" s="84"/>
      <c r="R3133" s="251"/>
      <c r="S3133" s="251"/>
    </row>
    <row r="3134" spans="2:19" ht="15">
      <c r="B3134" s="84"/>
      <c r="D3134" s="84"/>
      <c r="E3134" s="84"/>
      <c r="F3134" s="84"/>
      <c r="G3134" s="84"/>
      <c r="R3134" s="251"/>
      <c r="S3134" s="251"/>
    </row>
    <row r="3135" spans="2:19" ht="15">
      <c r="B3135" s="84"/>
      <c r="D3135" s="84"/>
      <c r="E3135" s="84"/>
      <c r="F3135" s="84"/>
      <c r="G3135" s="84"/>
      <c r="R3135" s="251"/>
      <c r="S3135" s="251"/>
    </row>
    <row r="3136" spans="2:19" ht="15">
      <c r="B3136" s="84"/>
      <c r="D3136" s="84"/>
      <c r="E3136" s="84"/>
      <c r="F3136" s="84"/>
      <c r="G3136" s="84"/>
      <c r="R3136" s="251"/>
      <c r="S3136" s="251"/>
    </row>
    <row r="3137" spans="2:19" ht="15">
      <c r="B3137" s="84"/>
      <c r="D3137" s="84"/>
      <c r="E3137" s="84"/>
      <c r="F3137" s="84"/>
      <c r="G3137" s="84"/>
      <c r="R3137" s="251"/>
      <c r="S3137" s="251"/>
    </row>
    <row r="3138" spans="2:19" ht="15">
      <c r="B3138" s="84"/>
      <c r="D3138" s="84"/>
      <c r="E3138" s="84"/>
      <c r="F3138" s="84"/>
      <c r="G3138" s="84"/>
      <c r="R3138" s="251"/>
      <c r="S3138" s="251"/>
    </row>
    <row r="3139" spans="2:19" ht="15">
      <c r="B3139" s="84"/>
      <c r="D3139" s="84"/>
      <c r="E3139" s="84"/>
      <c r="F3139" s="84"/>
      <c r="G3139" s="84"/>
      <c r="R3139" s="251"/>
      <c r="S3139" s="251"/>
    </row>
    <row r="3140" spans="2:19" ht="15">
      <c r="B3140" s="84"/>
      <c r="D3140" s="84"/>
      <c r="E3140" s="84"/>
      <c r="F3140" s="84"/>
      <c r="G3140" s="84"/>
      <c r="R3140" s="251"/>
      <c r="S3140" s="251"/>
    </row>
    <row r="3141" spans="2:19" ht="15">
      <c r="B3141" s="84"/>
      <c r="D3141" s="84"/>
      <c r="E3141" s="84"/>
      <c r="F3141" s="84"/>
      <c r="G3141" s="84"/>
      <c r="R3141" s="251"/>
      <c r="S3141" s="251"/>
    </row>
    <row r="3142" spans="2:19" ht="15">
      <c r="B3142" s="84"/>
      <c r="D3142" s="84"/>
      <c r="E3142" s="84"/>
      <c r="F3142" s="84"/>
      <c r="G3142" s="84"/>
      <c r="R3142" s="251"/>
      <c r="S3142" s="251"/>
    </row>
    <row r="3143" spans="2:19" ht="15">
      <c r="B3143" s="84"/>
      <c r="D3143" s="84"/>
      <c r="E3143" s="84"/>
      <c r="F3143" s="84"/>
      <c r="G3143" s="84"/>
      <c r="R3143" s="251"/>
      <c r="S3143" s="251"/>
    </row>
    <row r="3144" spans="2:19" ht="15">
      <c r="B3144" s="84"/>
      <c r="D3144" s="84"/>
      <c r="E3144" s="84"/>
      <c r="F3144" s="84"/>
      <c r="G3144" s="84"/>
      <c r="R3144" s="251"/>
      <c r="S3144" s="251"/>
    </row>
    <row r="3145" spans="2:19" ht="15">
      <c r="B3145" s="84"/>
      <c r="D3145" s="84"/>
      <c r="E3145" s="84"/>
      <c r="F3145" s="84"/>
      <c r="G3145" s="84"/>
      <c r="R3145" s="251"/>
      <c r="S3145" s="251"/>
    </row>
    <row r="3146" spans="2:19" ht="15">
      <c r="B3146" s="84"/>
      <c r="D3146" s="84"/>
      <c r="E3146" s="84"/>
      <c r="F3146" s="84"/>
      <c r="G3146" s="84"/>
      <c r="R3146" s="251"/>
      <c r="S3146" s="251"/>
    </row>
    <row r="3147" spans="2:19" ht="15">
      <c r="B3147" s="84"/>
      <c r="D3147" s="84"/>
      <c r="E3147" s="84"/>
      <c r="F3147" s="84"/>
      <c r="G3147" s="84"/>
      <c r="R3147" s="251"/>
      <c r="S3147" s="251"/>
    </row>
    <row r="3148" spans="2:19" ht="15">
      <c r="B3148" s="84"/>
      <c r="D3148" s="84"/>
      <c r="E3148" s="84"/>
      <c r="F3148" s="84"/>
      <c r="G3148" s="84"/>
      <c r="R3148" s="251"/>
      <c r="S3148" s="251"/>
    </row>
    <row r="3149" spans="2:19" ht="15">
      <c r="B3149" s="84"/>
      <c r="D3149" s="84"/>
      <c r="E3149" s="84"/>
      <c r="F3149" s="84"/>
      <c r="G3149" s="84"/>
      <c r="R3149" s="251"/>
      <c r="S3149" s="251"/>
    </row>
    <row r="3150" spans="2:19" ht="15">
      <c r="B3150" s="84"/>
      <c r="D3150" s="84"/>
      <c r="E3150" s="84"/>
      <c r="F3150" s="84"/>
      <c r="G3150" s="84"/>
      <c r="R3150" s="251"/>
      <c r="S3150" s="251"/>
    </row>
    <row r="3151" spans="2:19" ht="15">
      <c r="B3151" s="84"/>
      <c r="D3151" s="84"/>
      <c r="E3151" s="84"/>
      <c r="F3151" s="84"/>
      <c r="G3151" s="84"/>
      <c r="R3151" s="251"/>
      <c r="S3151" s="251"/>
    </row>
    <row r="3152" spans="2:19" ht="15">
      <c r="B3152" s="84"/>
      <c r="D3152" s="84"/>
      <c r="E3152" s="84"/>
      <c r="F3152" s="84"/>
      <c r="G3152" s="84"/>
      <c r="R3152" s="251"/>
      <c r="S3152" s="251"/>
    </row>
    <row r="3153" spans="2:19" ht="15">
      <c r="B3153" s="84"/>
      <c r="D3153" s="84"/>
      <c r="E3153" s="84"/>
      <c r="F3153" s="84"/>
      <c r="G3153" s="84"/>
      <c r="R3153" s="251"/>
      <c r="S3153" s="251"/>
    </row>
    <row r="3154" spans="2:19" ht="15">
      <c r="B3154" s="84"/>
      <c r="D3154" s="84"/>
      <c r="E3154" s="84"/>
      <c r="F3154" s="84"/>
      <c r="G3154" s="84"/>
      <c r="R3154" s="251"/>
      <c r="S3154" s="251"/>
    </row>
    <row r="3155" spans="2:19" ht="15">
      <c r="B3155" s="84"/>
      <c r="D3155" s="84"/>
      <c r="E3155" s="84"/>
      <c r="F3155" s="84"/>
      <c r="G3155" s="84"/>
      <c r="R3155" s="251"/>
      <c r="S3155" s="251"/>
    </row>
    <row r="3156" spans="2:19" ht="15">
      <c r="B3156" s="84"/>
      <c r="D3156" s="84"/>
      <c r="E3156" s="84"/>
      <c r="F3156" s="84"/>
      <c r="G3156" s="84"/>
      <c r="R3156" s="251"/>
      <c r="S3156" s="251"/>
    </row>
    <row r="3157" spans="2:19" ht="15">
      <c r="B3157" s="84"/>
      <c r="D3157" s="84"/>
      <c r="E3157" s="84"/>
      <c r="F3157" s="84"/>
      <c r="G3157" s="84"/>
      <c r="R3157" s="251"/>
      <c r="S3157" s="251"/>
    </row>
    <row r="3158" spans="2:19" ht="15">
      <c r="B3158" s="84"/>
      <c r="D3158" s="84"/>
      <c r="E3158" s="84"/>
      <c r="F3158" s="84"/>
      <c r="G3158" s="84"/>
      <c r="R3158" s="251"/>
      <c r="S3158" s="251"/>
    </row>
    <row r="3159" spans="2:19" ht="15">
      <c r="B3159" s="84"/>
      <c r="D3159" s="84"/>
      <c r="E3159" s="84"/>
      <c r="F3159" s="84"/>
      <c r="G3159" s="84"/>
      <c r="R3159" s="251"/>
      <c r="S3159" s="251"/>
    </row>
    <row r="3160" spans="2:19" ht="15">
      <c r="B3160" s="84"/>
      <c r="D3160" s="84"/>
      <c r="E3160" s="84"/>
      <c r="F3160" s="84"/>
      <c r="G3160" s="84"/>
      <c r="R3160" s="251"/>
      <c r="S3160" s="251"/>
    </row>
    <row r="3161" spans="2:19" ht="15">
      <c r="B3161" s="84"/>
      <c r="D3161" s="84"/>
      <c r="E3161" s="84"/>
      <c r="F3161" s="84"/>
      <c r="G3161" s="84"/>
      <c r="R3161" s="251"/>
      <c r="S3161" s="251"/>
    </row>
    <row r="3162" spans="2:19" ht="15">
      <c r="B3162" s="84"/>
      <c r="D3162" s="84"/>
      <c r="E3162" s="84"/>
      <c r="F3162" s="84"/>
      <c r="G3162" s="84"/>
      <c r="R3162" s="251"/>
      <c r="S3162" s="251"/>
    </row>
    <row r="3163" spans="2:19" ht="15">
      <c r="B3163" s="84"/>
      <c r="D3163" s="84"/>
      <c r="E3163" s="84"/>
      <c r="F3163" s="84"/>
      <c r="G3163" s="84"/>
      <c r="R3163" s="251"/>
      <c r="S3163" s="251"/>
    </row>
    <row r="3164" spans="2:19" ht="15">
      <c r="B3164" s="84"/>
      <c r="D3164" s="84"/>
      <c r="E3164" s="84"/>
      <c r="F3164" s="84"/>
      <c r="G3164" s="84"/>
      <c r="R3164" s="251"/>
      <c r="S3164" s="251"/>
    </row>
    <row r="3165" spans="2:19" ht="15">
      <c r="B3165" s="84"/>
      <c r="D3165" s="84"/>
      <c r="E3165" s="84"/>
      <c r="F3165" s="84"/>
      <c r="G3165" s="84"/>
      <c r="R3165" s="251"/>
      <c r="S3165" s="251"/>
    </row>
    <row r="3166" spans="2:19" ht="15">
      <c r="B3166" s="84"/>
      <c r="D3166" s="84"/>
      <c r="E3166" s="84"/>
      <c r="F3166" s="84"/>
      <c r="G3166" s="84"/>
      <c r="R3166" s="251"/>
      <c r="S3166" s="251"/>
    </row>
    <row r="3167" spans="2:19" ht="15">
      <c r="B3167" s="84"/>
      <c r="D3167" s="84"/>
      <c r="E3167" s="84"/>
      <c r="F3167" s="84"/>
      <c r="G3167" s="84"/>
      <c r="R3167" s="251"/>
      <c r="S3167" s="251"/>
    </row>
    <row r="3168" spans="2:19" ht="15">
      <c r="B3168" s="84"/>
      <c r="D3168" s="84"/>
      <c r="E3168" s="84"/>
      <c r="F3168" s="84"/>
      <c r="G3168" s="84"/>
      <c r="R3168" s="251"/>
      <c r="S3168" s="251"/>
    </row>
    <row r="3169" spans="2:19" ht="15">
      <c r="B3169" s="84"/>
      <c r="D3169" s="84"/>
      <c r="E3169" s="84"/>
      <c r="F3169" s="84"/>
      <c r="G3169" s="84"/>
      <c r="R3169" s="251"/>
      <c r="S3169" s="251"/>
    </row>
    <row r="3170" spans="2:19" ht="15">
      <c r="B3170" s="84"/>
      <c r="D3170" s="84"/>
      <c r="E3170" s="84"/>
      <c r="F3170" s="84"/>
      <c r="G3170" s="84"/>
      <c r="R3170" s="251"/>
      <c r="S3170" s="251"/>
    </row>
    <row r="3171" spans="2:19" ht="15">
      <c r="B3171" s="84"/>
      <c r="D3171" s="84"/>
      <c r="E3171" s="84"/>
      <c r="F3171" s="84"/>
      <c r="G3171" s="84"/>
      <c r="R3171" s="251"/>
      <c r="S3171" s="251"/>
    </row>
    <row r="3172" spans="2:19" ht="15">
      <c r="B3172" s="84"/>
      <c r="D3172" s="84"/>
      <c r="E3172" s="84"/>
      <c r="F3172" s="84"/>
      <c r="G3172" s="84"/>
      <c r="R3172" s="251"/>
      <c r="S3172" s="251"/>
    </row>
    <row r="3173" spans="2:19" ht="15">
      <c r="B3173" s="84"/>
      <c r="D3173" s="84"/>
      <c r="E3173" s="84"/>
      <c r="F3173" s="84"/>
      <c r="G3173" s="84"/>
      <c r="R3173" s="251"/>
      <c r="S3173" s="251"/>
    </row>
    <row r="3174" spans="2:19" ht="15">
      <c r="B3174" s="84"/>
      <c r="D3174" s="84"/>
      <c r="E3174" s="84"/>
      <c r="F3174" s="84"/>
      <c r="G3174" s="84"/>
      <c r="R3174" s="251"/>
      <c r="S3174" s="251"/>
    </row>
    <row r="3175" spans="2:19" ht="15">
      <c r="B3175" s="84"/>
      <c r="D3175" s="84"/>
      <c r="E3175" s="84"/>
      <c r="F3175" s="84"/>
      <c r="G3175" s="84"/>
      <c r="R3175" s="251"/>
      <c r="S3175" s="251"/>
    </row>
    <row r="3176" spans="2:19" ht="15">
      <c r="B3176" s="84"/>
      <c r="D3176" s="84"/>
      <c r="E3176" s="84"/>
      <c r="F3176" s="84"/>
      <c r="G3176" s="84"/>
      <c r="R3176" s="251"/>
      <c r="S3176" s="251"/>
    </row>
    <row r="3177" spans="2:19" ht="15">
      <c r="B3177" s="84"/>
      <c r="D3177" s="84"/>
      <c r="E3177" s="84"/>
      <c r="F3177" s="84"/>
      <c r="G3177" s="84"/>
      <c r="R3177" s="251"/>
      <c r="S3177" s="251"/>
    </row>
    <row r="3178" spans="2:19" ht="15">
      <c r="B3178" s="84"/>
      <c r="D3178" s="84"/>
      <c r="E3178" s="84"/>
      <c r="F3178" s="84"/>
      <c r="G3178" s="84"/>
      <c r="R3178" s="251"/>
      <c r="S3178" s="251"/>
    </row>
    <row r="3179" spans="2:19" ht="15">
      <c r="B3179" s="84"/>
      <c r="D3179" s="84"/>
      <c r="E3179" s="84"/>
      <c r="F3179" s="84"/>
      <c r="G3179" s="84"/>
      <c r="R3179" s="251"/>
      <c r="S3179" s="251"/>
    </row>
    <row r="3180" spans="2:19" ht="15">
      <c r="B3180" s="84"/>
      <c r="D3180" s="84"/>
      <c r="E3180" s="84"/>
      <c r="F3180" s="84"/>
      <c r="G3180" s="84"/>
      <c r="R3180" s="251"/>
      <c r="S3180" s="251"/>
    </row>
    <row r="3181" spans="2:19" ht="15">
      <c r="B3181" s="84"/>
      <c r="D3181" s="84"/>
      <c r="E3181" s="84"/>
      <c r="F3181" s="84"/>
      <c r="G3181" s="84"/>
      <c r="R3181" s="251"/>
      <c r="S3181" s="251"/>
    </row>
    <row r="3182" spans="2:19" ht="15">
      <c r="B3182" s="84"/>
      <c r="D3182" s="84"/>
      <c r="E3182" s="84"/>
      <c r="F3182" s="84"/>
      <c r="G3182" s="84"/>
      <c r="R3182" s="251"/>
      <c r="S3182" s="251"/>
    </row>
    <row r="3183" spans="2:19" ht="15">
      <c r="B3183" s="84"/>
      <c r="D3183" s="84"/>
      <c r="E3183" s="84"/>
      <c r="F3183" s="84"/>
      <c r="G3183" s="84"/>
      <c r="R3183" s="251"/>
      <c r="S3183" s="251"/>
    </row>
    <row r="3184" spans="2:19" ht="15">
      <c r="B3184" s="84"/>
      <c r="D3184" s="84"/>
      <c r="E3184" s="84"/>
      <c r="F3184" s="84"/>
      <c r="G3184" s="84"/>
      <c r="R3184" s="251"/>
      <c r="S3184" s="251"/>
    </row>
    <row r="3185" spans="2:19" ht="15">
      <c r="B3185" s="84"/>
      <c r="D3185" s="84"/>
      <c r="E3185" s="84"/>
      <c r="F3185" s="84"/>
      <c r="G3185" s="84"/>
      <c r="R3185" s="251"/>
      <c r="S3185" s="251"/>
    </row>
    <row r="3186" spans="2:19" ht="15">
      <c r="B3186" s="84"/>
      <c r="D3186" s="84"/>
      <c r="E3186" s="84"/>
      <c r="F3186" s="84"/>
      <c r="G3186" s="84"/>
      <c r="R3186" s="251"/>
      <c r="S3186" s="251"/>
    </row>
    <row r="3187" spans="2:19" ht="15">
      <c r="B3187" s="84"/>
      <c r="D3187" s="84"/>
      <c r="E3187" s="84"/>
      <c r="F3187" s="84"/>
      <c r="G3187" s="84"/>
      <c r="R3187" s="251"/>
      <c r="S3187" s="251"/>
    </row>
    <row r="3188" spans="2:19" ht="15">
      <c r="B3188" s="84"/>
      <c r="D3188" s="84"/>
      <c r="E3188" s="84"/>
      <c r="F3188" s="84"/>
      <c r="G3188" s="84"/>
      <c r="R3188" s="251"/>
      <c r="S3188" s="251"/>
    </row>
    <row r="3189" spans="2:19" ht="15">
      <c r="B3189" s="84"/>
      <c r="D3189" s="84"/>
      <c r="E3189" s="84"/>
      <c r="F3189" s="84"/>
      <c r="G3189" s="84"/>
      <c r="R3189" s="251"/>
      <c r="S3189" s="251"/>
    </row>
    <row r="3190" spans="2:19" ht="15">
      <c r="B3190" s="84"/>
      <c r="D3190" s="84"/>
      <c r="E3190" s="84"/>
      <c r="F3190" s="84"/>
      <c r="G3190" s="84"/>
      <c r="R3190" s="251"/>
      <c r="S3190" s="251"/>
    </row>
    <row r="3191" spans="2:19" ht="15">
      <c r="B3191" s="84"/>
      <c r="D3191" s="84"/>
      <c r="E3191" s="84"/>
      <c r="F3191" s="84"/>
      <c r="G3191" s="84"/>
      <c r="R3191" s="251"/>
      <c r="S3191" s="251"/>
    </row>
    <row r="3192" spans="2:19" ht="15">
      <c r="B3192" s="84"/>
      <c r="D3192" s="84"/>
      <c r="E3192" s="84"/>
      <c r="F3192" s="84"/>
      <c r="G3192" s="84"/>
      <c r="R3192" s="251"/>
      <c r="S3192" s="251"/>
    </row>
    <row r="3193" spans="2:19" ht="15">
      <c r="B3193" s="84"/>
      <c r="D3193" s="84"/>
      <c r="E3193" s="84"/>
      <c r="F3193" s="84"/>
      <c r="G3193" s="84"/>
      <c r="R3193" s="251"/>
      <c r="S3193" s="251"/>
    </row>
    <row r="3194" spans="2:19" ht="15">
      <c r="B3194" s="84"/>
      <c r="D3194" s="84"/>
      <c r="E3194" s="84"/>
      <c r="F3194" s="84"/>
      <c r="G3194" s="84"/>
      <c r="R3194" s="251"/>
      <c r="S3194" s="251"/>
    </row>
    <row r="3195" spans="2:19" ht="15">
      <c r="B3195" s="84"/>
      <c r="D3195" s="84"/>
      <c r="E3195" s="84"/>
      <c r="F3195" s="84"/>
      <c r="G3195" s="84"/>
      <c r="R3195" s="251"/>
      <c r="S3195" s="251"/>
    </row>
    <row r="3196" spans="2:19" ht="15">
      <c r="B3196" s="84"/>
      <c r="D3196" s="84"/>
      <c r="E3196" s="84"/>
      <c r="F3196" s="84"/>
      <c r="G3196" s="84"/>
      <c r="R3196" s="251"/>
      <c r="S3196" s="251"/>
    </row>
    <row r="3197" spans="2:19" ht="15">
      <c r="B3197" s="84"/>
      <c r="D3197" s="84"/>
      <c r="E3197" s="84"/>
      <c r="F3197" s="84"/>
      <c r="G3197" s="84"/>
      <c r="R3197" s="251"/>
      <c r="S3197" s="251"/>
    </row>
    <row r="3198" spans="2:19" ht="15">
      <c r="B3198" s="84"/>
      <c r="D3198" s="84"/>
      <c r="E3198" s="84"/>
      <c r="F3198" s="84"/>
      <c r="G3198" s="84"/>
      <c r="R3198" s="251"/>
      <c r="S3198" s="251"/>
    </row>
    <row r="3199" spans="2:19" ht="15">
      <c r="B3199" s="84"/>
      <c r="D3199" s="84"/>
      <c r="E3199" s="84"/>
      <c r="F3199" s="84"/>
      <c r="G3199" s="84"/>
      <c r="R3199" s="251"/>
      <c r="S3199" s="251"/>
    </row>
    <row r="3200" spans="2:19" ht="15">
      <c r="B3200" s="84"/>
      <c r="D3200" s="84"/>
      <c r="E3200" s="84"/>
      <c r="F3200" s="84"/>
      <c r="G3200" s="84"/>
      <c r="R3200" s="251"/>
      <c r="S3200" s="251"/>
    </row>
    <row r="3201" spans="2:19" ht="15">
      <c r="B3201" s="84"/>
      <c r="D3201" s="84"/>
      <c r="E3201" s="84"/>
      <c r="F3201" s="84"/>
      <c r="G3201" s="84"/>
      <c r="R3201" s="251"/>
      <c r="S3201" s="251"/>
    </row>
    <row r="3202" spans="2:19" ht="15">
      <c r="B3202" s="84"/>
      <c r="D3202" s="84"/>
      <c r="E3202" s="84"/>
      <c r="F3202" s="84"/>
      <c r="G3202" s="84"/>
      <c r="R3202" s="251"/>
      <c r="S3202" s="251"/>
    </row>
    <row r="3203" spans="2:19" ht="15">
      <c r="B3203" s="84"/>
      <c r="D3203" s="84"/>
      <c r="E3203" s="84"/>
      <c r="F3203" s="84"/>
      <c r="G3203" s="84"/>
      <c r="R3203" s="251"/>
      <c r="S3203" s="251"/>
    </row>
    <row r="3204" spans="2:19" ht="15">
      <c r="B3204" s="84"/>
      <c r="D3204" s="84"/>
      <c r="E3204" s="84"/>
      <c r="F3204" s="84"/>
      <c r="G3204" s="84"/>
      <c r="R3204" s="251"/>
      <c r="S3204" s="251"/>
    </row>
    <row r="3205" spans="2:19" ht="15">
      <c r="B3205" s="84"/>
      <c r="D3205" s="84"/>
      <c r="E3205" s="84"/>
      <c r="F3205" s="84"/>
      <c r="G3205" s="84"/>
      <c r="R3205" s="251"/>
      <c r="S3205" s="251"/>
    </row>
    <row r="3206" spans="2:19" ht="15">
      <c r="B3206" s="84"/>
      <c r="D3206" s="84"/>
      <c r="E3206" s="84"/>
      <c r="F3206" s="84"/>
      <c r="G3206" s="84"/>
      <c r="R3206" s="251"/>
      <c r="S3206" s="251"/>
    </row>
    <row r="3207" spans="2:19" ht="15">
      <c r="B3207" s="84"/>
      <c r="D3207" s="84"/>
      <c r="E3207" s="84"/>
      <c r="F3207" s="84"/>
      <c r="G3207" s="84"/>
      <c r="R3207" s="251"/>
      <c r="S3207" s="251"/>
    </row>
    <row r="3208" spans="2:19" ht="15">
      <c r="B3208" s="84"/>
      <c r="D3208" s="84"/>
      <c r="E3208" s="84"/>
      <c r="F3208" s="84"/>
      <c r="G3208" s="84"/>
      <c r="R3208" s="251"/>
      <c r="S3208" s="251"/>
    </row>
    <row r="3209" spans="2:19" ht="15">
      <c r="B3209" s="84"/>
      <c r="D3209" s="84"/>
      <c r="E3209" s="84"/>
      <c r="F3209" s="84"/>
      <c r="G3209" s="84"/>
      <c r="R3209" s="251"/>
      <c r="S3209" s="251"/>
    </row>
    <row r="3210" spans="2:19" ht="15">
      <c r="B3210" s="84"/>
      <c r="D3210" s="84"/>
      <c r="E3210" s="84"/>
      <c r="F3210" s="84"/>
      <c r="G3210" s="84"/>
      <c r="R3210" s="251"/>
      <c r="S3210" s="251"/>
    </row>
    <row r="3211" spans="2:19" ht="15">
      <c r="B3211" s="84"/>
      <c r="D3211" s="84"/>
      <c r="E3211" s="84"/>
      <c r="F3211" s="84"/>
      <c r="G3211" s="84"/>
      <c r="R3211" s="251"/>
      <c r="S3211" s="251"/>
    </row>
    <row r="3212" spans="2:19" ht="15">
      <c r="B3212" s="84"/>
      <c r="D3212" s="84"/>
      <c r="E3212" s="84"/>
      <c r="F3212" s="84"/>
      <c r="G3212" s="84"/>
      <c r="R3212" s="251"/>
      <c r="S3212" s="251"/>
    </row>
    <row r="3213" spans="2:19" ht="15">
      <c r="B3213" s="84"/>
      <c r="D3213" s="84"/>
      <c r="E3213" s="84"/>
      <c r="F3213" s="84"/>
      <c r="G3213" s="84"/>
      <c r="R3213" s="251"/>
      <c r="S3213" s="251"/>
    </row>
    <row r="3214" spans="2:19" ht="15">
      <c r="B3214" s="84"/>
      <c r="D3214" s="84"/>
      <c r="E3214" s="84"/>
      <c r="F3214" s="84"/>
      <c r="G3214" s="84"/>
      <c r="R3214" s="251"/>
      <c r="S3214" s="251"/>
    </row>
    <row r="3215" spans="2:19" ht="15">
      <c r="B3215" s="84"/>
      <c r="D3215" s="84"/>
      <c r="E3215" s="84"/>
      <c r="F3215" s="84"/>
      <c r="G3215" s="84"/>
      <c r="R3215" s="251"/>
      <c r="S3215" s="251"/>
    </row>
    <row r="3216" spans="2:19" ht="15">
      <c r="B3216" s="84"/>
      <c r="D3216" s="84"/>
      <c r="E3216" s="84"/>
      <c r="F3216" s="84"/>
      <c r="G3216" s="84"/>
      <c r="R3216" s="251"/>
      <c r="S3216" s="251"/>
    </row>
    <row r="3217" spans="2:19" ht="15">
      <c r="B3217" s="84"/>
      <c r="D3217" s="84"/>
      <c r="E3217" s="84"/>
      <c r="F3217" s="84"/>
      <c r="G3217" s="84"/>
      <c r="R3217" s="251"/>
      <c r="S3217" s="251"/>
    </row>
    <row r="3218" spans="2:19" ht="15">
      <c r="B3218" s="84"/>
      <c r="D3218" s="84"/>
      <c r="E3218" s="84"/>
      <c r="F3218" s="84"/>
      <c r="G3218" s="84"/>
      <c r="R3218" s="251"/>
      <c r="S3218" s="251"/>
    </row>
    <row r="3219" spans="2:19" ht="15">
      <c r="B3219" s="84"/>
      <c r="D3219" s="84"/>
      <c r="E3219" s="84"/>
      <c r="F3219" s="84"/>
      <c r="G3219" s="84"/>
      <c r="R3219" s="251"/>
      <c r="S3219" s="251"/>
    </row>
    <row r="3220" spans="2:19" ht="15">
      <c r="B3220" s="84"/>
      <c r="D3220" s="84"/>
      <c r="E3220" s="84"/>
      <c r="F3220" s="84"/>
      <c r="G3220" s="84"/>
      <c r="R3220" s="251"/>
      <c r="S3220" s="251"/>
    </row>
    <row r="3221" spans="2:19" ht="15">
      <c r="B3221" s="84"/>
      <c r="D3221" s="84"/>
      <c r="E3221" s="84"/>
      <c r="F3221" s="84"/>
      <c r="G3221" s="84"/>
      <c r="R3221" s="251"/>
      <c r="S3221" s="251"/>
    </row>
    <row r="3222" spans="2:19" ht="15">
      <c r="B3222" s="84"/>
      <c r="D3222" s="84"/>
      <c r="E3222" s="84"/>
      <c r="F3222" s="84"/>
      <c r="G3222" s="84"/>
      <c r="R3222" s="251"/>
      <c r="S3222" s="251"/>
    </row>
    <row r="3223" spans="2:19" ht="15">
      <c r="B3223" s="84"/>
      <c r="D3223" s="84"/>
      <c r="E3223" s="84"/>
      <c r="F3223" s="84"/>
      <c r="G3223" s="84"/>
      <c r="R3223" s="251"/>
      <c r="S3223" s="251"/>
    </row>
    <row r="3224" spans="2:19" ht="15">
      <c r="B3224" s="84"/>
      <c r="D3224" s="84"/>
      <c r="E3224" s="84"/>
      <c r="F3224" s="84"/>
      <c r="G3224" s="84"/>
      <c r="R3224" s="251"/>
      <c r="S3224" s="251"/>
    </row>
    <row r="3225" spans="2:19" ht="15">
      <c r="B3225" s="84"/>
      <c r="D3225" s="84"/>
      <c r="E3225" s="84"/>
      <c r="F3225" s="84"/>
      <c r="G3225" s="84"/>
      <c r="R3225" s="251"/>
      <c r="S3225" s="251"/>
    </row>
    <row r="3226" spans="2:19" ht="15">
      <c r="B3226" s="84"/>
      <c r="D3226" s="84"/>
      <c r="E3226" s="84"/>
      <c r="F3226" s="84"/>
      <c r="G3226" s="84"/>
      <c r="R3226" s="251"/>
      <c r="S3226" s="251"/>
    </row>
    <row r="3227" spans="2:19" ht="15">
      <c r="B3227" s="84"/>
      <c r="D3227" s="84"/>
      <c r="E3227" s="84"/>
      <c r="F3227" s="84"/>
      <c r="G3227" s="84"/>
      <c r="R3227" s="251"/>
      <c r="S3227" s="251"/>
    </row>
    <row r="3228" spans="2:19" ht="15">
      <c r="B3228" s="84"/>
      <c r="D3228" s="84"/>
      <c r="E3228" s="84"/>
      <c r="F3228" s="84"/>
      <c r="G3228" s="84"/>
      <c r="R3228" s="251"/>
      <c r="S3228" s="251"/>
    </row>
    <row r="3229" spans="2:19" ht="15">
      <c r="B3229" s="84"/>
      <c r="D3229" s="84"/>
      <c r="E3229" s="84"/>
      <c r="F3229" s="84"/>
      <c r="G3229" s="84"/>
      <c r="R3229" s="251"/>
      <c r="S3229" s="251"/>
    </row>
    <row r="3230" spans="2:19" ht="15">
      <c r="B3230" s="84"/>
      <c r="D3230" s="84"/>
      <c r="E3230" s="84"/>
      <c r="F3230" s="84"/>
      <c r="G3230" s="84"/>
      <c r="R3230" s="251"/>
      <c r="S3230" s="251"/>
    </row>
    <row r="3231" spans="2:19" ht="15">
      <c r="B3231" s="84"/>
      <c r="D3231" s="84"/>
      <c r="E3231" s="84"/>
      <c r="F3231" s="84"/>
      <c r="G3231" s="84"/>
      <c r="R3231" s="251"/>
      <c r="S3231" s="251"/>
    </row>
    <row r="3232" spans="2:19" ht="15">
      <c r="B3232" s="84"/>
      <c r="D3232" s="84"/>
      <c r="E3232" s="84"/>
      <c r="F3232" s="84"/>
      <c r="G3232" s="84"/>
      <c r="R3232" s="251"/>
      <c r="S3232" s="251"/>
    </row>
    <row r="3233" spans="2:19" ht="15">
      <c r="B3233" s="84"/>
      <c r="D3233" s="84"/>
      <c r="E3233" s="84"/>
      <c r="F3233" s="84"/>
      <c r="G3233" s="84"/>
      <c r="R3233" s="251"/>
      <c r="S3233" s="251"/>
    </row>
    <row r="3234" spans="2:19" ht="15">
      <c r="B3234" s="84"/>
      <c r="D3234" s="84"/>
      <c r="E3234" s="84"/>
      <c r="F3234" s="84"/>
      <c r="G3234" s="84"/>
      <c r="R3234" s="251"/>
      <c r="S3234" s="251"/>
    </row>
    <row r="3235" spans="2:19" ht="15">
      <c r="B3235" s="84"/>
      <c r="D3235" s="84"/>
      <c r="E3235" s="84"/>
      <c r="F3235" s="84"/>
      <c r="G3235" s="84"/>
      <c r="R3235" s="251"/>
      <c r="S3235" s="251"/>
    </row>
    <row r="3236" spans="2:19" ht="15">
      <c r="B3236" s="84"/>
      <c r="D3236" s="84"/>
      <c r="E3236" s="84"/>
      <c r="F3236" s="84"/>
      <c r="G3236" s="84"/>
      <c r="R3236" s="251"/>
      <c r="S3236" s="251"/>
    </row>
    <row r="3237" spans="2:19" ht="15">
      <c r="B3237" s="84"/>
      <c r="D3237" s="84"/>
      <c r="E3237" s="84"/>
      <c r="F3237" s="84"/>
      <c r="G3237" s="84"/>
      <c r="R3237" s="251"/>
      <c r="S3237" s="251"/>
    </row>
    <row r="3238" spans="2:19" ht="15">
      <c r="B3238" s="84"/>
      <c r="D3238" s="84"/>
      <c r="E3238" s="84"/>
      <c r="F3238" s="84"/>
      <c r="G3238" s="84"/>
      <c r="R3238" s="251"/>
      <c r="S3238" s="251"/>
    </row>
    <row r="3239" spans="2:19" ht="15">
      <c r="B3239" s="84"/>
      <c r="D3239" s="84"/>
      <c r="E3239" s="84"/>
      <c r="F3239" s="84"/>
      <c r="G3239" s="84"/>
      <c r="R3239" s="251"/>
      <c r="S3239" s="251"/>
    </row>
    <row r="3240" spans="2:19" ht="15">
      <c r="B3240" s="84"/>
      <c r="D3240" s="84"/>
      <c r="E3240" s="84"/>
      <c r="F3240" s="84"/>
      <c r="G3240" s="84"/>
      <c r="R3240" s="251"/>
      <c r="S3240" s="251"/>
    </row>
    <row r="3241" spans="2:19" ht="15">
      <c r="B3241" s="84"/>
      <c r="D3241" s="84"/>
      <c r="E3241" s="84"/>
      <c r="F3241" s="84"/>
      <c r="G3241" s="84"/>
      <c r="R3241" s="251"/>
      <c r="S3241" s="251"/>
    </row>
    <row r="3242" spans="2:19" ht="15">
      <c r="B3242" s="84"/>
      <c r="D3242" s="84"/>
      <c r="E3242" s="84"/>
      <c r="F3242" s="84"/>
      <c r="G3242" s="84"/>
      <c r="R3242" s="251"/>
      <c r="S3242" s="251"/>
    </row>
    <row r="3243" spans="2:19" ht="15">
      <c r="B3243" s="84"/>
      <c r="D3243" s="84"/>
      <c r="E3243" s="84"/>
      <c r="F3243" s="84"/>
      <c r="G3243" s="84"/>
      <c r="R3243" s="251"/>
      <c r="S3243" s="251"/>
    </row>
    <row r="3244" spans="2:19" ht="15">
      <c r="B3244" s="84"/>
      <c r="D3244" s="84"/>
      <c r="E3244" s="84"/>
      <c r="F3244" s="84"/>
      <c r="G3244" s="84"/>
      <c r="R3244" s="251"/>
      <c r="S3244" s="251"/>
    </row>
    <row r="3245" spans="2:19" ht="15">
      <c r="B3245" s="84"/>
      <c r="D3245" s="84"/>
      <c r="E3245" s="84"/>
      <c r="F3245" s="84"/>
      <c r="G3245" s="84"/>
      <c r="R3245" s="251"/>
      <c r="S3245" s="251"/>
    </row>
    <row r="3246" spans="2:19" ht="15">
      <c r="B3246" s="84"/>
      <c r="D3246" s="84"/>
      <c r="E3246" s="84"/>
      <c r="F3246" s="84"/>
      <c r="G3246" s="84"/>
      <c r="R3246" s="251"/>
      <c r="S3246" s="251"/>
    </row>
    <row r="3247" spans="2:19" ht="15">
      <c r="B3247" s="84"/>
      <c r="D3247" s="84"/>
      <c r="E3247" s="84"/>
      <c r="F3247" s="84"/>
      <c r="G3247" s="84"/>
      <c r="R3247" s="251"/>
      <c r="S3247" s="251"/>
    </row>
    <row r="3248" spans="2:19" ht="15">
      <c r="B3248" s="84"/>
      <c r="D3248" s="84"/>
      <c r="E3248" s="84"/>
      <c r="F3248" s="84"/>
      <c r="G3248" s="84"/>
      <c r="R3248" s="251"/>
      <c r="S3248" s="251"/>
    </row>
    <row r="3249" spans="2:19" ht="15">
      <c r="B3249" s="84"/>
      <c r="D3249" s="84"/>
      <c r="E3249" s="84"/>
      <c r="F3249" s="84"/>
      <c r="G3249" s="84"/>
      <c r="R3249" s="251"/>
      <c r="S3249" s="251"/>
    </row>
    <row r="3250" spans="2:19" ht="15">
      <c r="B3250" s="84"/>
      <c r="D3250" s="84"/>
      <c r="E3250" s="84"/>
      <c r="F3250" s="84"/>
      <c r="G3250" s="84"/>
      <c r="R3250" s="251"/>
      <c r="S3250" s="251"/>
    </row>
    <row r="3251" spans="2:19" ht="15">
      <c r="B3251" s="84"/>
      <c r="D3251" s="84"/>
      <c r="E3251" s="84"/>
      <c r="F3251" s="84"/>
      <c r="G3251" s="84"/>
      <c r="R3251" s="251"/>
      <c r="S3251" s="251"/>
    </row>
    <row r="3252" spans="2:19" ht="15">
      <c r="B3252" s="84"/>
      <c r="D3252" s="84"/>
      <c r="E3252" s="84"/>
      <c r="F3252" s="84"/>
      <c r="G3252" s="84"/>
      <c r="R3252" s="251"/>
      <c r="S3252" s="251"/>
    </row>
    <row r="3253" spans="2:19" ht="15">
      <c r="B3253" s="84"/>
      <c r="D3253" s="84"/>
      <c r="E3253" s="84"/>
      <c r="F3253" s="84"/>
      <c r="G3253" s="84"/>
      <c r="R3253" s="251"/>
      <c r="S3253" s="251"/>
    </row>
    <row r="3254" spans="2:19" ht="15">
      <c r="B3254" s="84"/>
      <c r="D3254" s="84"/>
      <c r="E3254" s="84"/>
      <c r="F3254" s="84"/>
      <c r="G3254" s="84"/>
      <c r="R3254" s="251"/>
      <c r="S3254" s="251"/>
    </row>
    <row r="3255" spans="2:19" ht="15">
      <c r="B3255" s="84"/>
      <c r="D3255" s="84"/>
      <c r="E3255" s="84"/>
      <c r="F3255" s="84"/>
      <c r="G3255" s="84"/>
      <c r="R3255" s="251"/>
      <c r="S3255" s="251"/>
    </row>
    <row r="3256" spans="2:19" ht="15">
      <c r="B3256" s="84"/>
      <c r="D3256" s="84"/>
      <c r="E3256" s="84"/>
      <c r="F3256" s="84"/>
      <c r="G3256" s="84"/>
      <c r="R3256" s="251"/>
      <c r="S3256" s="251"/>
    </row>
    <row r="3257" spans="2:19" ht="15">
      <c r="B3257" s="84"/>
      <c r="D3257" s="84"/>
      <c r="E3257" s="84"/>
      <c r="F3257" s="84"/>
      <c r="G3257" s="84"/>
      <c r="R3257" s="251"/>
      <c r="S3257" s="251"/>
    </row>
    <row r="3258" spans="2:19" ht="15">
      <c r="B3258" s="84"/>
      <c r="D3258" s="84"/>
      <c r="E3258" s="84"/>
      <c r="F3258" s="84"/>
      <c r="G3258" s="84"/>
      <c r="R3258" s="251"/>
      <c r="S3258" s="251"/>
    </row>
    <row r="3259" spans="2:19" ht="15">
      <c r="B3259" s="84"/>
      <c r="D3259" s="84"/>
      <c r="E3259" s="84"/>
      <c r="F3259" s="84"/>
      <c r="G3259" s="84"/>
      <c r="R3259" s="251"/>
      <c r="S3259" s="251"/>
    </row>
    <row r="3260" spans="2:19" ht="15">
      <c r="B3260" s="84"/>
      <c r="D3260" s="84"/>
      <c r="E3260" s="84"/>
      <c r="F3260" s="84"/>
      <c r="G3260" s="84"/>
      <c r="R3260" s="251"/>
      <c r="S3260" s="251"/>
    </row>
    <row r="3261" spans="2:19" ht="15">
      <c r="B3261" s="84"/>
      <c r="D3261" s="84"/>
      <c r="E3261" s="84"/>
      <c r="F3261" s="84"/>
      <c r="G3261" s="84"/>
      <c r="R3261" s="251"/>
      <c r="S3261" s="251"/>
    </row>
    <row r="3262" spans="2:19" ht="15">
      <c r="B3262" s="84"/>
      <c r="D3262" s="84"/>
      <c r="E3262" s="84"/>
      <c r="F3262" s="84"/>
      <c r="G3262" s="84"/>
      <c r="R3262" s="251"/>
      <c r="S3262" s="251"/>
    </row>
    <row r="3263" spans="2:19" ht="15">
      <c r="B3263" s="84"/>
      <c r="D3263" s="84"/>
      <c r="E3263" s="84"/>
      <c r="F3263" s="84"/>
      <c r="G3263" s="84"/>
      <c r="R3263" s="251"/>
      <c r="S3263" s="251"/>
    </row>
    <row r="3264" spans="2:19" ht="15">
      <c r="B3264" s="84"/>
      <c r="D3264" s="84"/>
      <c r="E3264" s="84"/>
      <c r="F3264" s="84"/>
      <c r="G3264" s="84"/>
      <c r="R3264" s="251"/>
      <c r="S3264" s="251"/>
    </row>
    <row r="3265" spans="2:19" ht="15">
      <c r="B3265" s="84"/>
      <c r="D3265" s="84"/>
      <c r="E3265" s="84"/>
      <c r="F3265" s="84"/>
      <c r="G3265" s="84"/>
      <c r="R3265" s="251"/>
      <c r="S3265" s="251"/>
    </row>
    <row r="3266" spans="2:19" ht="15">
      <c r="B3266" s="84"/>
      <c r="D3266" s="84"/>
      <c r="E3266" s="84"/>
      <c r="F3266" s="84"/>
      <c r="G3266" s="84"/>
      <c r="R3266" s="251"/>
      <c r="S3266" s="251"/>
    </row>
    <row r="3267" spans="2:19" ht="15">
      <c r="B3267" s="84"/>
      <c r="D3267" s="84"/>
      <c r="E3267" s="84"/>
      <c r="F3267" s="84"/>
      <c r="G3267" s="84"/>
      <c r="R3267" s="251"/>
      <c r="S3267" s="251"/>
    </row>
    <row r="3268" spans="2:19" ht="15">
      <c r="B3268" s="84"/>
      <c r="D3268" s="84"/>
      <c r="E3268" s="84"/>
      <c r="F3268" s="84"/>
      <c r="G3268" s="84"/>
      <c r="R3268" s="251"/>
      <c r="S3268" s="251"/>
    </row>
    <row r="3269" spans="2:19" ht="15">
      <c r="B3269" s="84"/>
      <c r="D3269" s="84"/>
      <c r="E3269" s="84"/>
      <c r="F3269" s="84"/>
      <c r="G3269" s="84"/>
      <c r="R3269" s="251"/>
      <c r="S3269" s="251"/>
    </row>
    <row r="3270" spans="2:19" ht="15">
      <c r="B3270" s="84"/>
      <c r="D3270" s="84"/>
      <c r="E3270" s="84"/>
      <c r="F3270" s="84"/>
      <c r="G3270" s="84"/>
      <c r="R3270" s="251"/>
      <c r="S3270" s="251"/>
    </row>
    <row r="3271" spans="2:19" ht="15">
      <c r="B3271" s="84"/>
      <c r="D3271" s="84"/>
      <c r="E3271" s="84"/>
      <c r="F3271" s="84"/>
      <c r="G3271" s="84"/>
      <c r="R3271" s="251"/>
      <c r="S3271" s="251"/>
    </row>
    <row r="3272" spans="2:19" ht="15">
      <c r="B3272" s="84"/>
      <c r="D3272" s="84"/>
      <c r="E3272" s="84"/>
      <c r="F3272" s="84"/>
      <c r="G3272" s="84"/>
      <c r="R3272" s="251"/>
      <c r="S3272" s="251"/>
    </row>
    <row r="3273" spans="2:19" ht="15">
      <c r="B3273" s="84"/>
      <c r="D3273" s="84"/>
      <c r="E3273" s="84"/>
      <c r="F3273" s="84"/>
      <c r="G3273" s="84"/>
      <c r="R3273" s="251"/>
      <c r="S3273" s="251"/>
    </row>
    <row r="3274" spans="2:19" ht="15">
      <c r="B3274" s="84"/>
      <c r="D3274" s="84"/>
      <c r="E3274" s="84"/>
      <c r="F3274" s="84"/>
      <c r="G3274" s="84"/>
      <c r="R3274" s="251"/>
      <c r="S3274" s="251"/>
    </row>
    <row r="3275" spans="2:19" ht="15">
      <c r="B3275" s="84"/>
      <c r="D3275" s="84"/>
      <c r="E3275" s="84"/>
      <c r="F3275" s="84"/>
      <c r="G3275" s="84"/>
      <c r="R3275" s="251"/>
      <c r="S3275" s="251"/>
    </row>
    <row r="3276" spans="2:19" ht="15">
      <c r="B3276" s="84"/>
      <c r="D3276" s="84"/>
      <c r="E3276" s="84"/>
      <c r="F3276" s="84"/>
      <c r="G3276" s="84"/>
      <c r="R3276" s="251"/>
      <c r="S3276" s="251"/>
    </row>
    <row r="3277" spans="2:19" ht="15">
      <c r="B3277" s="84"/>
      <c r="D3277" s="84"/>
      <c r="E3277" s="84"/>
      <c r="F3277" s="84"/>
      <c r="G3277" s="84"/>
      <c r="R3277" s="251"/>
      <c r="S3277" s="251"/>
    </row>
    <row r="3278" spans="2:19" ht="15">
      <c r="B3278" s="84"/>
      <c r="D3278" s="84"/>
      <c r="E3278" s="84"/>
      <c r="F3278" s="84"/>
      <c r="G3278" s="84"/>
      <c r="R3278" s="251"/>
      <c r="S3278" s="251"/>
    </row>
    <row r="3279" spans="2:19" ht="15">
      <c r="B3279" s="84"/>
      <c r="D3279" s="84"/>
      <c r="E3279" s="84"/>
      <c r="F3279" s="84"/>
      <c r="G3279" s="84"/>
      <c r="R3279" s="251"/>
      <c r="S3279" s="251"/>
    </row>
    <row r="3280" spans="2:19" ht="15">
      <c r="B3280" s="84"/>
      <c r="D3280" s="84"/>
      <c r="E3280" s="84"/>
      <c r="F3280" s="84"/>
      <c r="G3280" s="84"/>
      <c r="R3280" s="251"/>
      <c r="S3280" s="251"/>
    </row>
    <row r="3281" spans="2:19" ht="15">
      <c r="B3281" s="84"/>
      <c r="D3281" s="84"/>
      <c r="E3281" s="84"/>
      <c r="F3281" s="84"/>
      <c r="G3281" s="84"/>
      <c r="R3281" s="251"/>
      <c r="S3281" s="251"/>
    </row>
    <row r="3282" spans="2:19" ht="15">
      <c r="B3282" s="84"/>
      <c r="D3282" s="84"/>
      <c r="E3282" s="84"/>
      <c r="F3282" s="84"/>
      <c r="G3282" s="84"/>
      <c r="R3282" s="251"/>
      <c r="S3282" s="251"/>
    </row>
    <row r="3283" spans="2:19" ht="15">
      <c r="B3283" s="84"/>
      <c r="D3283" s="84"/>
      <c r="E3283" s="84"/>
      <c r="F3283" s="84"/>
      <c r="G3283" s="84"/>
      <c r="R3283" s="251"/>
      <c r="S3283" s="251"/>
    </row>
    <row r="3284" spans="2:19" ht="15">
      <c r="B3284" s="84"/>
      <c r="D3284" s="84"/>
      <c r="E3284" s="84"/>
      <c r="F3284" s="84"/>
      <c r="G3284" s="84"/>
      <c r="R3284" s="251"/>
      <c r="S3284" s="251"/>
    </row>
    <row r="3285" spans="2:19" ht="15">
      <c r="B3285" s="84"/>
      <c r="D3285" s="84"/>
      <c r="E3285" s="84"/>
      <c r="F3285" s="84"/>
      <c r="G3285" s="84"/>
      <c r="R3285" s="251"/>
      <c r="S3285" s="251"/>
    </row>
    <row r="3286" spans="2:19" ht="15">
      <c r="B3286" s="84"/>
      <c r="D3286" s="84"/>
      <c r="E3286" s="84"/>
      <c r="F3286" s="84"/>
      <c r="G3286" s="84"/>
      <c r="R3286" s="251"/>
      <c r="S3286" s="251"/>
    </row>
    <row r="3287" spans="2:19" ht="15">
      <c r="B3287" s="84"/>
      <c r="D3287" s="84"/>
      <c r="E3287" s="84"/>
      <c r="F3287" s="84"/>
      <c r="G3287" s="84"/>
      <c r="R3287" s="251"/>
      <c r="S3287" s="251"/>
    </row>
    <row r="3288" spans="2:19" ht="15">
      <c r="B3288" s="84"/>
      <c r="D3288" s="84"/>
      <c r="E3288" s="84"/>
      <c r="F3288" s="84"/>
      <c r="G3288" s="84"/>
      <c r="R3288" s="251"/>
      <c r="S3288" s="251"/>
    </row>
    <row r="3289" spans="2:19" ht="15">
      <c r="B3289" s="84"/>
      <c r="D3289" s="84"/>
      <c r="E3289" s="84"/>
      <c r="F3289" s="84"/>
      <c r="G3289" s="84"/>
      <c r="R3289" s="251"/>
      <c r="S3289" s="251"/>
    </row>
    <row r="3290" spans="2:19" ht="15">
      <c r="B3290" s="84"/>
      <c r="D3290" s="84"/>
      <c r="E3290" s="84"/>
      <c r="F3290" s="84"/>
      <c r="G3290" s="84"/>
      <c r="R3290" s="251"/>
      <c r="S3290" s="251"/>
    </row>
    <row r="3291" spans="2:19" ht="15">
      <c r="B3291" s="84"/>
      <c r="D3291" s="84"/>
      <c r="E3291" s="84"/>
      <c r="F3291" s="84"/>
      <c r="G3291" s="84"/>
      <c r="R3291" s="251"/>
      <c r="S3291" s="251"/>
    </row>
    <row r="3292" spans="2:19" ht="15">
      <c r="B3292" s="84"/>
      <c r="D3292" s="84"/>
      <c r="E3292" s="84"/>
      <c r="F3292" s="84"/>
      <c r="G3292" s="84"/>
      <c r="R3292" s="251"/>
      <c r="S3292" s="251"/>
    </row>
    <row r="3293" spans="2:19" ht="15">
      <c r="B3293" s="84"/>
      <c r="D3293" s="84"/>
      <c r="E3293" s="84"/>
      <c r="F3293" s="84"/>
      <c r="G3293" s="84"/>
      <c r="R3293" s="251"/>
      <c r="S3293" s="251"/>
    </row>
    <row r="3294" spans="2:19" ht="15">
      <c r="B3294" s="84"/>
      <c r="D3294" s="84"/>
      <c r="E3294" s="84"/>
      <c r="F3294" s="84"/>
      <c r="G3294" s="84"/>
      <c r="R3294" s="251"/>
      <c r="S3294" s="251"/>
    </row>
    <row r="3295" spans="2:19" ht="15">
      <c r="B3295" s="84"/>
      <c r="D3295" s="84"/>
      <c r="E3295" s="84"/>
      <c r="F3295" s="84"/>
      <c r="G3295" s="84"/>
      <c r="R3295" s="251"/>
      <c r="S3295" s="251"/>
    </row>
    <row r="3296" spans="2:19" ht="15">
      <c r="B3296" s="84"/>
      <c r="D3296" s="84"/>
      <c r="E3296" s="84"/>
      <c r="F3296" s="84"/>
      <c r="G3296" s="84"/>
      <c r="R3296" s="251"/>
      <c r="S3296" s="251"/>
    </row>
    <row r="3297" spans="2:19" ht="15">
      <c r="B3297" s="84"/>
      <c r="D3297" s="84"/>
      <c r="E3297" s="84"/>
      <c r="F3297" s="84"/>
      <c r="G3297" s="84"/>
      <c r="R3297" s="251"/>
      <c r="S3297" s="251"/>
    </row>
    <row r="3298" spans="2:19" ht="15">
      <c r="B3298" s="84"/>
      <c r="D3298" s="84"/>
      <c r="E3298" s="84"/>
      <c r="F3298" s="84"/>
      <c r="G3298" s="84"/>
      <c r="R3298" s="251"/>
      <c r="S3298" s="251"/>
    </row>
    <row r="3299" spans="2:19" ht="15">
      <c r="B3299" s="84"/>
      <c r="D3299" s="84"/>
      <c r="E3299" s="84"/>
      <c r="F3299" s="84"/>
      <c r="G3299" s="84"/>
      <c r="R3299" s="251"/>
      <c r="S3299" s="251"/>
    </row>
    <row r="3300" spans="2:19" ht="15">
      <c r="B3300" s="84"/>
      <c r="D3300" s="84"/>
      <c r="E3300" s="84"/>
      <c r="F3300" s="84"/>
      <c r="G3300" s="84"/>
      <c r="R3300" s="251"/>
      <c r="S3300" s="251"/>
    </row>
    <row r="3301" spans="2:19" ht="15">
      <c r="B3301" s="84"/>
      <c r="D3301" s="84"/>
      <c r="E3301" s="84"/>
      <c r="F3301" s="84"/>
      <c r="G3301" s="84"/>
      <c r="R3301" s="251"/>
      <c r="S3301" s="251"/>
    </row>
    <row r="3302" spans="2:19" ht="15">
      <c r="B3302" s="84"/>
      <c r="D3302" s="84"/>
      <c r="E3302" s="84"/>
      <c r="F3302" s="84"/>
      <c r="G3302" s="84"/>
      <c r="R3302" s="251"/>
      <c r="S3302" s="251"/>
    </row>
    <row r="3303" spans="2:19" ht="15">
      <c r="B3303" s="84"/>
      <c r="D3303" s="84"/>
      <c r="E3303" s="84"/>
      <c r="F3303" s="84"/>
      <c r="G3303" s="84"/>
      <c r="R3303" s="251"/>
      <c r="S3303" s="251"/>
    </row>
    <row r="3304" spans="2:19" ht="15">
      <c r="B3304" s="84"/>
      <c r="D3304" s="84"/>
      <c r="E3304" s="84"/>
      <c r="F3304" s="84"/>
      <c r="G3304" s="84"/>
      <c r="R3304" s="251"/>
      <c r="S3304" s="251"/>
    </row>
    <row r="3305" spans="2:19" ht="15">
      <c r="B3305" s="84"/>
      <c r="D3305" s="84"/>
      <c r="E3305" s="84"/>
      <c r="F3305" s="84"/>
      <c r="G3305" s="84"/>
      <c r="R3305" s="251"/>
      <c r="S3305" s="251"/>
    </row>
    <row r="3306" spans="2:19" ht="15">
      <c r="B3306" s="84"/>
      <c r="D3306" s="84"/>
      <c r="E3306" s="84"/>
      <c r="F3306" s="84"/>
      <c r="G3306" s="84"/>
      <c r="R3306" s="251"/>
      <c r="S3306" s="251"/>
    </row>
    <row r="3307" spans="2:19" ht="15">
      <c r="B3307" s="84"/>
      <c r="D3307" s="84"/>
      <c r="E3307" s="84"/>
      <c r="F3307" s="84"/>
      <c r="G3307" s="84"/>
      <c r="R3307" s="251"/>
      <c r="S3307" s="251"/>
    </row>
    <row r="3308" spans="2:19" ht="15">
      <c r="B3308" s="84"/>
      <c r="D3308" s="84"/>
      <c r="E3308" s="84"/>
      <c r="F3308" s="84"/>
      <c r="G3308" s="84"/>
      <c r="R3308" s="251"/>
      <c r="S3308" s="251"/>
    </row>
    <row r="3309" spans="2:19" ht="15">
      <c r="B3309" s="84"/>
      <c r="D3309" s="84"/>
      <c r="E3309" s="84"/>
      <c r="F3309" s="84"/>
      <c r="G3309" s="84"/>
      <c r="R3309" s="251"/>
      <c r="S3309" s="251"/>
    </row>
    <row r="3310" spans="2:19" ht="15">
      <c r="B3310" s="84"/>
      <c r="D3310" s="84"/>
      <c r="E3310" s="84"/>
      <c r="F3310" s="84"/>
      <c r="G3310" s="84"/>
      <c r="R3310" s="251"/>
      <c r="S3310" s="251"/>
    </row>
    <row r="3311" spans="2:19" ht="15">
      <c r="B3311" s="84"/>
      <c r="D3311" s="84"/>
      <c r="E3311" s="84"/>
      <c r="F3311" s="84"/>
      <c r="G3311" s="84"/>
      <c r="R3311" s="251"/>
      <c r="S3311" s="251"/>
    </row>
    <row r="3312" spans="2:19" ht="15">
      <c r="B3312" s="84"/>
      <c r="D3312" s="84"/>
      <c r="E3312" s="84"/>
      <c r="F3312" s="84"/>
      <c r="G3312" s="84"/>
      <c r="R3312" s="251"/>
      <c r="S3312" s="251"/>
    </row>
    <row r="3313" spans="2:19" ht="15">
      <c r="B3313" s="84"/>
      <c r="D3313" s="84"/>
      <c r="E3313" s="84"/>
      <c r="F3313" s="84"/>
      <c r="G3313" s="84"/>
      <c r="R3313" s="251"/>
      <c r="S3313" s="251"/>
    </row>
    <row r="3314" spans="2:19" ht="15">
      <c r="B3314" s="84"/>
      <c r="D3314" s="84"/>
      <c r="E3314" s="84"/>
      <c r="F3314" s="84"/>
      <c r="G3314" s="84"/>
      <c r="R3314" s="251"/>
      <c r="S3314" s="251"/>
    </row>
    <row r="3315" spans="2:19" ht="15">
      <c r="B3315" s="84"/>
      <c r="D3315" s="84"/>
      <c r="E3315" s="84"/>
      <c r="F3315" s="84"/>
      <c r="G3315" s="84"/>
      <c r="R3315" s="251"/>
      <c r="S3315" s="251"/>
    </row>
    <row r="3316" spans="2:19" ht="15">
      <c r="B3316" s="84"/>
      <c r="D3316" s="84"/>
      <c r="E3316" s="84"/>
      <c r="F3316" s="84"/>
      <c r="G3316" s="84"/>
      <c r="R3316" s="251"/>
      <c r="S3316" s="251"/>
    </row>
    <row r="3317" spans="2:19" ht="15">
      <c r="B3317" s="84"/>
      <c r="D3317" s="84"/>
      <c r="E3317" s="84"/>
      <c r="F3317" s="84"/>
      <c r="G3317" s="84"/>
      <c r="R3317" s="251"/>
      <c r="S3317" s="251"/>
    </row>
    <row r="3318" spans="2:19" ht="15">
      <c r="B3318" s="84"/>
      <c r="D3318" s="84"/>
      <c r="E3318" s="84"/>
      <c r="F3318" s="84"/>
      <c r="G3318" s="84"/>
      <c r="R3318" s="251"/>
      <c r="S3318" s="251"/>
    </row>
    <row r="3319" spans="2:19" ht="15">
      <c r="B3319" s="84"/>
      <c r="D3319" s="84"/>
      <c r="E3319" s="84"/>
      <c r="F3319" s="84"/>
      <c r="G3319" s="84"/>
      <c r="R3319" s="251"/>
      <c r="S3319" s="251"/>
    </row>
    <row r="3320" spans="2:19" ht="15">
      <c r="B3320" s="84"/>
      <c r="D3320" s="84"/>
      <c r="E3320" s="84"/>
      <c r="F3320" s="84"/>
      <c r="G3320" s="84"/>
      <c r="R3320" s="251"/>
      <c r="S3320" s="251"/>
    </row>
    <row r="3321" spans="2:19" ht="15">
      <c r="B3321" s="84"/>
      <c r="D3321" s="84"/>
      <c r="E3321" s="84"/>
      <c r="F3321" s="84"/>
      <c r="G3321" s="84"/>
      <c r="R3321" s="251"/>
      <c r="S3321" s="251"/>
    </row>
    <row r="3322" spans="2:19" ht="15">
      <c r="B3322" s="84"/>
      <c r="D3322" s="84"/>
      <c r="E3322" s="84"/>
      <c r="F3322" s="84"/>
      <c r="G3322" s="84"/>
      <c r="R3322" s="251"/>
      <c r="S3322" s="251"/>
    </row>
    <row r="3323" spans="2:19" ht="15">
      <c r="B3323" s="84"/>
      <c r="D3323" s="84"/>
      <c r="E3323" s="84"/>
      <c r="F3323" s="84"/>
      <c r="G3323" s="84"/>
      <c r="R3323" s="251"/>
      <c r="S3323" s="251"/>
    </row>
    <row r="3324" spans="2:19" ht="15">
      <c r="B3324" s="84"/>
      <c r="D3324" s="84"/>
      <c r="E3324" s="84"/>
      <c r="F3324" s="84"/>
      <c r="G3324" s="84"/>
      <c r="R3324" s="251"/>
      <c r="S3324" s="251"/>
    </row>
    <row r="3325" spans="2:19" ht="15">
      <c r="B3325" s="84"/>
      <c r="D3325" s="84"/>
      <c r="E3325" s="84"/>
      <c r="F3325" s="84"/>
      <c r="G3325" s="84"/>
      <c r="R3325" s="251"/>
      <c r="S3325" s="251"/>
    </row>
    <row r="3326" spans="2:19" ht="15">
      <c r="B3326" s="84"/>
      <c r="D3326" s="84"/>
      <c r="E3326" s="84"/>
      <c r="F3326" s="84"/>
      <c r="G3326" s="84"/>
      <c r="R3326" s="251"/>
      <c r="S3326" s="251"/>
    </row>
    <row r="3327" spans="2:19" ht="15">
      <c r="B3327" s="84"/>
      <c r="D3327" s="84"/>
      <c r="E3327" s="84"/>
      <c r="F3327" s="84"/>
      <c r="G3327" s="84"/>
      <c r="R3327" s="251"/>
      <c r="S3327" s="251"/>
    </row>
    <row r="3328" spans="2:19" ht="15">
      <c r="B3328" s="84"/>
      <c r="D3328" s="84"/>
      <c r="E3328" s="84"/>
      <c r="F3328" s="84"/>
      <c r="G3328" s="84"/>
      <c r="R3328" s="251"/>
      <c r="S3328" s="251"/>
    </row>
    <row r="3329" spans="2:19" ht="15">
      <c r="B3329" s="84"/>
      <c r="D3329" s="84"/>
      <c r="E3329" s="84"/>
      <c r="F3329" s="84"/>
      <c r="G3329" s="84"/>
      <c r="R3329" s="251"/>
      <c r="S3329" s="251"/>
    </row>
    <row r="3330" spans="2:19" ht="15">
      <c r="B3330" s="84"/>
      <c r="D3330" s="84"/>
      <c r="E3330" s="84"/>
      <c r="F3330" s="84"/>
      <c r="G3330" s="84"/>
      <c r="R3330" s="251"/>
      <c r="S3330" s="251"/>
    </row>
    <row r="3331" spans="2:19" ht="15">
      <c r="B3331" s="84"/>
      <c r="D3331" s="84"/>
      <c r="E3331" s="84"/>
      <c r="F3331" s="84"/>
      <c r="G3331" s="84"/>
      <c r="R3331" s="251"/>
      <c r="S3331" s="251"/>
    </row>
    <row r="3332" spans="2:19" ht="15">
      <c r="B3332" s="84"/>
      <c r="D3332" s="84"/>
      <c r="E3332" s="84"/>
      <c r="F3332" s="84"/>
      <c r="G3332" s="84"/>
      <c r="R3332" s="251"/>
      <c r="S3332" s="251"/>
    </row>
    <row r="3333" spans="2:19" ht="15">
      <c r="B3333" s="84"/>
      <c r="D3333" s="84"/>
      <c r="E3333" s="84"/>
      <c r="F3333" s="84"/>
      <c r="G3333" s="84"/>
      <c r="R3333" s="251"/>
      <c r="S3333" s="251"/>
    </row>
    <row r="3334" spans="2:19" ht="15">
      <c r="B3334" s="84"/>
      <c r="D3334" s="84"/>
      <c r="E3334" s="84"/>
      <c r="F3334" s="84"/>
      <c r="G3334" s="84"/>
      <c r="R3334" s="251"/>
      <c r="S3334" s="251"/>
    </row>
    <row r="3335" spans="2:19" ht="15">
      <c r="B3335" s="84"/>
      <c r="D3335" s="84"/>
      <c r="E3335" s="84"/>
      <c r="F3335" s="84"/>
      <c r="G3335" s="84"/>
      <c r="R3335" s="251"/>
      <c r="S3335" s="251"/>
    </row>
    <row r="3336" spans="2:19" ht="15">
      <c r="B3336" s="84"/>
      <c r="D3336" s="84"/>
      <c r="E3336" s="84"/>
      <c r="F3336" s="84"/>
      <c r="G3336" s="84"/>
      <c r="R3336" s="251"/>
      <c r="S3336" s="251"/>
    </row>
    <row r="3337" spans="2:19" ht="15">
      <c r="B3337" s="84"/>
      <c r="D3337" s="84"/>
      <c r="E3337" s="84"/>
      <c r="F3337" s="84"/>
      <c r="G3337" s="84"/>
      <c r="R3337" s="251"/>
      <c r="S3337" s="251"/>
    </row>
    <row r="3338" spans="2:19" ht="15">
      <c r="B3338" s="84"/>
      <c r="D3338" s="84"/>
      <c r="E3338" s="84"/>
      <c r="F3338" s="84"/>
      <c r="G3338" s="84"/>
      <c r="R3338" s="251"/>
      <c r="S3338" s="251"/>
    </row>
    <row r="3339" spans="2:19" ht="15">
      <c r="B3339" s="84"/>
      <c r="D3339" s="84"/>
      <c r="E3339" s="84"/>
      <c r="F3339" s="84"/>
      <c r="G3339" s="84"/>
      <c r="R3339" s="251"/>
      <c r="S3339" s="251"/>
    </row>
    <row r="3340" spans="2:19" ht="15">
      <c r="B3340" s="84"/>
      <c r="D3340" s="84"/>
      <c r="E3340" s="84"/>
      <c r="F3340" s="84"/>
      <c r="G3340" s="84"/>
      <c r="R3340" s="251"/>
      <c r="S3340" s="251"/>
    </row>
    <row r="3341" spans="2:19" ht="15">
      <c r="B3341" s="84"/>
      <c r="D3341" s="84"/>
      <c r="E3341" s="84"/>
      <c r="F3341" s="84"/>
      <c r="G3341" s="84"/>
      <c r="R3341" s="251"/>
      <c r="S3341" s="251"/>
    </row>
    <row r="3342" spans="2:19" ht="15">
      <c r="B3342" s="84"/>
      <c r="D3342" s="84"/>
      <c r="E3342" s="84"/>
      <c r="F3342" s="84"/>
      <c r="G3342" s="84"/>
      <c r="R3342" s="251"/>
      <c r="S3342" s="251"/>
    </row>
    <row r="3343" spans="2:19" ht="15">
      <c r="B3343" s="84"/>
      <c r="D3343" s="84"/>
      <c r="E3343" s="84"/>
      <c r="F3343" s="84"/>
      <c r="G3343" s="84"/>
      <c r="R3343" s="251"/>
      <c r="S3343" s="251"/>
    </row>
    <row r="3344" spans="2:19" ht="15">
      <c r="B3344" s="84"/>
      <c r="D3344" s="84"/>
      <c r="E3344" s="84"/>
      <c r="F3344" s="84"/>
      <c r="G3344" s="84"/>
      <c r="R3344" s="251"/>
      <c r="S3344" s="251"/>
    </row>
    <row r="3345" spans="2:19" ht="15">
      <c r="B3345" s="84"/>
      <c r="D3345" s="84"/>
      <c r="E3345" s="84"/>
      <c r="F3345" s="84"/>
      <c r="G3345" s="84"/>
      <c r="R3345" s="251"/>
      <c r="S3345" s="251"/>
    </row>
    <row r="3346" spans="2:19" ht="15">
      <c r="B3346" s="84"/>
      <c r="D3346" s="84"/>
      <c r="E3346" s="84"/>
      <c r="F3346" s="84"/>
      <c r="G3346" s="84"/>
      <c r="R3346" s="251"/>
      <c r="S3346" s="251"/>
    </row>
    <row r="3347" spans="2:19" ht="15">
      <c r="B3347" s="84"/>
      <c r="D3347" s="84"/>
      <c r="E3347" s="84"/>
      <c r="F3347" s="84"/>
      <c r="G3347" s="84"/>
      <c r="R3347" s="251"/>
      <c r="S3347" s="251"/>
    </row>
    <row r="3348" spans="2:19" ht="15">
      <c r="B3348" s="84"/>
      <c r="D3348" s="84"/>
      <c r="E3348" s="84"/>
      <c r="F3348" s="84"/>
      <c r="G3348" s="84"/>
      <c r="R3348" s="251"/>
      <c r="S3348" s="251"/>
    </row>
    <row r="3349" spans="2:19" ht="15">
      <c r="B3349" s="84"/>
      <c r="D3349" s="84"/>
      <c r="E3349" s="84"/>
      <c r="F3349" s="84"/>
      <c r="G3349" s="84"/>
      <c r="R3349" s="251"/>
      <c r="S3349" s="251"/>
    </row>
    <row r="3350" spans="2:19" ht="15">
      <c r="B3350" s="84"/>
      <c r="D3350" s="84"/>
      <c r="E3350" s="84"/>
      <c r="F3350" s="84"/>
      <c r="G3350" s="84"/>
      <c r="R3350" s="251"/>
      <c r="S3350" s="251"/>
    </row>
    <row r="3351" spans="2:19" ht="15">
      <c r="B3351" s="84"/>
      <c r="D3351" s="84"/>
      <c r="E3351" s="84"/>
      <c r="F3351" s="84"/>
      <c r="G3351" s="84"/>
      <c r="R3351" s="251"/>
      <c r="S3351" s="251"/>
    </row>
    <row r="3352" spans="2:19" ht="15">
      <c r="B3352" s="84"/>
      <c r="D3352" s="84"/>
      <c r="E3352" s="84"/>
      <c r="F3352" s="84"/>
      <c r="G3352" s="84"/>
      <c r="R3352" s="251"/>
      <c r="S3352" s="251"/>
    </row>
    <row r="3353" spans="2:19" ht="15">
      <c r="B3353" s="84"/>
      <c r="D3353" s="84"/>
      <c r="E3353" s="84"/>
      <c r="F3353" s="84"/>
      <c r="G3353" s="84"/>
      <c r="R3353" s="251"/>
      <c r="S3353" s="251"/>
    </row>
    <row r="3354" spans="2:19" ht="15">
      <c r="B3354" s="84"/>
      <c r="D3354" s="84"/>
      <c r="E3354" s="84"/>
      <c r="F3354" s="84"/>
      <c r="G3354" s="84"/>
      <c r="R3354" s="251"/>
      <c r="S3354" s="251"/>
    </row>
    <row r="3355" spans="2:19" ht="15">
      <c r="B3355" s="84"/>
      <c r="D3355" s="84"/>
      <c r="E3355" s="84"/>
      <c r="F3355" s="84"/>
      <c r="G3355" s="84"/>
      <c r="R3355" s="251"/>
      <c r="S3355" s="251"/>
    </row>
    <row r="3356" spans="2:19" ht="15">
      <c r="B3356" s="84"/>
      <c r="D3356" s="84"/>
      <c r="E3356" s="84"/>
      <c r="F3356" s="84"/>
      <c r="G3356" s="84"/>
      <c r="R3356" s="251"/>
      <c r="S3356" s="251"/>
    </row>
    <row r="3357" spans="2:19" ht="15">
      <c r="B3357" s="84"/>
      <c r="D3357" s="84"/>
      <c r="E3357" s="84"/>
      <c r="F3357" s="84"/>
      <c r="G3357" s="84"/>
      <c r="R3357" s="251"/>
      <c r="S3357" s="251"/>
    </row>
    <row r="3358" spans="2:19" ht="15">
      <c r="B3358" s="84"/>
      <c r="D3358" s="84"/>
      <c r="E3358" s="84"/>
      <c r="F3358" s="84"/>
      <c r="G3358" s="84"/>
      <c r="R3358" s="251"/>
      <c r="S3358" s="251"/>
    </row>
    <row r="3359" spans="2:19" ht="15">
      <c r="B3359" s="84"/>
      <c r="D3359" s="84"/>
      <c r="E3359" s="84"/>
      <c r="F3359" s="84"/>
      <c r="G3359" s="84"/>
      <c r="R3359" s="251"/>
      <c r="S3359" s="251"/>
    </row>
    <row r="3360" spans="2:19" ht="15">
      <c r="B3360" s="84"/>
      <c r="D3360" s="84"/>
      <c r="E3360" s="84"/>
      <c r="F3360" s="84"/>
      <c r="G3360" s="84"/>
      <c r="R3360" s="251"/>
      <c r="S3360" s="251"/>
    </row>
    <row r="3361" spans="2:19" ht="15">
      <c r="B3361" s="84"/>
      <c r="D3361" s="84"/>
      <c r="E3361" s="84"/>
      <c r="F3361" s="84"/>
      <c r="G3361" s="84"/>
      <c r="R3361" s="251"/>
      <c r="S3361" s="251"/>
    </row>
    <row r="3362" spans="2:19" ht="15">
      <c r="B3362" s="84"/>
      <c r="D3362" s="84"/>
      <c r="E3362" s="84"/>
      <c r="F3362" s="84"/>
      <c r="G3362" s="84"/>
      <c r="R3362" s="251"/>
      <c r="S3362" s="251"/>
    </row>
    <row r="3363" spans="2:19" ht="15">
      <c r="B3363" s="84"/>
      <c r="D3363" s="84"/>
      <c r="E3363" s="84"/>
      <c r="F3363" s="84"/>
      <c r="G3363" s="84"/>
      <c r="R3363" s="251"/>
      <c r="S3363" s="251"/>
    </row>
    <row r="3364" spans="2:19" ht="15">
      <c r="B3364" s="84"/>
      <c r="D3364" s="84"/>
      <c r="E3364" s="84"/>
      <c r="F3364" s="84"/>
      <c r="G3364" s="84"/>
      <c r="R3364" s="251"/>
      <c r="S3364" s="251"/>
    </row>
    <row r="3365" spans="2:19" ht="15">
      <c r="B3365" s="84"/>
      <c r="D3365" s="84"/>
      <c r="E3365" s="84"/>
      <c r="F3365" s="84"/>
      <c r="G3365" s="84"/>
      <c r="R3365" s="251"/>
      <c r="S3365" s="251"/>
    </row>
    <row r="3366" spans="2:19" ht="15">
      <c r="B3366" s="84"/>
      <c r="D3366" s="84"/>
      <c r="E3366" s="84"/>
      <c r="F3366" s="84"/>
      <c r="G3366" s="84"/>
      <c r="R3366" s="251"/>
      <c r="S3366" s="251"/>
    </row>
    <row r="3367" spans="2:19" ht="15">
      <c r="B3367" s="84"/>
      <c r="D3367" s="84"/>
      <c r="E3367" s="84"/>
      <c r="F3367" s="84"/>
      <c r="G3367" s="84"/>
      <c r="R3367" s="251"/>
      <c r="S3367" s="251"/>
    </row>
    <row r="3368" spans="2:19" ht="15">
      <c r="B3368" s="84"/>
      <c r="D3368" s="84"/>
      <c r="E3368" s="84"/>
      <c r="F3368" s="84"/>
      <c r="G3368" s="84"/>
      <c r="R3368" s="251"/>
      <c r="S3368" s="251"/>
    </row>
    <row r="3369" spans="2:19" ht="15">
      <c r="B3369" s="84"/>
      <c r="D3369" s="84"/>
      <c r="E3369" s="84"/>
      <c r="F3369" s="84"/>
      <c r="G3369" s="84"/>
      <c r="R3369" s="251"/>
      <c r="S3369" s="251"/>
    </row>
    <row r="3370" spans="2:19" ht="15">
      <c r="B3370" s="84"/>
      <c r="D3370" s="84"/>
      <c r="E3370" s="84"/>
      <c r="F3370" s="84"/>
      <c r="G3370" s="84"/>
      <c r="R3370" s="251"/>
      <c r="S3370" s="251"/>
    </row>
    <row r="3371" spans="2:19" ht="15">
      <c r="B3371" s="84"/>
      <c r="D3371" s="84"/>
      <c r="E3371" s="84"/>
      <c r="F3371" s="84"/>
      <c r="G3371" s="84"/>
      <c r="R3371" s="251"/>
      <c r="S3371" s="251"/>
    </row>
    <row r="3372" spans="2:19" ht="15">
      <c r="B3372" s="84"/>
      <c r="D3372" s="84"/>
      <c r="E3372" s="84"/>
      <c r="F3372" s="84"/>
      <c r="G3372" s="84"/>
      <c r="R3372" s="251"/>
      <c r="S3372" s="251"/>
    </row>
    <row r="3373" spans="2:19" ht="15">
      <c r="B3373" s="84"/>
      <c r="D3373" s="84"/>
      <c r="E3373" s="84"/>
      <c r="F3373" s="84"/>
      <c r="G3373" s="84"/>
      <c r="R3373" s="251"/>
      <c r="S3373" s="251"/>
    </row>
    <row r="3374" spans="2:19" ht="15">
      <c r="B3374" s="84"/>
      <c r="D3374" s="84"/>
      <c r="E3374" s="84"/>
      <c r="F3374" s="84"/>
      <c r="G3374" s="84"/>
      <c r="R3374" s="251"/>
      <c r="S3374" s="251"/>
    </row>
    <row r="3375" spans="2:19" ht="15">
      <c r="B3375" s="84"/>
      <c r="D3375" s="84"/>
      <c r="E3375" s="84"/>
      <c r="F3375" s="84"/>
      <c r="G3375" s="84"/>
      <c r="R3375" s="251"/>
      <c r="S3375" s="251"/>
    </row>
    <row r="3376" spans="2:19" ht="15">
      <c r="B3376" s="84"/>
      <c r="D3376" s="84"/>
      <c r="E3376" s="84"/>
      <c r="F3376" s="84"/>
      <c r="G3376" s="84"/>
      <c r="R3376" s="251"/>
      <c r="S3376" s="251"/>
    </row>
    <row r="3377" spans="2:19" ht="15">
      <c r="B3377" s="84"/>
      <c r="D3377" s="84"/>
      <c r="E3377" s="84"/>
      <c r="F3377" s="84"/>
      <c r="G3377" s="84"/>
      <c r="R3377" s="251"/>
      <c r="S3377" s="251"/>
    </row>
    <row r="3378" spans="2:19" ht="15">
      <c r="B3378" s="84"/>
      <c r="D3378" s="84"/>
      <c r="E3378" s="84"/>
      <c r="F3378" s="84"/>
      <c r="G3378" s="84"/>
      <c r="R3378" s="251"/>
      <c r="S3378" s="251"/>
    </row>
    <row r="3379" spans="2:19" ht="15">
      <c r="B3379" s="84"/>
      <c r="D3379" s="84"/>
      <c r="E3379" s="84"/>
      <c r="F3379" s="84"/>
      <c r="G3379" s="84"/>
      <c r="R3379" s="251"/>
      <c r="S3379" s="251"/>
    </row>
    <row r="3380" spans="2:19" ht="15">
      <c r="B3380" s="84"/>
      <c r="D3380" s="84"/>
      <c r="E3380" s="84"/>
      <c r="F3380" s="84"/>
      <c r="G3380" s="84"/>
      <c r="R3380" s="251"/>
      <c r="S3380" s="251"/>
    </row>
    <row r="3381" spans="2:19" ht="15">
      <c r="B3381" s="84"/>
      <c r="D3381" s="84"/>
      <c r="E3381" s="84"/>
      <c r="F3381" s="84"/>
      <c r="G3381" s="84"/>
      <c r="R3381" s="251"/>
      <c r="S3381" s="251"/>
    </row>
    <row r="3382" spans="2:19" ht="15">
      <c r="B3382" s="84"/>
      <c r="D3382" s="84"/>
      <c r="E3382" s="84"/>
      <c r="F3382" s="84"/>
      <c r="G3382" s="84"/>
      <c r="R3382" s="251"/>
      <c r="S3382" s="251"/>
    </row>
    <row r="3383" spans="2:19" ht="15">
      <c r="B3383" s="84"/>
      <c r="D3383" s="84"/>
      <c r="E3383" s="84"/>
      <c r="F3383" s="84"/>
      <c r="G3383" s="84"/>
      <c r="R3383" s="251"/>
      <c r="S3383" s="251"/>
    </row>
    <row r="3384" spans="2:19" ht="15">
      <c r="B3384" s="84"/>
      <c r="D3384" s="84"/>
      <c r="E3384" s="84"/>
      <c r="F3384" s="84"/>
      <c r="G3384" s="84"/>
      <c r="R3384" s="251"/>
      <c r="S3384" s="251"/>
    </row>
    <row r="3385" spans="2:19" ht="15">
      <c r="B3385" s="84"/>
      <c r="D3385" s="84"/>
      <c r="E3385" s="84"/>
      <c r="F3385" s="84"/>
      <c r="G3385" s="84"/>
      <c r="R3385" s="251"/>
      <c r="S3385" s="251"/>
    </row>
    <row r="3386" spans="2:19" ht="15">
      <c r="B3386" s="84"/>
      <c r="D3386" s="84"/>
      <c r="E3386" s="84"/>
      <c r="F3386" s="84"/>
      <c r="G3386" s="84"/>
      <c r="R3386" s="251"/>
      <c r="S3386" s="251"/>
    </row>
    <row r="3387" spans="2:19" ht="15">
      <c r="B3387" s="84"/>
      <c r="D3387" s="84"/>
      <c r="E3387" s="84"/>
      <c r="F3387" s="84"/>
      <c r="G3387" s="84"/>
      <c r="R3387" s="251"/>
      <c r="S3387" s="251"/>
    </row>
    <row r="3388" spans="2:19" ht="15">
      <c r="B3388" s="84"/>
      <c r="D3388" s="84"/>
      <c r="E3388" s="84"/>
      <c r="F3388" s="84"/>
      <c r="G3388" s="84"/>
      <c r="R3388" s="251"/>
      <c r="S3388" s="251"/>
    </row>
    <row r="3389" spans="2:19" ht="15">
      <c r="B3389" s="84"/>
      <c r="D3389" s="84"/>
      <c r="E3389" s="84"/>
      <c r="F3389" s="84"/>
      <c r="G3389" s="84"/>
      <c r="R3389" s="251"/>
      <c r="S3389" s="251"/>
    </row>
    <row r="3390" spans="2:19" ht="15">
      <c r="B3390" s="84"/>
      <c r="D3390" s="84"/>
      <c r="E3390" s="84"/>
      <c r="F3390" s="84"/>
      <c r="G3390" s="84"/>
      <c r="R3390" s="251"/>
      <c r="S3390" s="251"/>
    </row>
    <row r="3391" spans="2:19" ht="15">
      <c r="B3391" s="84"/>
      <c r="D3391" s="84"/>
      <c r="E3391" s="84"/>
      <c r="F3391" s="84"/>
      <c r="G3391" s="84"/>
      <c r="R3391" s="251"/>
      <c r="S3391" s="251"/>
    </row>
    <row r="3392" spans="2:19" ht="15">
      <c r="B3392" s="84"/>
      <c r="D3392" s="84"/>
      <c r="E3392" s="84"/>
      <c r="F3392" s="84"/>
      <c r="G3392" s="84"/>
      <c r="R3392" s="251"/>
      <c r="S3392" s="251"/>
    </row>
    <row r="3393" spans="2:19" ht="15">
      <c r="B3393" s="84"/>
      <c r="D3393" s="84"/>
      <c r="E3393" s="84"/>
      <c r="F3393" s="84"/>
      <c r="G3393" s="84"/>
      <c r="R3393" s="251"/>
      <c r="S3393" s="251"/>
    </row>
    <row r="3394" spans="2:19" ht="15">
      <c r="B3394" s="84"/>
      <c r="D3394" s="84"/>
      <c r="E3394" s="84"/>
      <c r="F3394" s="84"/>
      <c r="G3394" s="84"/>
      <c r="R3394" s="251"/>
      <c r="S3394" s="251"/>
    </row>
    <row r="3395" spans="2:19" ht="15">
      <c r="B3395" s="84"/>
      <c r="D3395" s="84"/>
      <c r="E3395" s="84"/>
      <c r="F3395" s="84"/>
      <c r="G3395" s="84"/>
      <c r="R3395" s="251"/>
      <c r="S3395" s="251"/>
    </row>
    <row r="3396" spans="2:19" ht="15">
      <c r="B3396" s="84"/>
      <c r="D3396" s="84"/>
      <c r="E3396" s="84"/>
      <c r="F3396" s="84"/>
      <c r="G3396" s="84"/>
      <c r="R3396" s="251"/>
      <c r="S3396" s="251"/>
    </row>
    <row r="3397" spans="2:19" ht="15">
      <c r="B3397" s="84"/>
      <c r="D3397" s="84"/>
      <c r="E3397" s="84"/>
      <c r="F3397" s="84"/>
      <c r="G3397" s="84"/>
      <c r="R3397" s="251"/>
      <c r="S3397" s="251"/>
    </row>
    <row r="3398" spans="2:19" ht="15">
      <c r="B3398" s="84"/>
      <c r="D3398" s="84"/>
      <c r="E3398" s="84"/>
      <c r="F3398" s="84"/>
      <c r="G3398" s="84"/>
      <c r="R3398" s="251"/>
      <c r="S3398" s="251"/>
    </row>
    <row r="3399" spans="2:19" ht="15">
      <c r="B3399" s="84"/>
      <c r="D3399" s="84"/>
      <c r="E3399" s="84"/>
      <c r="F3399" s="84"/>
      <c r="G3399" s="84"/>
      <c r="R3399" s="251"/>
      <c r="S3399" s="251"/>
    </row>
    <row r="3400" spans="2:19" ht="15">
      <c r="B3400" s="84"/>
      <c r="D3400" s="84"/>
      <c r="E3400" s="84"/>
      <c r="F3400" s="84"/>
      <c r="G3400" s="84"/>
      <c r="R3400" s="251"/>
      <c r="S3400" s="251"/>
    </row>
    <row r="3401" spans="2:19" ht="15">
      <c r="B3401" s="84"/>
      <c r="D3401" s="84"/>
      <c r="E3401" s="84"/>
      <c r="F3401" s="84"/>
      <c r="G3401" s="84"/>
      <c r="R3401" s="251"/>
      <c r="S3401" s="251"/>
    </row>
    <row r="3402" spans="2:19" ht="15">
      <c r="B3402" s="84"/>
      <c r="D3402" s="84"/>
      <c r="E3402" s="84"/>
      <c r="F3402" s="84"/>
      <c r="G3402" s="84"/>
      <c r="R3402" s="251"/>
      <c r="S3402" s="251"/>
    </row>
    <row r="3403" spans="2:19" ht="15">
      <c r="B3403" s="84"/>
      <c r="D3403" s="84"/>
      <c r="E3403" s="84"/>
      <c r="F3403" s="84"/>
      <c r="G3403" s="84"/>
      <c r="R3403" s="251"/>
      <c r="S3403" s="251"/>
    </row>
    <row r="3404" spans="2:19" ht="15">
      <c r="B3404" s="84"/>
      <c r="D3404" s="84"/>
      <c r="E3404" s="84"/>
      <c r="F3404" s="84"/>
      <c r="G3404" s="84"/>
      <c r="R3404" s="251"/>
      <c r="S3404" s="251"/>
    </row>
    <row r="3405" spans="2:19" ht="15">
      <c r="B3405" s="84"/>
      <c r="D3405" s="84"/>
      <c r="E3405" s="84"/>
      <c r="F3405" s="84"/>
      <c r="G3405" s="84"/>
      <c r="R3405" s="251"/>
      <c r="S3405" s="251"/>
    </row>
    <row r="3406" spans="2:19" ht="15">
      <c r="B3406" s="84"/>
      <c r="D3406" s="84"/>
      <c r="E3406" s="84"/>
      <c r="F3406" s="84"/>
      <c r="G3406" s="84"/>
      <c r="R3406" s="251"/>
      <c r="S3406" s="251"/>
    </row>
    <row r="3407" spans="2:19" ht="15">
      <c r="B3407" s="84"/>
      <c r="D3407" s="84"/>
      <c r="E3407" s="84"/>
      <c r="F3407" s="84"/>
      <c r="G3407" s="84"/>
      <c r="R3407" s="251"/>
      <c r="S3407" s="251"/>
    </row>
    <row r="3408" spans="2:19" ht="15">
      <c r="B3408" s="84"/>
      <c r="D3408" s="84"/>
      <c r="E3408" s="84"/>
      <c r="F3408" s="84"/>
      <c r="G3408" s="84"/>
      <c r="R3408" s="251"/>
      <c r="S3408" s="251"/>
    </row>
    <row r="3409" spans="2:19" ht="15">
      <c r="B3409" s="84"/>
      <c r="D3409" s="84"/>
      <c r="E3409" s="84"/>
      <c r="F3409" s="84"/>
      <c r="G3409" s="84"/>
      <c r="R3409" s="251"/>
      <c r="S3409" s="251"/>
    </row>
    <row r="3410" spans="2:19" ht="15">
      <c r="B3410" s="84"/>
      <c r="D3410" s="84"/>
      <c r="E3410" s="84"/>
      <c r="F3410" s="84"/>
      <c r="G3410" s="84"/>
      <c r="R3410" s="251"/>
      <c r="S3410" s="251"/>
    </row>
    <row r="3411" spans="2:19" ht="15">
      <c r="B3411" s="84"/>
      <c r="D3411" s="84"/>
      <c r="E3411" s="84"/>
      <c r="F3411" s="84"/>
      <c r="G3411" s="84"/>
      <c r="R3411" s="251"/>
      <c r="S3411" s="251"/>
    </row>
    <row r="3412" spans="2:19" ht="15">
      <c r="B3412" s="84"/>
      <c r="D3412" s="84"/>
      <c r="E3412" s="84"/>
      <c r="F3412" s="84"/>
      <c r="G3412" s="84"/>
      <c r="R3412" s="251"/>
      <c r="S3412" s="251"/>
    </row>
    <row r="3413" spans="2:19" ht="15">
      <c r="B3413" s="84"/>
      <c r="D3413" s="84"/>
      <c r="E3413" s="84"/>
      <c r="F3413" s="84"/>
      <c r="G3413" s="84"/>
      <c r="R3413" s="251"/>
      <c r="S3413" s="251"/>
    </row>
    <row r="3414" spans="2:19" ht="15">
      <c r="B3414" s="84"/>
      <c r="D3414" s="84"/>
      <c r="E3414" s="84"/>
      <c r="F3414" s="84"/>
      <c r="G3414" s="84"/>
      <c r="R3414" s="251"/>
      <c r="S3414" s="251"/>
    </row>
    <row r="3415" spans="2:19" ht="15">
      <c r="B3415" s="84"/>
      <c r="D3415" s="84"/>
      <c r="E3415" s="84"/>
      <c r="F3415" s="84"/>
      <c r="G3415" s="84"/>
      <c r="R3415" s="251"/>
      <c r="S3415" s="251"/>
    </row>
    <row r="3416" spans="2:19" ht="15">
      <c r="B3416" s="84"/>
      <c r="D3416" s="84"/>
      <c r="E3416" s="84"/>
      <c r="F3416" s="84"/>
      <c r="G3416" s="84"/>
      <c r="R3416" s="251"/>
      <c r="S3416" s="251"/>
    </row>
    <row r="3417" spans="2:19" ht="15">
      <c r="B3417" s="84"/>
      <c r="D3417" s="84"/>
      <c r="E3417" s="84"/>
      <c r="F3417" s="84"/>
      <c r="G3417" s="84"/>
      <c r="R3417" s="251"/>
      <c r="S3417" s="251"/>
    </row>
    <row r="3418" spans="2:19" ht="15">
      <c r="B3418" s="84"/>
      <c r="D3418" s="84"/>
      <c r="E3418" s="84"/>
      <c r="F3418" s="84"/>
      <c r="G3418" s="84"/>
      <c r="R3418" s="251"/>
      <c r="S3418" s="251"/>
    </row>
    <row r="3419" spans="2:19" ht="15">
      <c r="B3419" s="84"/>
      <c r="D3419" s="84"/>
      <c r="E3419" s="84"/>
      <c r="F3419" s="84"/>
      <c r="G3419" s="84"/>
      <c r="R3419" s="251"/>
      <c r="S3419" s="251"/>
    </row>
    <row r="3420" spans="2:19" ht="15">
      <c r="B3420" s="84"/>
      <c r="D3420" s="84"/>
      <c r="E3420" s="84"/>
      <c r="F3420" s="84"/>
      <c r="G3420" s="84"/>
      <c r="R3420" s="251"/>
      <c r="S3420" s="251"/>
    </row>
    <row r="3421" spans="2:19" ht="15">
      <c r="B3421" s="84"/>
      <c r="D3421" s="84"/>
      <c r="E3421" s="84"/>
      <c r="F3421" s="84"/>
      <c r="G3421" s="84"/>
      <c r="R3421" s="251"/>
      <c r="S3421" s="251"/>
    </row>
    <row r="3422" spans="2:19" ht="15">
      <c r="B3422" s="84"/>
      <c r="D3422" s="84"/>
      <c r="E3422" s="84"/>
      <c r="F3422" s="84"/>
      <c r="G3422" s="84"/>
      <c r="R3422" s="251"/>
      <c r="S3422" s="251"/>
    </row>
    <row r="3423" spans="2:19" ht="15">
      <c r="B3423" s="84"/>
      <c r="D3423" s="84"/>
      <c r="E3423" s="84"/>
      <c r="F3423" s="84"/>
      <c r="G3423" s="84"/>
      <c r="R3423" s="251"/>
      <c r="S3423" s="251"/>
    </row>
    <row r="3424" spans="2:19" ht="15">
      <c r="B3424" s="84"/>
      <c r="D3424" s="84"/>
      <c r="E3424" s="84"/>
      <c r="F3424" s="84"/>
      <c r="G3424" s="84"/>
      <c r="R3424" s="251"/>
      <c r="S3424" s="251"/>
    </row>
    <row r="3425" spans="2:19" ht="15">
      <c r="B3425" s="84"/>
      <c r="D3425" s="84"/>
      <c r="E3425" s="84"/>
      <c r="F3425" s="84"/>
      <c r="G3425" s="84"/>
      <c r="R3425" s="251"/>
      <c r="S3425" s="251"/>
    </row>
    <row r="3426" spans="2:19" ht="15">
      <c r="B3426" s="84"/>
      <c r="D3426" s="84"/>
      <c r="E3426" s="84"/>
      <c r="F3426" s="84"/>
      <c r="G3426" s="84"/>
      <c r="R3426" s="251"/>
      <c r="S3426" s="251"/>
    </row>
    <row r="3427" spans="2:19" ht="15">
      <c r="B3427" s="84"/>
      <c r="D3427" s="84"/>
      <c r="E3427" s="84"/>
      <c r="F3427" s="84"/>
      <c r="G3427" s="84"/>
      <c r="R3427" s="251"/>
      <c r="S3427" s="251"/>
    </row>
    <row r="3428" spans="2:19" ht="15">
      <c r="B3428" s="84"/>
      <c r="D3428" s="84"/>
      <c r="E3428" s="84"/>
      <c r="F3428" s="84"/>
      <c r="G3428" s="84"/>
      <c r="R3428" s="251"/>
      <c r="S3428" s="251"/>
    </row>
    <row r="3429" spans="2:19" ht="15">
      <c r="B3429" s="84"/>
      <c r="D3429" s="84"/>
      <c r="E3429" s="84"/>
      <c r="F3429" s="84"/>
      <c r="G3429" s="84"/>
      <c r="R3429" s="251"/>
      <c r="S3429" s="251"/>
    </row>
    <row r="3430" spans="2:19" ht="15">
      <c r="B3430" s="84"/>
      <c r="D3430" s="84"/>
      <c r="E3430" s="84"/>
      <c r="F3430" s="84"/>
      <c r="G3430" s="84"/>
      <c r="R3430" s="251"/>
      <c r="S3430" s="251"/>
    </row>
    <row r="3431" spans="2:19" ht="15">
      <c r="B3431" s="84"/>
      <c r="D3431" s="84"/>
      <c r="E3431" s="84"/>
      <c r="F3431" s="84"/>
      <c r="G3431" s="84"/>
      <c r="R3431" s="251"/>
      <c r="S3431" s="251"/>
    </row>
    <row r="3432" spans="2:19" ht="15">
      <c r="B3432" s="84"/>
      <c r="D3432" s="84"/>
      <c r="E3432" s="84"/>
      <c r="F3432" s="84"/>
      <c r="G3432" s="84"/>
      <c r="R3432" s="251"/>
      <c r="S3432" s="251"/>
    </row>
    <row r="3433" spans="2:19" ht="15">
      <c r="B3433" s="84"/>
      <c r="D3433" s="84"/>
      <c r="E3433" s="84"/>
      <c r="F3433" s="84"/>
      <c r="G3433" s="84"/>
      <c r="R3433" s="251"/>
      <c r="S3433" s="251"/>
    </row>
    <row r="3434" spans="2:19" ht="15">
      <c r="B3434" s="84"/>
      <c r="D3434" s="84"/>
      <c r="E3434" s="84"/>
      <c r="F3434" s="84"/>
      <c r="G3434" s="84"/>
      <c r="R3434" s="251"/>
      <c r="S3434" s="251"/>
    </row>
    <row r="3435" spans="2:19" ht="15">
      <c r="B3435" s="84"/>
      <c r="D3435" s="84"/>
      <c r="E3435" s="84"/>
      <c r="F3435" s="84"/>
      <c r="G3435" s="84"/>
      <c r="R3435" s="251"/>
      <c r="S3435" s="251"/>
    </row>
    <row r="3436" spans="2:19" ht="15">
      <c r="B3436" s="84"/>
      <c r="D3436" s="84"/>
      <c r="E3436" s="84"/>
      <c r="F3436" s="84"/>
      <c r="G3436" s="84"/>
      <c r="R3436" s="251"/>
      <c r="S3436" s="251"/>
    </row>
    <row r="3437" spans="2:19" ht="15">
      <c r="B3437" s="84"/>
      <c r="D3437" s="84"/>
      <c r="E3437" s="84"/>
      <c r="F3437" s="84"/>
      <c r="G3437" s="84"/>
      <c r="R3437" s="251"/>
      <c r="S3437" s="251"/>
    </row>
    <row r="3438" spans="2:19" ht="15">
      <c r="B3438" s="84"/>
      <c r="D3438" s="84"/>
      <c r="E3438" s="84"/>
      <c r="F3438" s="84"/>
      <c r="G3438" s="84"/>
      <c r="R3438" s="251"/>
      <c r="S3438" s="251"/>
    </row>
    <row r="3439" spans="2:19" ht="15">
      <c r="B3439" s="84"/>
      <c r="D3439" s="84"/>
      <c r="E3439" s="84"/>
      <c r="F3439" s="84"/>
      <c r="G3439" s="84"/>
      <c r="R3439" s="251"/>
      <c r="S3439" s="251"/>
    </row>
    <row r="3440" spans="2:19" ht="15">
      <c r="B3440" s="84"/>
      <c r="D3440" s="84"/>
      <c r="E3440" s="84"/>
      <c r="F3440" s="84"/>
      <c r="G3440" s="84"/>
      <c r="R3440" s="251"/>
      <c r="S3440" s="251"/>
    </row>
    <row r="3441" spans="2:19" ht="15">
      <c r="B3441" s="84"/>
      <c r="D3441" s="84"/>
      <c r="E3441" s="84"/>
      <c r="F3441" s="84"/>
      <c r="G3441" s="84"/>
      <c r="R3441" s="251"/>
      <c r="S3441" s="251"/>
    </row>
    <row r="3442" spans="2:19" ht="15">
      <c r="B3442" s="84"/>
      <c r="D3442" s="84"/>
      <c r="E3442" s="84"/>
      <c r="F3442" s="84"/>
      <c r="G3442" s="84"/>
      <c r="R3442" s="251"/>
      <c r="S3442" s="251"/>
    </row>
    <row r="3443" spans="2:19" ht="15">
      <c r="B3443" s="84"/>
      <c r="D3443" s="84"/>
      <c r="E3443" s="84"/>
      <c r="F3443" s="84"/>
      <c r="G3443" s="84"/>
      <c r="R3443" s="251"/>
      <c r="S3443" s="251"/>
    </row>
    <row r="3444" spans="2:19" ht="15">
      <c r="B3444" s="84"/>
      <c r="D3444" s="84"/>
      <c r="E3444" s="84"/>
      <c r="F3444" s="84"/>
      <c r="G3444" s="84"/>
      <c r="R3444" s="251"/>
      <c r="S3444" s="251"/>
    </row>
    <row r="3445" spans="2:19" ht="15">
      <c r="B3445" s="84"/>
      <c r="D3445" s="84"/>
      <c r="E3445" s="84"/>
      <c r="F3445" s="84"/>
      <c r="G3445" s="84"/>
      <c r="R3445" s="251"/>
      <c r="S3445" s="251"/>
    </row>
    <row r="3446" spans="2:19" ht="15">
      <c r="B3446" s="84"/>
      <c r="D3446" s="84"/>
      <c r="E3446" s="84"/>
      <c r="F3446" s="84"/>
      <c r="G3446" s="84"/>
      <c r="R3446" s="251"/>
      <c r="S3446" s="251"/>
    </row>
    <row r="3447" spans="2:19" ht="15">
      <c r="B3447" s="84"/>
      <c r="D3447" s="84"/>
      <c r="E3447" s="84"/>
      <c r="F3447" s="84"/>
      <c r="G3447" s="84"/>
      <c r="R3447" s="251"/>
      <c r="S3447" s="251"/>
    </row>
    <row r="3448" spans="2:19" ht="15">
      <c r="B3448" s="84"/>
      <c r="D3448" s="84"/>
      <c r="E3448" s="84"/>
      <c r="F3448" s="84"/>
      <c r="G3448" s="84"/>
      <c r="R3448" s="251"/>
      <c r="S3448" s="251"/>
    </row>
    <row r="3449" spans="2:19" ht="15">
      <c r="B3449" s="84"/>
      <c r="D3449" s="84"/>
      <c r="E3449" s="84"/>
      <c r="F3449" s="84"/>
      <c r="G3449" s="84"/>
      <c r="R3449" s="251"/>
      <c r="S3449" s="251"/>
    </row>
    <row r="3450" spans="2:19" ht="15">
      <c r="B3450" s="84"/>
      <c r="D3450" s="84"/>
      <c r="E3450" s="84"/>
      <c r="F3450" s="84"/>
      <c r="G3450" s="84"/>
      <c r="R3450" s="251"/>
      <c r="S3450" s="251"/>
    </row>
    <row r="3451" spans="2:19" ht="15">
      <c r="B3451" s="84"/>
      <c r="D3451" s="84"/>
      <c r="E3451" s="84"/>
      <c r="F3451" s="84"/>
      <c r="G3451" s="84"/>
      <c r="R3451" s="251"/>
      <c r="S3451" s="251"/>
    </row>
    <row r="3452" spans="2:19" ht="15">
      <c r="B3452" s="84"/>
      <c r="D3452" s="84"/>
      <c r="E3452" s="84"/>
      <c r="F3452" s="84"/>
      <c r="G3452" s="84"/>
      <c r="R3452" s="251"/>
      <c r="S3452" s="251"/>
    </row>
    <row r="3453" spans="2:19" ht="15">
      <c r="B3453" s="84"/>
      <c r="D3453" s="84"/>
      <c r="E3453" s="84"/>
      <c r="F3453" s="84"/>
      <c r="G3453" s="84"/>
      <c r="R3453" s="251"/>
      <c r="S3453" s="251"/>
    </row>
    <row r="3454" spans="2:19" ht="15">
      <c r="B3454" s="84"/>
      <c r="D3454" s="84"/>
      <c r="E3454" s="84"/>
      <c r="F3454" s="84"/>
      <c r="G3454" s="84"/>
      <c r="R3454" s="251"/>
      <c r="S3454" s="251"/>
    </row>
    <row r="3455" spans="2:19" ht="15">
      <c r="B3455" s="84"/>
      <c r="D3455" s="84"/>
      <c r="E3455" s="84"/>
      <c r="F3455" s="84"/>
      <c r="G3455" s="84"/>
      <c r="R3455" s="251"/>
      <c r="S3455" s="251"/>
    </row>
    <row r="3456" spans="2:19" ht="15">
      <c r="B3456" s="84"/>
      <c r="D3456" s="84"/>
      <c r="E3456" s="84"/>
      <c r="F3456" s="84"/>
      <c r="G3456" s="84"/>
      <c r="R3456" s="251"/>
      <c r="S3456" s="251"/>
    </row>
    <row r="3457" spans="2:19" ht="15">
      <c r="B3457" s="84"/>
      <c r="D3457" s="84"/>
      <c r="E3457" s="84"/>
      <c r="F3457" s="84"/>
      <c r="G3457" s="84"/>
      <c r="R3457" s="251"/>
      <c r="S3457" s="251"/>
    </row>
    <row r="3458" spans="2:19" ht="15">
      <c r="B3458" s="84"/>
      <c r="D3458" s="84"/>
      <c r="E3458" s="84"/>
      <c r="F3458" s="84"/>
      <c r="G3458" s="84"/>
      <c r="R3458" s="251"/>
      <c r="S3458" s="251"/>
    </row>
    <row r="3459" spans="2:19" ht="15">
      <c r="B3459" s="84"/>
      <c r="D3459" s="84"/>
      <c r="E3459" s="84"/>
      <c r="F3459" s="84"/>
      <c r="G3459" s="84"/>
      <c r="R3459" s="251"/>
      <c r="S3459" s="251"/>
    </row>
    <row r="3460" spans="2:19" ht="15">
      <c r="B3460" s="84"/>
      <c r="D3460" s="84"/>
      <c r="E3460" s="84"/>
      <c r="F3460" s="84"/>
      <c r="G3460" s="84"/>
      <c r="R3460" s="251"/>
      <c r="S3460" s="251"/>
    </row>
    <row r="3461" spans="2:19" ht="15">
      <c r="B3461" s="84"/>
      <c r="D3461" s="84"/>
      <c r="E3461" s="84"/>
      <c r="F3461" s="84"/>
      <c r="G3461" s="84"/>
      <c r="R3461" s="251"/>
      <c r="S3461" s="251"/>
    </row>
    <row r="3462" spans="2:19" ht="15">
      <c r="B3462" s="84"/>
      <c r="D3462" s="84"/>
      <c r="E3462" s="84"/>
      <c r="F3462" s="84"/>
      <c r="G3462" s="84"/>
      <c r="R3462" s="251"/>
      <c r="S3462" s="251"/>
    </row>
    <row r="3463" spans="2:19" ht="15">
      <c r="B3463" s="84"/>
      <c r="D3463" s="84"/>
      <c r="E3463" s="84"/>
      <c r="F3463" s="84"/>
      <c r="G3463" s="84"/>
      <c r="R3463" s="251"/>
      <c r="S3463" s="251"/>
    </row>
    <row r="3464" spans="2:19" ht="15">
      <c r="B3464" s="84"/>
      <c r="D3464" s="84"/>
      <c r="E3464" s="84"/>
      <c r="F3464" s="84"/>
      <c r="G3464" s="84"/>
      <c r="R3464" s="251"/>
      <c r="S3464" s="251"/>
    </row>
    <row r="3465" spans="2:19" ht="15">
      <c r="B3465" s="84"/>
      <c r="D3465" s="84"/>
      <c r="E3465" s="84"/>
      <c r="F3465" s="84"/>
      <c r="G3465" s="84"/>
      <c r="R3465" s="251"/>
      <c r="S3465" s="251"/>
    </row>
    <row r="3466" spans="2:19" ht="15">
      <c r="B3466" s="84"/>
      <c r="D3466" s="84"/>
      <c r="E3466" s="84"/>
      <c r="F3466" s="84"/>
      <c r="G3466" s="84"/>
      <c r="R3466" s="251"/>
      <c r="S3466" s="251"/>
    </row>
    <row r="3467" spans="2:19" ht="15">
      <c r="B3467" s="84"/>
      <c r="D3467" s="84"/>
      <c r="E3467" s="84"/>
      <c r="F3467" s="84"/>
      <c r="G3467" s="84"/>
      <c r="R3467" s="251"/>
      <c r="S3467" s="251"/>
    </row>
    <row r="3468" spans="2:19" ht="15">
      <c r="B3468" s="84"/>
      <c r="D3468" s="84"/>
      <c r="E3468" s="84"/>
      <c r="F3468" s="84"/>
      <c r="G3468" s="84"/>
      <c r="R3468" s="251"/>
      <c r="S3468" s="251"/>
    </row>
    <row r="3469" spans="2:19" ht="15">
      <c r="B3469" s="84"/>
      <c r="D3469" s="84"/>
      <c r="E3469" s="84"/>
      <c r="F3469" s="84"/>
      <c r="G3469" s="84"/>
      <c r="R3469" s="251"/>
      <c r="S3469" s="251"/>
    </row>
    <row r="3470" spans="2:19" ht="15">
      <c r="B3470" s="84"/>
      <c r="D3470" s="84"/>
      <c r="E3470" s="84"/>
      <c r="F3470" s="84"/>
      <c r="G3470" s="84"/>
      <c r="R3470" s="251"/>
      <c r="S3470" s="251"/>
    </row>
    <row r="3471" spans="2:19" ht="15">
      <c r="B3471" s="84"/>
      <c r="D3471" s="84"/>
      <c r="E3471" s="84"/>
      <c r="F3471" s="84"/>
      <c r="G3471" s="84"/>
      <c r="R3471" s="251"/>
      <c r="S3471" s="251"/>
    </row>
    <row r="3472" spans="2:19" ht="15">
      <c r="B3472" s="84"/>
      <c r="D3472" s="84"/>
      <c r="E3472" s="84"/>
      <c r="F3472" s="84"/>
      <c r="G3472" s="84"/>
      <c r="R3472" s="251"/>
      <c r="S3472" s="251"/>
    </row>
    <row r="3473" spans="2:19" ht="15">
      <c r="B3473" s="84"/>
      <c r="D3473" s="84"/>
      <c r="E3473" s="84"/>
      <c r="F3473" s="84"/>
      <c r="G3473" s="84"/>
      <c r="R3473" s="251"/>
      <c r="S3473" s="251"/>
    </row>
    <row r="3474" spans="2:19" ht="15">
      <c r="B3474" s="84"/>
      <c r="D3474" s="84"/>
      <c r="E3474" s="84"/>
      <c r="F3474" s="84"/>
      <c r="G3474" s="84"/>
      <c r="R3474" s="251"/>
      <c r="S3474" s="251"/>
    </row>
    <row r="3475" spans="2:19" ht="15">
      <c r="B3475" s="84"/>
      <c r="D3475" s="84"/>
      <c r="E3475" s="84"/>
      <c r="F3475" s="84"/>
      <c r="G3475" s="84"/>
      <c r="R3475" s="251"/>
      <c r="S3475" s="251"/>
    </row>
    <row r="3476" spans="2:19" ht="15">
      <c r="B3476" s="84"/>
      <c r="D3476" s="84"/>
      <c r="E3476" s="84"/>
      <c r="F3476" s="84"/>
      <c r="G3476" s="84"/>
      <c r="R3476" s="251"/>
      <c r="S3476" s="251"/>
    </row>
    <row r="3477" spans="2:19" ht="15">
      <c r="B3477" s="84"/>
      <c r="D3477" s="84"/>
      <c r="E3477" s="84"/>
      <c r="F3477" s="84"/>
      <c r="G3477" s="84"/>
      <c r="R3477" s="251"/>
      <c r="S3477" s="251"/>
    </row>
    <row r="3478" spans="2:19" ht="15">
      <c r="B3478" s="84"/>
      <c r="D3478" s="84"/>
      <c r="E3478" s="84"/>
      <c r="F3478" s="84"/>
      <c r="G3478" s="84"/>
      <c r="R3478" s="251"/>
      <c r="S3478" s="251"/>
    </row>
    <row r="3479" spans="2:19" ht="15">
      <c r="B3479" s="84"/>
      <c r="D3479" s="84"/>
      <c r="E3479" s="84"/>
      <c r="F3479" s="84"/>
      <c r="G3479" s="84"/>
      <c r="R3479" s="251"/>
      <c r="S3479" s="251"/>
    </row>
    <row r="3480" spans="2:19" ht="15">
      <c r="B3480" s="84"/>
      <c r="D3480" s="84"/>
      <c r="E3480" s="84"/>
      <c r="F3480" s="84"/>
      <c r="G3480" s="84"/>
      <c r="R3480" s="251"/>
      <c r="S3480" s="251"/>
    </row>
    <row r="3481" spans="2:19" ht="15">
      <c r="B3481" s="84"/>
      <c r="D3481" s="84"/>
      <c r="E3481" s="84"/>
      <c r="F3481" s="84"/>
      <c r="G3481" s="84"/>
      <c r="R3481" s="251"/>
      <c r="S3481" s="251"/>
    </row>
    <row r="3482" spans="2:19" ht="15">
      <c r="B3482" s="84"/>
      <c r="D3482" s="84"/>
      <c r="E3482" s="84"/>
      <c r="F3482" s="84"/>
      <c r="G3482" s="84"/>
      <c r="R3482" s="251"/>
      <c r="S3482" s="251"/>
    </row>
    <row r="3483" spans="2:19" ht="15">
      <c r="B3483" s="84"/>
      <c r="D3483" s="84"/>
      <c r="E3483" s="84"/>
      <c r="F3483" s="84"/>
      <c r="G3483" s="84"/>
      <c r="R3483" s="251"/>
      <c r="S3483" s="251"/>
    </row>
    <row r="3484" spans="2:19" ht="15">
      <c r="B3484" s="84"/>
      <c r="D3484" s="84"/>
      <c r="E3484" s="84"/>
      <c r="F3484" s="84"/>
      <c r="G3484" s="84"/>
      <c r="R3484" s="251"/>
      <c r="S3484" s="251"/>
    </row>
    <row r="3485" spans="2:19" ht="15">
      <c r="B3485" s="84"/>
      <c r="D3485" s="84"/>
      <c r="E3485" s="84"/>
      <c r="F3485" s="84"/>
      <c r="G3485" s="84"/>
      <c r="R3485" s="251"/>
      <c r="S3485" s="251"/>
    </row>
    <row r="3486" spans="2:19" ht="15">
      <c r="B3486" s="84"/>
      <c r="D3486" s="84"/>
      <c r="E3486" s="84"/>
      <c r="F3486" s="84"/>
      <c r="G3486" s="84"/>
      <c r="R3486" s="251"/>
      <c r="S3486" s="251"/>
    </row>
    <row r="3487" spans="2:19" ht="15">
      <c r="B3487" s="84"/>
      <c r="D3487" s="84"/>
      <c r="E3487" s="84"/>
      <c r="F3487" s="84"/>
      <c r="G3487" s="84"/>
      <c r="R3487" s="251"/>
      <c r="S3487" s="251"/>
    </row>
    <row r="3488" spans="2:19" ht="15">
      <c r="B3488" s="84"/>
      <c r="D3488" s="84"/>
      <c r="E3488" s="84"/>
      <c r="F3488" s="84"/>
      <c r="G3488" s="84"/>
      <c r="R3488" s="251"/>
      <c r="S3488" s="251"/>
    </row>
    <row r="3489" spans="2:19" ht="15">
      <c r="B3489" s="84"/>
      <c r="D3489" s="84"/>
      <c r="E3489" s="84"/>
      <c r="F3489" s="84"/>
      <c r="G3489" s="84"/>
      <c r="R3489" s="251"/>
      <c r="S3489" s="251"/>
    </row>
    <row r="3490" spans="2:19" ht="15">
      <c r="B3490" s="84"/>
      <c r="D3490" s="84"/>
      <c r="E3490" s="84"/>
      <c r="F3490" s="84"/>
      <c r="G3490" s="84"/>
      <c r="R3490" s="251"/>
      <c r="S3490" s="251"/>
    </row>
    <row r="3491" spans="2:19" ht="15">
      <c r="B3491" s="84"/>
      <c r="D3491" s="84"/>
      <c r="E3491" s="84"/>
      <c r="F3491" s="84"/>
      <c r="G3491" s="84"/>
      <c r="R3491" s="251"/>
      <c r="S3491" s="251"/>
    </row>
    <row r="3492" spans="2:19" ht="15">
      <c r="B3492" s="84"/>
      <c r="D3492" s="84"/>
      <c r="E3492" s="84"/>
      <c r="F3492" s="84"/>
      <c r="G3492" s="84"/>
      <c r="R3492" s="251"/>
      <c r="S3492" s="251"/>
    </row>
    <row r="3493" spans="2:19" ht="15">
      <c r="B3493" s="84"/>
      <c r="D3493" s="84"/>
      <c r="E3493" s="84"/>
      <c r="F3493" s="84"/>
      <c r="G3493" s="84"/>
      <c r="R3493" s="251"/>
      <c r="S3493" s="251"/>
    </row>
    <row r="3494" spans="2:19" ht="15">
      <c r="B3494" s="84"/>
      <c r="D3494" s="84"/>
      <c r="E3494" s="84"/>
      <c r="F3494" s="84"/>
      <c r="G3494" s="84"/>
      <c r="R3494" s="251"/>
      <c r="S3494" s="251"/>
    </row>
    <row r="3495" spans="2:19" ht="15">
      <c r="B3495" s="84"/>
      <c r="D3495" s="84"/>
      <c r="E3495" s="84"/>
      <c r="F3495" s="84"/>
      <c r="G3495" s="84"/>
      <c r="R3495" s="251"/>
      <c r="S3495" s="251"/>
    </row>
    <row r="3496" spans="2:19" ht="15">
      <c r="B3496" s="84"/>
      <c r="D3496" s="84"/>
      <c r="E3496" s="84"/>
      <c r="F3496" s="84"/>
      <c r="G3496" s="84"/>
      <c r="R3496" s="251"/>
      <c r="S3496" s="251"/>
    </row>
    <row r="3497" spans="2:19" ht="15">
      <c r="B3497" s="84"/>
      <c r="D3497" s="84"/>
      <c r="E3497" s="84"/>
      <c r="F3497" s="84"/>
      <c r="G3497" s="84"/>
      <c r="R3497" s="251"/>
      <c r="S3497" s="251"/>
    </row>
    <row r="3498" spans="2:19" ht="15">
      <c r="B3498" s="84"/>
      <c r="D3498" s="84"/>
      <c r="E3498" s="84"/>
      <c r="F3498" s="84"/>
      <c r="G3498" s="84"/>
      <c r="R3498" s="251"/>
      <c r="S3498" s="251"/>
    </row>
    <row r="3499" spans="2:19" ht="15">
      <c r="B3499" s="84"/>
      <c r="D3499" s="84"/>
      <c r="E3499" s="84"/>
      <c r="F3499" s="84"/>
      <c r="G3499" s="84"/>
      <c r="R3499" s="251"/>
      <c r="S3499" s="251"/>
    </row>
    <row r="3500" spans="2:19" ht="15">
      <c r="B3500" s="84"/>
      <c r="D3500" s="84"/>
      <c r="E3500" s="84"/>
      <c r="F3500" s="84"/>
      <c r="G3500" s="84"/>
      <c r="R3500" s="251"/>
      <c r="S3500" s="251"/>
    </row>
    <row r="3501" spans="2:19" ht="15">
      <c r="B3501" s="84"/>
      <c r="D3501" s="84"/>
      <c r="E3501" s="84"/>
      <c r="F3501" s="84"/>
      <c r="G3501" s="84"/>
      <c r="R3501" s="251"/>
      <c r="S3501" s="251"/>
    </row>
    <row r="3502" spans="2:19" ht="15">
      <c r="B3502" s="84"/>
      <c r="D3502" s="84"/>
      <c r="E3502" s="84"/>
      <c r="F3502" s="84"/>
      <c r="G3502" s="84"/>
      <c r="R3502" s="251"/>
      <c r="S3502" s="251"/>
    </row>
    <row r="3503" spans="2:19" ht="15">
      <c r="B3503" s="84"/>
      <c r="D3503" s="84"/>
      <c r="E3503" s="84"/>
      <c r="F3503" s="84"/>
      <c r="G3503" s="84"/>
      <c r="R3503" s="251"/>
      <c r="S3503" s="251"/>
    </row>
    <row r="3504" spans="2:19" ht="15">
      <c r="B3504" s="84"/>
      <c r="D3504" s="84"/>
      <c r="E3504" s="84"/>
      <c r="F3504" s="84"/>
      <c r="G3504" s="84"/>
      <c r="R3504" s="251"/>
      <c r="S3504" s="251"/>
    </row>
    <row r="3505" spans="2:19" ht="15">
      <c r="B3505" s="84"/>
      <c r="D3505" s="84"/>
      <c r="E3505" s="84"/>
      <c r="F3505" s="84"/>
      <c r="G3505" s="84"/>
      <c r="R3505" s="251"/>
      <c r="S3505" s="251"/>
    </row>
    <row r="3506" spans="2:19" ht="15">
      <c r="B3506" s="84"/>
      <c r="D3506" s="84"/>
      <c r="E3506" s="84"/>
      <c r="F3506" s="84"/>
      <c r="G3506" s="84"/>
      <c r="R3506" s="251"/>
      <c r="S3506" s="251"/>
    </row>
    <row r="3507" spans="2:19" ht="15">
      <c r="B3507" s="84"/>
      <c r="D3507" s="84"/>
      <c r="E3507" s="84"/>
      <c r="F3507" s="84"/>
      <c r="G3507" s="84"/>
      <c r="R3507" s="251"/>
      <c r="S3507" s="251"/>
    </row>
    <row r="3508" spans="2:19" ht="15">
      <c r="B3508" s="84"/>
      <c r="D3508" s="84"/>
      <c r="E3508" s="84"/>
      <c r="F3508" s="84"/>
      <c r="G3508" s="84"/>
      <c r="R3508" s="251"/>
      <c r="S3508" s="251"/>
    </row>
    <row r="3509" spans="2:19" ht="15">
      <c r="B3509" s="84"/>
      <c r="D3509" s="84"/>
      <c r="E3509" s="84"/>
      <c r="F3509" s="84"/>
      <c r="G3509" s="84"/>
      <c r="R3509" s="251"/>
      <c r="S3509" s="251"/>
    </row>
    <row r="3510" spans="2:19" ht="15">
      <c r="B3510" s="84"/>
      <c r="D3510" s="84"/>
      <c r="E3510" s="84"/>
      <c r="F3510" s="84"/>
      <c r="G3510" s="84"/>
      <c r="R3510" s="251"/>
      <c r="S3510" s="251"/>
    </row>
    <row r="3511" spans="2:19" ht="15">
      <c r="B3511" s="84"/>
      <c r="D3511" s="84"/>
      <c r="E3511" s="84"/>
      <c r="F3511" s="84"/>
      <c r="G3511" s="84"/>
      <c r="R3511" s="251"/>
      <c r="S3511" s="251"/>
    </row>
    <row r="3512" spans="2:19" ht="15">
      <c r="B3512" s="84"/>
      <c r="D3512" s="84"/>
      <c r="E3512" s="84"/>
      <c r="F3512" s="84"/>
      <c r="G3512" s="84"/>
      <c r="R3512" s="251"/>
      <c r="S3512" s="251"/>
    </row>
    <row r="3513" spans="2:19" ht="15">
      <c r="B3513" s="84"/>
      <c r="D3513" s="84"/>
      <c r="E3513" s="84"/>
      <c r="F3513" s="84"/>
      <c r="G3513" s="84"/>
      <c r="R3513" s="251"/>
      <c r="S3513" s="251"/>
    </row>
    <row r="3514" spans="2:19" ht="15">
      <c r="B3514" s="84"/>
      <c r="D3514" s="84"/>
      <c r="E3514" s="84"/>
      <c r="F3514" s="84"/>
      <c r="G3514" s="84"/>
      <c r="R3514" s="251"/>
      <c r="S3514" s="251"/>
    </row>
    <row r="3515" spans="2:19" ht="15">
      <c r="B3515" s="84"/>
      <c r="D3515" s="84"/>
      <c r="E3515" s="84"/>
      <c r="F3515" s="84"/>
      <c r="G3515" s="84"/>
      <c r="R3515" s="251"/>
      <c r="S3515" s="251"/>
    </row>
    <row r="3516" spans="2:19" ht="15">
      <c r="B3516" s="84"/>
      <c r="D3516" s="84"/>
      <c r="E3516" s="84"/>
      <c r="F3516" s="84"/>
      <c r="G3516" s="84"/>
      <c r="R3516" s="251"/>
      <c r="S3516" s="251"/>
    </row>
    <row r="3517" spans="2:19" ht="15">
      <c r="B3517" s="84"/>
      <c r="D3517" s="84"/>
      <c r="E3517" s="84"/>
      <c r="F3517" s="84"/>
      <c r="G3517" s="84"/>
      <c r="R3517" s="251"/>
      <c r="S3517" s="251"/>
    </row>
    <row r="3518" spans="2:19" ht="15">
      <c r="B3518" s="84"/>
      <c r="D3518" s="84"/>
      <c r="E3518" s="84"/>
      <c r="F3518" s="84"/>
      <c r="G3518" s="84"/>
      <c r="R3518" s="251"/>
      <c r="S3518" s="251"/>
    </row>
    <row r="3519" spans="2:19" ht="15">
      <c r="B3519" s="84"/>
      <c r="D3519" s="84"/>
      <c r="E3519" s="84"/>
      <c r="F3519" s="84"/>
      <c r="G3519" s="84"/>
      <c r="R3519" s="251"/>
      <c r="S3519" s="251"/>
    </row>
    <row r="3520" spans="2:19" ht="15">
      <c r="B3520" s="84"/>
      <c r="D3520" s="84"/>
      <c r="E3520" s="84"/>
      <c r="F3520" s="84"/>
      <c r="G3520" s="84"/>
      <c r="R3520" s="251"/>
      <c r="S3520" s="251"/>
    </row>
    <row r="3521" spans="2:19" ht="15">
      <c r="B3521" s="84"/>
      <c r="D3521" s="84"/>
      <c r="E3521" s="84"/>
      <c r="F3521" s="84"/>
      <c r="G3521" s="84"/>
      <c r="R3521" s="251"/>
      <c r="S3521" s="251"/>
    </row>
    <row r="3522" spans="2:19" ht="15">
      <c r="B3522" s="84"/>
      <c r="D3522" s="84"/>
      <c r="E3522" s="84"/>
      <c r="F3522" s="84"/>
      <c r="G3522" s="84"/>
      <c r="R3522" s="251"/>
      <c r="S3522" s="251"/>
    </row>
    <row r="3523" spans="2:19" ht="15">
      <c r="B3523" s="84"/>
      <c r="D3523" s="84"/>
      <c r="E3523" s="84"/>
      <c r="F3523" s="84"/>
      <c r="G3523" s="84"/>
      <c r="R3523" s="251"/>
      <c r="S3523" s="251"/>
    </row>
    <row r="3524" spans="2:19" ht="15">
      <c r="B3524" s="84"/>
      <c r="D3524" s="84"/>
      <c r="E3524" s="84"/>
      <c r="F3524" s="84"/>
      <c r="G3524" s="84"/>
      <c r="R3524" s="251"/>
      <c r="S3524" s="251"/>
    </row>
    <row r="3525" spans="2:19" ht="15">
      <c r="B3525" s="84"/>
      <c r="D3525" s="84"/>
      <c r="E3525" s="84"/>
      <c r="F3525" s="84"/>
      <c r="G3525" s="84"/>
      <c r="R3525" s="251"/>
      <c r="S3525" s="251"/>
    </row>
    <row r="3526" spans="2:19" ht="15">
      <c r="B3526" s="84"/>
      <c r="D3526" s="84"/>
      <c r="E3526" s="84"/>
      <c r="F3526" s="84"/>
      <c r="G3526" s="84"/>
      <c r="R3526" s="251"/>
      <c r="S3526" s="251"/>
    </row>
    <row r="3527" spans="2:19" ht="15">
      <c r="B3527" s="84"/>
      <c r="D3527" s="84"/>
      <c r="E3527" s="84"/>
      <c r="F3527" s="84"/>
      <c r="G3527" s="84"/>
      <c r="R3527" s="251"/>
      <c r="S3527" s="251"/>
    </row>
    <row r="3528" spans="2:19" ht="15">
      <c r="B3528" s="84"/>
      <c r="D3528" s="84"/>
      <c r="E3528" s="84"/>
      <c r="F3528" s="84"/>
      <c r="G3528" s="84"/>
      <c r="R3528" s="251"/>
      <c r="S3528" s="251"/>
    </row>
    <row r="3529" spans="2:19" ht="15">
      <c r="B3529" s="84"/>
      <c r="D3529" s="84"/>
      <c r="E3529" s="84"/>
      <c r="F3529" s="84"/>
      <c r="G3529" s="84"/>
      <c r="R3529" s="251"/>
      <c r="S3529" s="251"/>
    </row>
    <row r="3530" spans="2:19" ht="15">
      <c r="B3530" s="84"/>
      <c r="D3530" s="84"/>
      <c r="E3530" s="84"/>
      <c r="F3530" s="84"/>
      <c r="G3530" s="84"/>
      <c r="R3530" s="251"/>
      <c r="S3530" s="251"/>
    </row>
    <row r="3531" spans="2:19" ht="15">
      <c r="B3531" s="84"/>
      <c r="D3531" s="84"/>
      <c r="E3531" s="84"/>
      <c r="F3531" s="84"/>
      <c r="G3531" s="84"/>
      <c r="R3531" s="251"/>
      <c r="S3531" s="251"/>
    </row>
    <row r="3532" spans="2:19" ht="15">
      <c r="B3532" s="84"/>
      <c r="D3532" s="84"/>
      <c r="E3532" s="84"/>
      <c r="F3532" s="84"/>
      <c r="G3532" s="84"/>
      <c r="R3532" s="251"/>
      <c r="S3532" s="251"/>
    </row>
    <row r="3533" spans="2:19" ht="15">
      <c r="B3533" s="84"/>
      <c r="D3533" s="84"/>
      <c r="E3533" s="84"/>
      <c r="F3533" s="84"/>
      <c r="G3533" s="84"/>
      <c r="R3533" s="251"/>
      <c r="S3533" s="251"/>
    </row>
    <row r="3534" spans="2:19" ht="15">
      <c r="B3534" s="84"/>
      <c r="D3534" s="84"/>
      <c r="E3534" s="84"/>
      <c r="F3534" s="84"/>
      <c r="G3534" s="84"/>
      <c r="R3534" s="251"/>
      <c r="S3534" s="251"/>
    </row>
    <row r="3535" spans="2:19" ht="15">
      <c r="B3535" s="84"/>
      <c r="D3535" s="84"/>
      <c r="E3535" s="84"/>
      <c r="F3535" s="84"/>
      <c r="G3535" s="84"/>
      <c r="R3535" s="251"/>
      <c r="S3535" s="251"/>
    </row>
    <row r="3536" spans="2:19" ht="15">
      <c r="B3536" s="84"/>
      <c r="D3536" s="84"/>
      <c r="E3536" s="84"/>
      <c r="F3536" s="84"/>
      <c r="G3536" s="84"/>
      <c r="R3536" s="251"/>
      <c r="S3536" s="251"/>
    </row>
    <row r="3537" spans="2:19" ht="15">
      <c r="B3537" s="84"/>
      <c r="D3537" s="84"/>
      <c r="E3537" s="84"/>
      <c r="F3537" s="84"/>
      <c r="G3537" s="84"/>
      <c r="R3537" s="251"/>
      <c r="S3537" s="251"/>
    </row>
    <row r="3538" spans="2:19" ht="15">
      <c r="B3538" s="84"/>
      <c r="D3538" s="84"/>
      <c r="E3538" s="84"/>
      <c r="F3538" s="84"/>
      <c r="G3538" s="84"/>
      <c r="R3538" s="251"/>
      <c r="S3538" s="251"/>
    </row>
    <row r="3539" spans="2:19" ht="15">
      <c r="B3539" s="84"/>
      <c r="D3539" s="84"/>
      <c r="E3539" s="84"/>
      <c r="F3539" s="84"/>
      <c r="G3539" s="84"/>
      <c r="R3539" s="251"/>
      <c r="S3539" s="251"/>
    </row>
    <row r="3540" spans="2:19" ht="15">
      <c r="B3540" s="84"/>
      <c r="D3540" s="84"/>
      <c r="E3540" s="84"/>
      <c r="F3540" s="84"/>
      <c r="G3540" s="84"/>
      <c r="R3540" s="251"/>
      <c r="S3540" s="251"/>
    </row>
    <row r="3541" spans="2:19" ht="15">
      <c r="B3541" s="84"/>
      <c r="D3541" s="84"/>
      <c r="E3541" s="84"/>
      <c r="F3541" s="84"/>
      <c r="G3541" s="84"/>
      <c r="R3541" s="251"/>
      <c r="S3541" s="251"/>
    </row>
    <row r="3542" spans="2:19" ht="15">
      <c r="B3542" s="84"/>
      <c r="D3542" s="84"/>
      <c r="E3542" s="84"/>
      <c r="F3542" s="84"/>
      <c r="G3542" s="84"/>
      <c r="R3542" s="251"/>
      <c r="S3542" s="251"/>
    </row>
    <row r="3543" spans="2:19" ht="15">
      <c r="B3543" s="84"/>
      <c r="D3543" s="84"/>
      <c r="E3543" s="84"/>
      <c r="F3543" s="84"/>
      <c r="G3543" s="84"/>
      <c r="R3543" s="251"/>
      <c r="S3543" s="251"/>
    </row>
    <row r="3544" spans="2:19" ht="15">
      <c r="B3544" s="84"/>
      <c r="D3544" s="84"/>
      <c r="E3544" s="84"/>
      <c r="F3544" s="84"/>
      <c r="G3544" s="84"/>
      <c r="R3544" s="251"/>
      <c r="S3544" s="251"/>
    </row>
    <row r="3545" spans="2:19" ht="15">
      <c r="B3545" s="84"/>
      <c r="D3545" s="84"/>
      <c r="E3545" s="84"/>
      <c r="F3545" s="84"/>
      <c r="G3545" s="84"/>
      <c r="R3545" s="251"/>
      <c r="S3545" s="251"/>
    </row>
    <row r="3546" spans="2:19" ht="15">
      <c r="B3546" s="84"/>
      <c r="D3546" s="84"/>
      <c r="E3546" s="84"/>
      <c r="F3546" s="84"/>
      <c r="G3546" s="84"/>
      <c r="R3546" s="251"/>
      <c r="S3546" s="251"/>
    </row>
    <row r="3547" spans="2:19" ht="15">
      <c r="B3547" s="84"/>
      <c r="D3547" s="84"/>
      <c r="E3547" s="84"/>
      <c r="F3547" s="84"/>
      <c r="G3547" s="84"/>
      <c r="R3547" s="251"/>
      <c r="S3547" s="251"/>
    </row>
    <row r="3548" spans="2:19" ht="15">
      <c r="B3548" s="84"/>
      <c r="D3548" s="84"/>
      <c r="E3548" s="84"/>
      <c r="F3548" s="84"/>
      <c r="G3548" s="84"/>
      <c r="R3548" s="251"/>
      <c r="S3548" s="251"/>
    </row>
    <row r="3549" spans="2:19" ht="15">
      <c r="B3549" s="84"/>
      <c r="D3549" s="84"/>
      <c r="E3549" s="84"/>
      <c r="F3549" s="84"/>
      <c r="G3549" s="84"/>
      <c r="R3549" s="251"/>
      <c r="S3549" s="251"/>
    </row>
    <row r="3550" spans="2:19" ht="15">
      <c r="B3550" s="84"/>
      <c r="D3550" s="84"/>
      <c r="E3550" s="84"/>
      <c r="F3550" s="84"/>
      <c r="G3550" s="84"/>
      <c r="R3550" s="251"/>
      <c r="S3550" s="251"/>
    </row>
    <row r="3551" spans="2:19" ht="15">
      <c r="B3551" s="84"/>
      <c r="D3551" s="84"/>
      <c r="E3551" s="84"/>
      <c r="F3551" s="84"/>
      <c r="G3551" s="84"/>
      <c r="R3551" s="251"/>
      <c r="S3551" s="251"/>
    </row>
    <row r="3552" spans="2:19" ht="15">
      <c r="B3552" s="84"/>
      <c r="D3552" s="84"/>
      <c r="E3552" s="84"/>
      <c r="F3552" s="84"/>
      <c r="G3552" s="84"/>
      <c r="R3552" s="251"/>
      <c r="S3552" s="251"/>
    </row>
    <row r="3553" spans="2:19" ht="15">
      <c r="B3553" s="84"/>
      <c r="D3553" s="84"/>
      <c r="E3553" s="84"/>
      <c r="F3553" s="84"/>
      <c r="G3553" s="84"/>
      <c r="R3553" s="251"/>
      <c r="S3553" s="251"/>
    </row>
    <row r="3554" spans="2:19" ht="15">
      <c r="B3554" s="84"/>
      <c r="D3554" s="84"/>
      <c r="E3554" s="84"/>
      <c r="F3554" s="84"/>
      <c r="G3554" s="84"/>
      <c r="R3554" s="251"/>
      <c r="S3554" s="251"/>
    </row>
    <row r="3555" spans="2:19" ht="15">
      <c r="B3555" s="84"/>
      <c r="D3555" s="84"/>
      <c r="E3555" s="84"/>
      <c r="F3555" s="84"/>
      <c r="G3555" s="84"/>
      <c r="R3555" s="251"/>
      <c r="S3555" s="251"/>
    </row>
    <row r="3556" spans="2:19" ht="15">
      <c r="B3556" s="84"/>
      <c r="D3556" s="84"/>
      <c r="E3556" s="84"/>
      <c r="F3556" s="84"/>
      <c r="G3556" s="84"/>
      <c r="R3556" s="251"/>
      <c r="S3556" s="251"/>
    </row>
    <row r="3557" spans="2:19" ht="15">
      <c r="B3557" s="84"/>
      <c r="D3557" s="84"/>
      <c r="E3557" s="84"/>
      <c r="F3557" s="84"/>
      <c r="G3557" s="84"/>
      <c r="R3557" s="251"/>
      <c r="S3557" s="251"/>
    </row>
    <row r="3558" spans="2:19" ht="15">
      <c r="B3558" s="84"/>
      <c r="D3558" s="84"/>
      <c r="E3558" s="84"/>
      <c r="F3558" s="84"/>
      <c r="G3558" s="84"/>
      <c r="R3558" s="251"/>
      <c r="S3558" s="251"/>
    </row>
    <row r="3559" spans="2:19" ht="15">
      <c r="B3559" s="84"/>
      <c r="D3559" s="84"/>
      <c r="E3559" s="84"/>
      <c r="F3559" s="84"/>
      <c r="G3559" s="84"/>
      <c r="R3559" s="251"/>
      <c r="S3559" s="251"/>
    </row>
    <row r="3560" spans="2:19" ht="15">
      <c r="B3560" s="84"/>
      <c r="D3560" s="84"/>
      <c r="E3560" s="84"/>
      <c r="F3560" s="84"/>
      <c r="G3560" s="84"/>
      <c r="R3560" s="251"/>
      <c r="S3560" s="251"/>
    </row>
    <row r="3561" spans="2:19" ht="15">
      <c r="B3561" s="84"/>
      <c r="D3561" s="84"/>
      <c r="E3561" s="84"/>
      <c r="F3561" s="84"/>
      <c r="G3561" s="84"/>
      <c r="R3561" s="251"/>
      <c r="S3561" s="251"/>
    </row>
    <row r="3562" spans="2:19" ht="15">
      <c r="B3562" s="84"/>
      <c r="D3562" s="84"/>
      <c r="E3562" s="84"/>
      <c r="F3562" s="84"/>
      <c r="G3562" s="84"/>
      <c r="R3562" s="251"/>
      <c r="S3562" s="251"/>
    </row>
    <row r="3563" spans="2:19" ht="15">
      <c r="B3563" s="84"/>
      <c r="D3563" s="84"/>
      <c r="E3563" s="84"/>
      <c r="F3563" s="84"/>
      <c r="G3563" s="84"/>
      <c r="R3563" s="251"/>
      <c r="S3563" s="251"/>
    </row>
    <row r="3564" spans="2:19" ht="15">
      <c r="B3564" s="84"/>
      <c r="D3564" s="84"/>
      <c r="E3564" s="84"/>
      <c r="F3564" s="84"/>
      <c r="G3564" s="84"/>
      <c r="R3564" s="251"/>
      <c r="S3564" s="251"/>
    </row>
    <row r="3565" spans="2:19" ht="15">
      <c r="B3565" s="84"/>
      <c r="D3565" s="84"/>
      <c r="E3565" s="84"/>
      <c r="F3565" s="84"/>
      <c r="G3565" s="84"/>
      <c r="R3565" s="251"/>
      <c r="S3565" s="251"/>
    </row>
    <row r="3566" spans="2:19" ht="15">
      <c r="B3566" s="84"/>
      <c r="D3566" s="84"/>
      <c r="E3566" s="84"/>
      <c r="F3566" s="84"/>
      <c r="G3566" s="84"/>
      <c r="R3566" s="251"/>
      <c r="S3566" s="251"/>
    </row>
    <row r="3567" spans="2:19" ht="15">
      <c r="B3567" s="84"/>
      <c r="D3567" s="84"/>
      <c r="E3567" s="84"/>
      <c r="F3567" s="84"/>
      <c r="G3567" s="84"/>
      <c r="R3567" s="251"/>
      <c r="S3567" s="251"/>
    </row>
    <row r="3568" spans="2:19" ht="15">
      <c r="B3568" s="84"/>
      <c r="D3568" s="84"/>
      <c r="E3568" s="84"/>
      <c r="F3568" s="84"/>
      <c r="G3568" s="84"/>
      <c r="R3568" s="251"/>
      <c r="S3568" s="251"/>
    </row>
    <row r="3569" spans="2:19" ht="15">
      <c r="B3569" s="84"/>
      <c r="D3569" s="84"/>
      <c r="E3569" s="84"/>
      <c r="F3569" s="84"/>
      <c r="G3569" s="84"/>
      <c r="R3569" s="251"/>
      <c r="S3569" s="251"/>
    </row>
    <row r="3570" spans="2:19" ht="15">
      <c r="B3570" s="84"/>
      <c r="D3570" s="84"/>
      <c r="E3570" s="84"/>
      <c r="F3570" s="84"/>
      <c r="G3570" s="84"/>
      <c r="R3570" s="251"/>
      <c r="S3570" s="251"/>
    </row>
    <row r="3571" spans="2:19" ht="15">
      <c r="B3571" s="84"/>
      <c r="D3571" s="84"/>
      <c r="E3571" s="84"/>
      <c r="F3571" s="84"/>
      <c r="G3571" s="84"/>
      <c r="R3571" s="251"/>
      <c r="S3571" s="251"/>
    </row>
    <row r="3572" spans="2:19" ht="15">
      <c r="B3572" s="84"/>
      <c r="D3572" s="84"/>
      <c r="E3572" s="84"/>
      <c r="F3572" s="84"/>
      <c r="G3572" s="84"/>
      <c r="R3572" s="251"/>
      <c r="S3572" s="251"/>
    </row>
    <row r="3573" spans="2:19" ht="15">
      <c r="B3573" s="84"/>
      <c r="D3573" s="84"/>
      <c r="E3573" s="84"/>
      <c r="F3573" s="84"/>
      <c r="G3573" s="84"/>
      <c r="R3573" s="251"/>
      <c r="S3573" s="251"/>
    </row>
    <row r="3574" spans="2:19" ht="15">
      <c r="B3574" s="84"/>
      <c r="D3574" s="84"/>
      <c r="E3574" s="84"/>
      <c r="F3574" s="84"/>
      <c r="G3574" s="84"/>
      <c r="R3574" s="251"/>
      <c r="S3574" s="251"/>
    </row>
    <row r="3575" spans="2:19" ht="15">
      <c r="B3575" s="84"/>
      <c r="D3575" s="84"/>
      <c r="E3575" s="84"/>
      <c r="F3575" s="84"/>
      <c r="G3575" s="84"/>
      <c r="R3575" s="251"/>
      <c r="S3575" s="251"/>
    </row>
    <row r="3576" spans="2:19" ht="15">
      <c r="B3576" s="84"/>
      <c r="D3576" s="84"/>
      <c r="E3576" s="84"/>
      <c r="F3576" s="84"/>
      <c r="G3576" s="84"/>
      <c r="R3576" s="251"/>
      <c r="S3576" s="251"/>
    </row>
    <row r="3577" spans="2:19" ht="15">
      <c r="B3577" s="84"/>
      <c r="D3577" s="84"/>
      <c r="E3577" s="84"/>
      <c r="F3577" s="84"/>
      <c r="G3577" s="84"/>
      <c r="R3577" s="251"/>
      <c r="S3577" s="251"/>
    </row>
    <row r="3578" spans="2:19" ht="15">
      <c r="B3578" s="84"/>
      <c r="D3578" s="84"/>
      <c r="E3578" s="84"/>
      <c r="F3578" s="84"/>
      <c r="G3578" s="84"/>
      <c r="R3578" s="251"/>
      <c r="S3578" s="251"/>
    </row>
    <row r="3579" spans="2:19" ht="15">
      <c r="B3579" s="84"/>
      <c r="D3579" s="84"/>
      <c r="E3579" s="84"/>
      <c r="F3579" s="84"/>
      <c r="G3579" s="84"/>
      <c r="R3579" s="251"/>
      <c r="S3579" s="251"/>
    </row>
    <row r="3580" spans="2:19" ht="15">
      <c r="B3580" s="84"/>
      <c r="D3580" s="84"/>
      <c r="E3580" s="84"/>
      <c r="F3580" s="84"/>
      <c r="G3580" s="84"/>
      <c r="R3580" s="251"/>
      <c r="S3580" s="251"/>
    </row>
    <row r="3581" spans="2:19" ht="15">
      <c r="B3581" s="84"/>
      <c r="D3581" s="84"/>
      <c r="E3581" s="84"/>
      <c r="F3581" s="84"/>
      <c r="G3581" s="84"/>
      <c r="R3581" s="251"/>
      <c r="S3581" s="251"/>
    </row>
    <row r="3582" spans="2:19" ht="15">
      <c r="B3582" s="84"/>
      <c r="D3582" s="84"/>
      <c r="E3582" s="84"/>
      <c r="F3582" s="84"/>
      <c r="G3582" s="84"/>
      <c r="R3582" s="251"/>
      <c r="S3582" s="251"/>
    </row>
    <row r="3583" spans="2:19" ht="15">
      <c r="B3583" s="84"/>
      <c r="D3583" s="84"/>
      <c r="E3583" s="84"/>
      <c r="F3583" s="84"/>
      <c r="G3583" s="84"/>
      <c r="R3583" s="251"/>
      <c r="S3583" s="251"/>
    </row>
    <row r="3584" spans="2:19" ht="15">
      <c r="B3584" s="84"/>
      <c r="D3584" s="84"/>
      <c r="E3584" s="84"/>
      <c r="F3584" s="84"/>
      <c r="G3584" s="84"/>
      <c r="R3584" s="251"/>
      <c r="S3584" s="251"/>
    </row>
    <row r="3585" spans="2:19" ht="15">
      <c r="B3585" s="84"/>
      <c r="D3585" s="84"/>
      <c r="E3585" s="84"/>
      <c r="F3585" s="84"/>
      <c r="G3585" s="84"/>
      <c r="R3585" s="251"/>
      <c r="S3585" s="251"/>
    </row>
    <row r="3586" spans="2:19" ht="15">
      <c r="B3586" s="84"/>
      <c r="D3586" s="84"/>
      <c r="E3586" s="84"/>
      <c r="F3586" s="84"/>
      <c r="G3586" s="84"/>
      <c r="R3586" s="251"/>
      <c r="S3586" s="251"/>
    </row>
    <row r="3587" spans="2:19" ht="15">
      <c r="B3587" s="84"/>
      <c r="D3587" s="84"/>
      <c r="E3587" s="84"/>
      <c r="F3587" s="84"/>
      <c r="G3587" s="84"/>
      <c r="R3587" s="251"/>
      <c r="S3587" s="251"/>
    </row>
    <row r="3588" spans="2:19" ht="15">
      <c r="B3588" s="84"/>
      <c r="D3588" s="84"/>
      <c r="E3588" s="84"/>
      <c r="F3588" s="84"/>
      <c r="G3588" s="84"/>
      <c r="R3588" s="251"/>
      <c r="S3588" s="251"/>
    </row>
    <row r="3589" spans="2:19" ht="15">
      <c r="B3589" s="84"/>
      <c r="D3589" s="84"/>
      <c r="E3589" s="84"/>
      <c r="F3589" s="84"/>
      <c r="G3589" s="84"/>
      <c r="R3589" s="251"/>
      <c r="S3589" s="251"/>
    </row>
    <row r="3590" spans="2:19" ht="15">
      <c r="B3590" s="84"/>
      <c r="D3590" s="84"/>
      <c r="E3590" s="84"/>
      <c r="F3590" s="84"/>
      <c r="G3590" s="84"/>
      <c r="R3590" s="251"/>
      <c r="S3590" s="251"/>
    </row>
    <row r="3591" spans="2:19" ht="15">
      <c r="B3591" s="84"/>
      <c r="D3591" s="84"/>
      <c r="E3591" s="84"/>
      <c r="F3591" s="84"/>
      <c r="G3591" s="84"/>
      <c r="R3591" s="251"/>
      <c r="S3591" s="251"/>
    </row>
    <row r="3592" spans="2:19" ht="15">
      <c r="B3592" s="84"/>
      <c r="D3592" s="84"/>
      <c r="E3592" s="84"/>
      <c r="F3592" s="84"/>
      <c r="G3592" s="84"/>
      <c r="R3592" s="251"/>
      <c r="S3592" s="251"/>
    </row>
    <row r="3593" spans="2:19" ht="15">
      <c r="B3593" s="84"/>
      <c r="D3593" s="84"/>
      <c r="E3593" s="84"/>
      <c r="F3593" s="84"/>
      <c r="G3593" s="84"/>
      <c r="R3593" s="251"/>
      <c r="S3593" s="251"/>
    </row>
    <row r="3594" spans="2:19" ht="15">
      <c r="B3594" s="84"/>
      <c r="D3594" s="84"/>
      <c r="E3594" s="84"/>
      <c r="F3594" s="84"/>
      <c r="G3594" s="84"/>
      <c r="R3594" s="251"/>
      <c r="S3594" s="251"/>
    </row>
    <row r="3595" spans="2:19" ht="15">
      <c r="B3595" s="84"/>
      <c r="D3595" s="84"/>
      <c r="E3595" s="84"/>
      <c r="F3595" s="84"/>
      <c r="G3595" s="84"/>
      <c r="R3595" s="251"/>
      <c r="S3595" s="251"/>
    </row>
    <row r="3596" spans="2:19" ht="15">
      <c r="B3596" s="84"/>
      <c r="D3596" s="84"/>
      <c r="E3596" s="84"/>
      <c r="F3596" s="84"/>
      <c r="G3596" s="84"/>
      <c r="R3596" s="251"/>
      <c r="S3596" s="251"/>
    </row>
    <row r="3597" spans="2:19" ht="15">
      <c r="B3597" s="84"/>
      <c r="D3597" s="84"/>
      <c r="E3597" s="84"/>
      <c r="F3597" s="84"/>
      <c r="G3597" s="84"/>
      <c r="R3597" s="251"/>
      <c r="S3597" s="251"/>
    </row>
    <row r="3598" spans="2:19" ht="15">
      <c r="B3598" s="84"/>
      <c r="D3598" s="84"/>
      <c r="E3598" s="84"/>
      <c r="F3598" s="84"/>
      <c r="G3598" s="84"/>
      <c r="R3598" s="251"/>
      <c r="S3598" s="251"/>
    </row>
    <row r="3599" spans="2:19" ht="15">
      <c r="B3599" s="84"/>
      <c r="D3599" s="84"/>
      <c r="E3599" s="84"/>
      <c r="F3599" s="84"/>
      <c r="G3599" s="84"/>
      <c r="R3599" s="251"/>
      <c r="S3599" s="251"/>
    </row>
    <row r="3600" spans="2:19" ht="15">
      <c r="B3600" s="84"/>
      <c r="D3600" s="84"/>
      <c r="E3600" s="84"/>
      <c r="F3600" s="84"/>
      <c r="G3600" s="84"/>
      <c r="R3600" s="251"/>
      <c r="S3600" s="251"/>
    </row>
    <row r="3601" spans="2:19" ht="15">
      <c r="B3601" s="84"/>
      <c r="D3601" s="84"/>
      <c r="E3601" s="84"/>
      <c r="F3601" s="84"/>
      <c r="G3601" s="84"/>
      <c r="R3601" s="251"/>
      <c r="S3601" s="251"/>
    </row>
    <row r="3602" spans="2:19" ht="15">
      <c r="B3602" s="84"/>
      <c r="D3602" s="84"/>
      <c r="E3602" s="84"/>
      <c r="F3602" s="84"/>
      <c r="G3602" s="84"/>
      <c r="R3602" s="251"/>
      <c r="S3602" s="251"/>
    </row>
    <row r="3603" spans="2:19" ht="15">
      <c r="B3603" s="84"/>
      <c r="D3603" s="84"/>
      <c r="E3603" s="84"/>
      <c r="F3603" s="84"/>
      <c r="G3603" s="84"/>
      <c r="R3603" s="251"/>
      <c r="S3603" s="251"/>
    </row>
    <row r="3604" spans="2:19" ht="15">
      <c r="B3604" s="84"/>
      <c r="D3604" s="84"/>
      <c r="E3604" s="84"/>
      <c r="F3604" s="84"/>
      <c r="G3604" s="84"/>
      <c r="R3604" s="251"/>
      <c r="S3604" s="251"/>
    </row>
    <row r="3605" spans="2:19" ht="15">
      <c r="B3605" s="84"/>
      <c r="D3605" s="84"/>
      <c r="E3605" s="84"/>
      <c r="F3605" s="84"/>
      <c r="G3605" s="84"/>
      <c r="R3605" s="251"/>
      <c r="S3605" s="251"/>
    </row>
    <row r="3606" spans="2:19" ht="15">
      <c r="B3606" s="84"/>
      <c r="D3606" s="84"/>
      <c r="E3606" s="84"/>
      <c r="F3606" s="84"/>
      <c r="G3606" s="84"/>
      <c r="R3606" s="251"/>
      <c r="S3606" s="251"/>
    </row>
    <row r="3607" spans="2:19" ht="15">
      <c r="B3607" s="84"/>
      <c r="D3607" s="84"/>
      <c r="E3607" s="84"/>
      <c r="F3607" s="84"/>
      <c r="G3607" s="84"/>
      <c r="R3607" s="251"/>
      <c r="S3607" s="251"/>
    </row>
    <row r="3608" spans="2:19" ht="15">
      <c r="B3608" s="84"/>
      <c r="D3608" s="84"/>
      <c r="E3608" s="84"/>
      <c r="F3608" s="84"/>
      <c r="G3608" s="84"/>
      <c r="R3608" s="251"/>
      <c r="S3608" s="251"/>
    </row>
    <row r="3609" spans="2:19" ht="15">
      <c r="B3609" s="84"/>
      <c r="D3609" s="84"/>
      <c r="E3609" s="84"/>
      <c r="F3609" s="84"/>
      <c r="G3609" s="84"/>
      <c r="R3609" s="251"/>
      <c r="S3609" s="251"/>
    </row>
    <row r="3610" spans="2:19" ht="15">
      <c r="B3610" s="84"/>
      <c r="D3610" s="84"/>
      <c r="E3610" s="84"/>
      <c r="F3610" s="84"/>
      <c r="G3610" s="84"/>
      <c r="R3610" s="251"/>
      <c r="S3610" s="251"/>
    </row>
    <row r="3611" spans="2:19" ht="15">
      <c r="B3611" s="84"/>
      <c r="D3611" s="84"/>
      <c r="E3611" s="84"/>
      <c r="F3611" s="84"/>
      <c r="G3611" s="84"/>
      <c r="R3611" s="251"/>
      <c r="S3611" s="251"/>
    </row>
    <row r="3612" spans="2:19" ht="15">
      <c r="B3612" s="84"/>
      <c r="D3612" s="84"/>
      <c r="E3612" s="84"/>
      <c r="F3612" s="84"/>
      <c r="G3612" s="84"/>
      <c r="R3612" s="251"/>
      <c r="S3612" s="251"/>
    </row>
    <row r="3613" spans="2:19" ht="15">
      <c r="B3613" s="84"/>
      <c r="D3613" s="84"/>
      <c r="E3613" s="84"/>
      <c r="F3613" s="84"/>
      <c r="G3613" s="84"/>
      <c r="R3613" s="251"/>
      <c r="S3613" s="251"/>
    </row>
    <row r="3614" spans="2:19" ht="15">
      <c r="B3614" s="84"/>
      <c r="D3614" s="84"/>
      <c r="E3614" s="84"/>
      <c r="F3614" s="84"/>
      <c r="G3614" s="84"/>
      <c r="R3614" s="251"/>
      <c r="S3614" s="251"/>
    </row>
    <row r="3615" spans="2:19" ht="15">
      <c r="B3615" s="84"/>
      <c r="D3615" s="84"/>
      <c r="E3615" s="84"/>
      <c r="F3615" s="84"/>
      <c r="G3615" s="84"/>
      <c r="R3615" s="251"/>
      <c r="S3615" s="251"/>
    </row>
    <row r="3616" spans="2:19" ht="15">
      <c r="B3616" s="84"/>
      <c r="D3616" s="84"/>
      <c r="E3616" s="84"/>
      <c r="F3616" s="84"/>
      <c r="G3616" s="84"/>
      <c r="R3616" s="251"/>
      <c r="S3616" s="251"/>
    </row>
    <row r="3617" spans="2:19" ht="15">
      <c r="B3617" s="84"/>
      <c r="D3617" s="84"/>
      <c r="E3617" s="84"/>
      <c r="F3617" s="84"/>
      <c r="G3617" s="84"/>
      <c r="R3617" s="251"/>
      <c r="S3617" s="251"/>
    </row>
    <row r="3618" spans="2:19" ht="15">
      <c r="B3618" s="84"/>
      <c r="D3618" s="84"/>
      <c r="E3618" s="84"/>
      <c r="F3618" s="84"/>
      <c r="G3618" s="84"/>
      <c r="R3618" s="251"/>
      <c r="S3618" s="251"/>
    </row>
    <row r="3619" spans="2:19" ht="15">
      <c r="B3619" s="84"/>
      <c r="D3619" s="84"/>
      <c r="E3619" s="84"/>
      <c r="F3619" s="84"/>
      <c r="G3619" s="84"/>
      <c r="R3619" s="251"/>
      <c r="S3619" s="251"/>
    </row>
    <row r="3620" spans="2:19" ht="15">
      <c r="B3620" s="84"/>
      <c r="D3620" s="84"/>
      <c r="E3620" s="84"/>
      <c r="F3620" s="84"/>
      <c r="G3620" s="84"/>
      <c r="R3620" s="251"/>
      <c r="S3620" s="251"/>
    </row>
    <row r="3621" spans="2:19" ht="15">
      <c r="B3621" s="84"/>
      <c r="D3621" s="84"/>
      <c r="E3621" s="84"/>
      <c r="F3621" s="84"/>
      <c r="G3621" s="84"/>
      <c r="R3621" s="251"/>
      <c r="S3621" s="251"/>
    </row>
    <row r="3622" spans="2:19" ht="15">
      <c r="B3622" s="84"/>
      <c r="D3622" s="84"/>
      <c r="E3622" s="84"/>
      <c r="F3622" s="84"/>
      <c r="G3622" s="84"/>
      <c r="R3622" s="251"/>
      <c r="S3622" s="251"/>
    </row>
    <row r="3623" spans="2:19" ht="15">
      <c r="B3623" s="84"/>
      <c r="D3623" s="84"/>
      <c r="E3623" s="84"/>
      <c r="F3623" s="84"/>
      <c r="G3623" s="84"/>
      <c r="R3623" s="251"/>
      <c r="S3623" s="251"/>
    </row>
    <row r="3624" spans="2:19" ht="15">
      <c r="B3624" s="84"/>
      <c r="D3624" s="84"/>
      <c r="E3624" s="84"/>
      <c r="F3624" s="84"/>
      <c r="G3624" s="84"/>
      <c r="R3624" s="251"/>
      <c r="S3624" s="251"/>
    </row>
    <row r="3625" spans="2:19" ht="15">
      <c r="B3625" s="84"/>
      <c r="D3625" s="84"/>
      <c r="E3625" s="84"/>
      <c r="F3625" s="84"/>
      <c r="G3625" s="84"/>
      <c r="R3625" s="251"/>
      <c r="S3625" s="251"/>
    </row>
    <row r="3626" spans="2:19" ht="15">
      <c r="B3626" s="84"/>
      <c r="D3626" s="84"/>
      <c r="E3626" s="84"/>
      <c r="F3626" s="84"/>
      <c r="G3626" s="84"/>
      <c r="R3626" s="251"/>
      <c r="S3626" s="251"/>
    </row>
    <row r="3627" spans="2:19" ht="15">
      <c r="B3627" s="84"/>
      <c r="D3627" s="84"/>
      <c r="E3627" s="84"/>
      <c r="F3627" s="84"/>
      <c r="G3627" s="84"/>
      <c r="R3627" s="251"/>
      <c r="S3627" s="251"/>
    </row>
    <row r="3628" spans="2:19" ht="15">
      <c r="B3628" s="84"/>
      <c r="D3628" s="84"/>
      <c r="E3628" s="84"/>
      <c r="F3628" s="84"/>
      <c r="G3628" s="84"/>
      <c r="R3628" s="251"/>
      <c r="S3628" s="251"/>
    </row>
    <row r="3629" spans="2:19" ht="15">
      <c r="B3629" s="84"/>
      <c r="D3629" s="84"/>
      <c r="E3629" s="84"/>
      <c r="F3629" s="84"/>
      <c r="G3629" s="84"/>
      <c r="R3629" s="251"/>
      <c r="S3629" s="251"/>
    </row>
    <row r="3630" spans="2:19" ht="15">
      <c r="B3630" s="84"/>
      <c r="D3630" s="84"/>
      <c r="E3630" s="84"/>
      <c r="F3630" s="84"/>
      <c r="G3630" s="84"/>
      <c r="R3630" s="251"/>
      <c r="S3630" s="251"/>
    </row>
    <row r="3631" spans="2:19" ht="15">
      <c r="B3631" s="84"/>
      <c r="D3631" s="84"/>
      <c r="E3631" s="84"/>
      <c r="F3631" s="84"/>
      <c r="G3631" s="84"/>
      <c r="R3631" s="251"/>
      <c r="S3631" s="251"/>
    </row>
    <row r="3632" spans="2:19" ht="15">
      <c r="B3632" s="84"/>
      <c r="D3632" s="84"/>
      <c r="E3632" s="84"/>
      <c r="F3632" s="84"/>
      <c r="G3632" s="84"/>
      <c r="R3632" s="251"/>
      <c r="S3632" s="251"/>
    </row>
    <row r="3633" spans="2:19" ht="15">
      <c r="B3633" s="84"/>
      <c r="D3633" s="84"/>
      <c r="E3633" s="84"/>
      <c r="F3633" s="84"/>
      <c r="G3633" s="84"/>
      <c r="R3633" s="251"/>
      <c r="S3633" s="251"/>
    </row>
    <row r="3634" spans="2:19" ht="15">
      <c r="B3634" s="84"/>
      <c r="D3634" s="84"/>
      <c r="E3634" s="84"/>
      <c r="F3634" s="84"/>
      <c r="G3634" s="84"/>
      <c r="R3634" s="251"/>
      <c r="S3634" s="251"/>
    </row>
    <row r="3635" spans="2:19" ht="15">
      <c r="B3635" s="84"/>
      <c r="D3635" s="84"/>
      <c r="E3635" s="84"/>
      <c r="F3635" s="84"/>
      <c r="G3635" s="84"/>
      <c r="R3635" s="251"/>
      <c r="S3635" s="251"/>
    </row>
    <row r="3636" spans="2:19" ht="15">
      <c r="B3636" s="84"/>
      <c r="D3636" s="84"/>
      <c r="E3636" s="84"/>
      <c r="F3636" s="84"/>
      <c r="G3636" s="84"/>
      <c r="R3636" s="251"/>
      <c r="S3636" s="251"/>
    </row>
    <row r="3637" spans="2:19" ht="15">
      <c r="B3637" s="84"/>
      <c r="D3637" s="84"/>
      <c r="E3637" s="84"/>
      <c r="F3637" s="84"/>
      <c r="G3637" s="84"/>
      <c r="R3637" s="251"/>
      <c r="S3637" s="251"/>
    </row>
    <row r="3638" spans="2:19" ht="15">
      <c r="B3638" s="84"/>
      <c r="D3638" s="84"/>
      <c r="E3638" s="84"/>
      <c r="F3638" s="84"/>
      <c r="G3638" s="84"/>
      <c r="R3638" s="251"/>
      <c r="S3638" s="251"/>
    </row>
    <row r="3639" spans="2:19" ht="15">
      <c r="B3639" s="84"/>
      <c r="D3639" s="84"/>
      <c r="E3639" s="84"/>
      <c r="F3639" s="84"/>
      <c r="G3639" s="84"/>
      <c r="R3639" s="251"/>
      <c r="S3639" s="251"/>
    </row>
    <row r="3640" spans="2:19" ht="15">
      <c r="B3640" s="84"/>
      <c r="D3640" s="84"/>
      <c r="E3640" s="84"/>
      <c r="F3640" s="84"/>
      <c r="G3640" s="84"/>
      <c r="R3640" s="251"/>
      <c r="S3640" s="251"/>
    </row>
    <row r="3641" spans="2:19" ht="15">
      <c r="B3641" s="84"/>
      <c r="D3641" s="84"/>
      <c r="E3641" s="84"/>
      <c r="F3641" s="84"/>
      <c r="G3641" s="84"/>
      <c r="R3641" s="251"/>
      <c r="S3641" s="251"/>
    </row>
    <row r="3642" spans="2:19" ht="15">
      <c r="B3642" s="84"/>
      <c r="D3642" s="84"/>
      <c r="E3642" s="84"/>
      <c r="F3642" s="84"/>
      <c r="G3642" s="84"/>
      <c r="R3642" s="251"/>
      <c r="S3642" s="251"/>
    </row>
    <row r="3643" spans="2:19" ht="15">
      <c r="B3643" s="84"/>
      <c r="D3643" s="84"/>
      <c r="E3643" s="84"/>
      <c r="F3643" s="84"/>
      <c r="G3643" s="84"/>
      <c r="R3643" s="251"/>
      <c r="S3643" s="251"/>
    </row>
    <row r="3644" spans="2:19" ht="15">
      <c r="B3644" s="84"/>
      <c r="D3644" s="84"/>
      <c r="E3644" s="84"/>
      <c r="F3644" s="84"/>
      <c r="G3644" s="84"/>
      <c r="R3644" s="251"/>
      <c r="S3644" s="251"/>
    </row>
    <row r="3645" spans="2:19" ht="15">
      <c r="B3645" s="84"/>
      <c r="D3645" s="84"/>
      <c r="E3645" s="84"/>
      <c r="F3645" s="84"/>
      <c r="G3645" s="84"/>
      <c r="R3645" s="251"/>
      <c r="S3645" s="251"/>
    </row>
    <row r="3646" spans="2:19" ht="15">
      <c r="B3646" s="84"/>
      <c r="D3646" s="84"/>
      <c r="E3646" s="84"/>
      <c r="F3646" s="84"/>
      <c r="G3646" s="84"/>
      <c r="R3646" s="251"/>
      <c r="S3646" s="251"/>
    </row>
    <row r="3647" spans="2:19" ht="15">
      <c r="B3647" s="84"/>
      <c r="D3647" s="84"/>
      <c r="E3647" s="84"/>
      <c r="F3647" s="84"/>
      <c r="G3647" s="84"/>
      <c r="R3647" s="251"/>
      <c r="S3647" s="251"/>
    </row>
    <row r="3648" spans="2:19" ht="15">
      <c r="B3648" s="84"/>
      <c r="D3648" s="84"/>
      <c r="E3648" s="84"/>
      <c r="F3648" s="84"/>
      <c r="G3648" s="84"/>
      <c r="R3648" s="251"/>
      <c r="S3648" s="251"/>
    </row>
    <row r="3649" spans="2:19" ht="15">
      <c r="B3649" s="84"/>
      <c r="D3649" s="84"/>
      <c r="E3649" s="84"/>
      <c r="F3649" s="84"/>
      <c r="G3649" s="84"/>
      <c r="R3649" s="251"/>
      <c r="S3649" s="251"/>
    </row>
    <row r="3650" spans="2:19" ht="15">
      <c r="B3650" s="84"/>
      <c r="D3650" s="84"/>
      <c r="E3650" s="84"/>
      <c r="F3650" s="84"/>
      <c r="G3650" s="84"/>
      <c r="R3650" s="251"/>
      <c r="S3650" s="251"/>
    </row>
    <row r="3651" spans="2:19" ht="15">
      <c r="B3651" s="84"/>
      <c r="D3651" s="84"/>
      <c r="E3651" s="84"/>
      <c r="F3651" s="84"/>
      <c r="G3651" s="84"/>
      <c r="R3651" s="251"/>
      <c r="S3651" s="251"/>
    </row>
    <row r="3652" spans="2:19" ht="15">
      <c r="B3652" s="84"/>
      <c r="D3652" s="84"/>
      <c r="E3652" s="84"/>
      <c r="F3652" s="84"/>
      <c r="G3652" s="84"/>
      <c r="R3652" s="251"/>
      <c r="S3652" s="251"/>
    </row>
    <row r="3653" spans="2:19" ht="15">
      <c r="B3653" s="84"/>
      <c r="D3653" s="84"/>
      <c r="E3653" s="84"/>
      <c r="F3653" s="84"/>
      <c r="G3653" s="84"/>
      <c r="R3653" s="251"/>
      <c r="S3653" s="251"/>
    </row>
    <row r="3654" spans="2:19" ht="15">
      <c r="B3654" s="84"/>
      <c r="D3654" s="84"/>
      <c r="E3654" s="84"/>
      <c r="F3654" s="84"/>
      <c r="G3654" s="84"/>
      <c r="R3654" s="251"/>
      <c r="S3654" s="251"/>
    </row>
    <row r="3655" spans="2:19" ht="15">
      <c r="B3655" s="84"/>
      <c r="D3655" s="84"/>
      <c r="E3655" s="84"/>
      <c r="F3655" s="84"/>
      <c r="G3655" s="84"/>
      <c r="R3655" s="251"/>
      <c r="S3655" s="251"/>
    </row>
    <row r="3656" spans="2:19" ht="15">
      <c r="B3656" s="84"/>
      <c r="D3656" s="84"/>
      <c r="E3656" s="84"/>
      <c r="F3656" s="84"/>
      <c r="G3656" s="84"/>
      <c r="R3656" s="251"/>
      <c r="S3656" s="251"/>
    </row>
    <row r="3657" spans="2:19" ht="15">
      <c r="B3657" s="84"/>
      <c r="D3657" s="84"/>
      <c r="E3657" s="84"/>
      <c r="F3657" s="84"/>
      <c r="G3657" s="84"/>
      <c r="R3657" s="251"/>
      <c r="S3657" s="251"/>
    </row>
    <row r="3658" spans="2:19" ht="15">
      <c r="B3658" s="84"/>
      <c r="D3658" s="84"/>
      <c r="E3658" s="84"/>
      <c r="F3658" s="84"/>
      <c r="G3658" s="84"/>
      <c r="R3658" s="251"/>
      <c r="S3658" s="251"/>
    </row>
    <row r="3659" spans="2:19" ht="15">
      <c r="B3659" s="84"/>
      <c r="D3659" s="84"/>
      <c r="E3659" s="84"/>
      <c r="F3659" s="84"/>
      <c r="G3659" s="84"/>
      <c r="R3659" s="251"/>
      <c r="S3659" s="251"/>
    </row>
    <row r="3660" spans="2:19" ht="15">
      <c r="B3660" s="84"/>
      <c r="D3660" s="84"/>
      <c r="E3660" s="84"/>
      <c r="F3660" s="84"/>
      <c r="G3660" s="84"/>
      <c r="R3660" s="251"/>
      <c r="S3660" s="251"/>
    </row>
    <row r="3661" spans="2:19" ht="15">
      <c r="B3661" s="84"/>
      <c r="D3661" s="84"/>
      <c r="E3661" s="84"/>
      <c r="F3661" s="84"/>
      <c r="G3661" s="84"/>
      <c r="R3661" s="251"/>
      <c r="S3661" s="251"/>
    </row>
    <row r="3662" spans="2:19" ht="15">
      <c r="B3662" s="84"/>
      <c r="D3662" s="84"/>
      <c r="E3662" s="84"/>
      <c r="F3662" s="84"/>
      <c r="G3662" s="84"/>
      <c r="R3662" s="251"/>
      <c r="S3662" s="251"/>
    </row>
    <row r="3663" spans="2:19" ht="15">
      <c r="B3663" s="84"/>
      <c r="D3663" s="84"/>
      <c r="E3663" s="84"/>
      <c r="F3663" s="84"/>
      <c r="G3663" s="84"/>
      <c r="R3663" s="251"/>
      <c r="S3663" s="251"/>
    </row>
    <row r="3664" spans="2:19" ht="15">
      <c r="B3664" s="84"/>
      <c r="D3664" s="84"/>
      <c r="E3664" s="84"/>
      <c r="F3664" s="84"/>
      <c r="G3664" s="84"/>
      <c r="R3664" s="251"/>
      <c r="S3664" s="251"/>
    </row>
    <row r="3665" spans="2:19" ht="15">
      <c r="B3665" s="84"/>
      <c r="D3665" s="84"/>
      <c r="E3665" s="84"/>
      <c r="F3665" s="84"/>
      <c r="G3665" s="84"/>
      <c r="R3665" s="251"/>
      <c r="S3665" s="251"/>
    </row>
    <row r="3666" spans="2:19" ht="15">
      <c r="B3666" s="84"/>
      <c r="D3666" s="84"/>
      <c r="E3666" s="84"/>
      <c r="F3666" s="84"/>
      <c r="G3666" s="84"/>
      <c r="R3666" s="251"/>
      <c r="S3666" s="251"/>
    </row>
    <row r="3667" spans="2:19" ht="15">
      <c r="B3667" s="84"/>
      <c r="D3667" s="84"/>
      <c r="E3667" s="84"/>
      <c r="F3667" s="84"/>
      <c r="G3667" s="84"/>
      <c r="R3667" s="251"/>
      <c r="S3667" s="251"/>
    </row>
    <row r="3668" spans="2:19" ht="15">
      <c r="B3668" s="84"/>
      <c r="D3668" s="84"/>
      <c r="E3668" s="84"/>
      <c r="F3668" s="84"/>
      <c r="G3668" s="84"/>
      <c r="R3668" s="251"/>
      <c r="S3668" s="251"/>
    </row>
    <row r="3669" spans="2:19" ht="15">
      <c r="B3669" s="84"/>
      <c r="D3669" s="84"/>
      <c r="E3669" s="84"/>
      <c r="F3669" s="84"/>
      <c r="G3669" s="84"/>
      <c r="R3669" s="251"/>
      <c r="S3669" s="251"/>
    </row>
    <row r="3670" spans="2:19" ht="15">
      <c r="B3670" s="84"/>
      <c r="D3670" s="84"/>
      <c r="E3670" s="84"/>
      <c r="F3670" s="84"/>
      <c r="G3670" s="84"/>
      <c r="R3670" s="251"/>
      <c r="S3670" s="251"/>
    </row>
    <row r="3671" spans="2:19" ht="15">
      <c r="B3671" s="84"/>
      <c r="D3671" s="84"/>
      <c r="E3671" s="84"/>
      <c r="F3671" s="84"/>
      <c r="G3671" s="84"/>
      <c r="R3671" s="251"/>
      <c r="S3671" s="251"/>
    </row>
    <row r="3672" spans="2:19" ht="15">
      <c r="B3672" s="84"/>
      <c r="D3672" s="84"/>
      <c r="E3672" s="84"/>
      <c r="F3672" s="84"/>
      <c r="G3672" s="84"/>
      <c r="R3672" s="251"/>
      <c r="S3672" s="251"/>
    </row>
    <row r="3673" spans="2:19" ht="15">
      <c r="B3673" s="84"/>
      <c r="D3673" s="84"/>
      <c r="E3673" s="84"/>
      <c r="F3673" s="84"/>
      <c r="G3673" s="84"/>
      <c r="R3673" s="251"/>
      <c r="S3673" s="251"/>
    </row>
    <row r="3674" spans="2:19" ht="15">
      <c r="B3674" s="84"/>
      <c r="D3674" s="84"/>
      <c r="E3674" s="84"/>
      <c r="F3674" s="84"/>
      <c r="G3674" s="84"/>
      <c r="R3674" s="251"/>
      <c r="S3674" s="251"/>
    </row>
    <row r="3675" spans="2:19" ht="15">
      <c r="B3675" s="84"/>
      <c r="D3675" s="84"/>
      <c r="E3675" s="84"/>
      <c r="F3675" s="84"/>
      <c r="G3675" s="84"/>
      <c r="R3675" s="251"/>
      <c r="S3675" s="251"/>
    </row>
    <row r="3676" spans="2:19" ht="15">
      <c r="B3676" s="84"/>
      <c r="D3676" s="84"/>
      <c r="E3676" s="84"/>
      <c r="F3676" s="84"/>
      <c r="G3676" s="84"/>
      <c r="R3676" s="251"/>
      <c r="S3676" s="251"/>
    </row>
    <row r="3677" spans="2:19" ht="15">
      <c r="B3677" s="84"/>
      <c r="D3677" s="84"/>
      <c r="E3677" s="84"/>
      <c r="F3677" s="84"/>
      <c r="G3677" s="84"/>
      <c r="R3677" s="251"/>
      <c r="S3677" s="251"/>
    </row>
    <row r="3678" spans="2:19" ht="15">
      <c r="B3678" s="84"/>
      <c r="D3678" s="84"/>
      <c r="E3678" s="84"/>
      <c r="F3678" s="84"/>
      <c r="G3678" s="84"/>
      <c r="R3678" s="251"/>
      <c r="S3678" s="251"/>
    </row>
    <row r="3679" spans="2:19" ht="15">
      <c r="B3679" s="84"/>
      <c r="D3679" s="84"/>
      <c r="E3679" s="84"/>
      <c r="F3679" s="84"/>
      <c r="G3679" s="84"/>
      <c r="R3679" s="251"/>
      <c r="S3679" s="251"/>
    </row>
    <row r="3680" spans="2:19" ht="15">
      <c r="B3680" s="84"/>
      <c r="D3680" s="84"/>
      <c r="E3680" s="84"/>
      <c r="F3680" s="84"/>
      <c r="G3680" s="84"/>
      <c r="R3680" s="251"/>
      <c r="S3680" s="251"/>
    </row>
    <row r="3681" spans="2:19" ht="15">
      <c r="B3681" s="84"/>
      <c r="D3681" s="84"/>
      <c r="E3681" s="84"/>
      <c r="F3681" s="84"/>
      <c r="G3681" s="84"/>
      <c r="R3681" s="251"/>
      <c r="S3681" s="251"/>
    </row>
    <row r="3682" spans="2:19" ht="15">
      <c r="B3682" s="84"/>
      <c r="D3682" s="84"/>
      <c r="E3682" s="84"/>
      <c r="F3682" s="84"/>
      <c r="G3682" s="84"/>
      <c r="R3682" s="251"/>
      <c r="S3682" s="251"/>
    </row>
    <row r="3683" spans="2:19" ht="15">
      <c r="B3683" s="84"/>
      <c r="D3683" s="84"/>
      <c r="E3683" s="84"/>
      <c r="F3683" s="84"/>
      <c r="G3683" s="84"/>
      <c r="R3683" s="251"/>
      <c r="S3683" s="251"/>
    </row>
    <row r="3684" spans="2:19" ht="15">
      <c r="B3684" s="84"/>
      <c r="D3684" s="84"/>
      <c r="E3684" s="84"/>
      <c r="F3684" s="84"/>
      <c r="G3684" s="84"/>
      <c r="R3684" s="251"/>
      <c r="S3684" s="251"/>
    </row>
    <row r="3685" spans="2:19" ht="15">
      <c r="B3685" s="84"/>
      <c r="D3685" s="84"/>
      <c r="E3685" s="84"/>
      <c r="F3685" s="84"/>
      <c r="G3685" s="84"/>
      <c r="R3685" s="251"/>
      <c r="S3685" s="251"/>
    </row>
    <row r="3686" spans="2:19" ht="15">
      <c r="B3686" s="84"/>
      <c r="D3686" s="84"/>
      <c r="E3686" s="84"/>
      <c r="F3686" s="84"/>
      <c r="G3686" s="84"/>
      <c r="R3686" s="251"/>
      <c r="S3686" s="251"/>
    </row>
    <row r="3687" spans="2:19" ht="15">
      <c r="B3687" s="84"/>
      <c r="D3687" s="84"/>
      <c r="E3687" s="84"/>
      <c r="F3687" s="84"/>
      <c r="G3687" s="84"/>
      <c r="R3687" s="251"/>
      <c r="S3687" s="251"/>
    </row>
    <row r="3688" spans="2:19" ht="15">
      <c r="B3688" s="84"/>
      <c r="D3688" s="84"/>
      <c r="E3688" s="84"/>
      <c r="F3688" s="84"/>
      <c r="G3688" s="84"/>
      <c r="R3688" s="251"/>
      <c r="S3688" s="251"/>
    </row>
    <row r="3689" spans="2:19" ht="15">
      <c r="B3689" s="84"/>
      <c r="D3689" s="84"/>
      <c r="E3689" s="84"/>
      <c r="F3689" s="84"/>
      <c r="G3689" s="84"/>
      <c r="R3689" s="251"/>
      <c r="S3689" s="251"/>
    </row>
    <row r="3690" spans="2:19" ht="15">
      <c r="B3690" s="84"/>
      <c r="D3690" s="84"/>
      <c r="E3690" s="84"/>
      <c r="F3690" s="84"/>
      <c r="G3690" s="84"/>
      <c r="R3690" s="251"/>
      <c r="S3690" s="251"/>
    </row>
    <row r="3691" spans="2:19" ht="15">
      <c r="B3691" s="84"/>
      <c r="D3691" s="84"/>
      <c r="E3691" s="84"/>
      <c r="F3691" s="84"/>
      <c r="G3691" s="84"/>
      <c r="R3691" s="251"/>
      <c r="S3691" s="251"/>
    </row>
    <row r="3692" spans="2:19" ht="15">
      <c r="B3692" s="84"/>
      <c r="D3692" s="84"/>
      <c r="E3692" s="84"/>
      <c r="F3692" s="84"/>
      <c r="G3692" s="84"/>
      <c r="R3692" s="251"/>
      <c r="S3692" s="251"/>
    </row>
    <row r="3693" spans="2:19" ht="15">
      <c r="B3693" s="84"/>
      <c r="D3693" s="84"/>
      <c r="E3693" s="84"/>
      <c r="F3693" s="84"/>
      <c r="G3693" s="84"/>
      <c r="R3693" s="251"/>
      <c r="S3693" s="251"/>
    </row>
    <row r="3694" spans="2:19" ht="15">
      <c r="B3694" s="84"/>
      <c r="D3694" s="84"/>
      <c r="E3694" s="84"/>
      <c r="F3694" s="84"/>
      <c r="G3694" s="84"/>
      <c r="R3694" s="251"/>
      <c r="S3694" s="251"/>
    </row>
    <row r="3695" spans="2:19" ht="15">
      <c r="B3695" s="84"/>
      <c r="D3695" s="84"/>
      <c r="E3695" s="84"/>
      <c r="F3695" s="84"/>
      <c r="G3695" s="84"/>
      <c r="R3695" s="251"/>
      <c r="S3695" s="251"/>
    </row>
    <row r="3696" spans="2:19" ht="15">
      <c r="B3696" s="84"/>
      <c r="D3696" s="84"/>
      <c r="E3696" s="84"/>
      <c r="F3696" s="84"/>
      <c r="G3696" s="84"/>
      <c r="R3696" s="251"/>
      <c r="S3696" s="251"/>
    </row>
    <row r="3697" spans="2:19" ht="15">
      <c r="B3697" s="84"/>
      <c r="D3697" s="84"/>
      <c r="E3697" s="84"/>
      <c r="F3697" s="84"/>
      <c r="G3697" s="84"/>
      <c r="R3697" s="251"/>
      <c r="S3697" s="251"/>
    </row>
    <row r="3698" spans="2:19" ht="15">
      <c r="B3698" s="84"/>
      <c r="D3698" s="84"/>
      <c r="E3698" s="84"/>
      <c r="F3698" s="84"/>
      <c r="G3698" s="84"/>
      <c r="R3698" s="251"/>
      <c r="S3698" s="251"/>
    </row>
    <row r="3699" spans="2:19" ht="15">
      <c r="B3699" s="84"/>
      <c r="D3699" s="84"/>
      <c r="E3699" s="84"/>
      <c r="F3699" s="84"/>
      <c r="G3699" s="84"/>
      <c r="R3699" s="251"/>
      <c r="S3699" s="251"/>
    </row>
    <row r="3700" spans="2:19" ht="15">
      <c r="B3700" s="84"/>
      <c r="D3700" s="84"/>
      <c r="E3700" s="84"/>
      <c r="F3700" s="84"/>
      <c r="G3700" s="84"/>
      <c r="R3700" s="251"/>
      <c r="S3700" s="251"/>
    </row>
    <row r="3701" spans="2:19" ht="15">
      <c r="B3701" s="84"/>
      <c r="D3701" s="84"/>
      <c r="E3701" s="84"/>
      <c r="F3701" s="84"/>
      <c r="G3701" s="84"/>
      <c r="R3701" s="251"/>
      <c r="S3701" s="251"/>
    </row>
    <row r="3702" spans="2:19" ht="15">
      <c r="B3702" s="84"/>
      <c r="D3702" s="84"/>
      <c r="E3702" s="84"/>
      <c r="F3702" s="84"/>
      <c r="G3702" s="84"/>
      <c r="R3702" s="251"/>
      <c r="S3702" s="251"/>
    </row>
    <row r="3703" spans="2:19" ht="15">
      <c r="B3703" s="84"/>
      <c r="D3703" s="84"/>
      <c r="E3703" s="84"/>
      <c r="F3703" s="84"/>
      <c r="G3703" s="84"/>
      <c r="R3703" s="251"/>
      <c r="S3703" s="251"/>
    </row>
    <row r="3704" spans="2:19" ht="15">
      <c r="B3704" s="84"/>
      <c r="D3704" s="84"/>
      <c r="E3704" s="84"/>
      <c r="F3704" s="84"/>
      <c r="G3704" s="84"/>
      <c r="R3704" s="251"/>
      <c r="S3704" s="251"/>
    </row>
    <row r="3705" spans="2:19" ht="15">
      <c r="B3705" s="84"/>
      <c r="D3705" s="84"/>
      <c r="E3705" s="84"/>
      <c r="F3705" s="84"/>
      <c r="G3705" s="84"/>
      <c r="R3705" s="251"/>
      <c r="S3705" s="251"/>
    </row>
    <row r="3706" spans="2:19" ht="15">
      <c r="B3706" s="84"/>
      <c r="D3706" s="84"/>
      <c r="E3706" s="84"/>
      <c r="F3706" s="84"/>
      <c r="G3706" s="84"/>
      <c r="R3706" s="251"/>
      <c r="S3706" s="251"/>
    </row>
    <row r="3707" spans="2:19" ht="15">
      <c r="B3707" s="84"/>
      <c r="D3707" s="84"/>
      <c r="E3707" s="84"/>
      <c r="F3707" s="84"/>
      <c r="G3707" s="84"/>
      <c r="R3707" s="251"/>
      <c r="S3707" s="251"/>
    </row>
    <row r="3708" spans="2:19" ht="15">
      <c r="B3708" s="84"/>
      <c r="D3708" s="84"/>
      <c r="E3708" s="84"/>
      <c r="F3708" s="84"/>
      <c r="G3708" s="84"/>
      <c r="R3708" s="251"/>
      <c r="S3708" s="251"/>
    </row>
    <row r="3709" spans="2:19" ht="15">
      <c r="B3709" s="84"/>
      <c r="D3709" s="84"/>
      <c r="E3709" s="84"/>
      <c r="F3709" s="84"/>
      <c r="G3709" s="84"/>
      <c r="R3709" s="251"/>
      <c r="S3709" s="251"/>
    </row>
    <row r="3710" spans="2:19" ht="15">
      <c r="B3710" s="84"/>
      <c r="D3710" s="84"/>
      <c r="E3710" s="84"/>
      <c r="F3710" s="84"/>
      <c r="G3710" s="84"/>
      <c r="R3710" s="251"/>
      <c r="S3710" s="251"/>
    </row>
    <row r="3711" spans="2:19" ht="15">
      <c r="B3711" s="84"/>
      <c r="D3711" s="84"/>
      <c r="E3711" s="84"/>
      <c r="F3711" s="84"/>
      <c r="G3711" s="84"/>
      <c r="R3711" s="251"/>
      <c r="S3711" s="251"/>
    </row>
    <row r="3712" spans="2:19" ht="15">
      <c r="B3712" s="84"/>
      <c r="D3712" s="84"/>
      <c r="E3712" s="84"/>
      <c r="F3712" s="84"/>
      <c r="G3712" s="84"/>
      <c r="R3712" s="251"/>
      <c r="S3712" s="251"/>
    </row>
    <row r="3713" spans="2:19" ht="15">
      <c r="B3713" s="84"/>
      <c r="D3713" s="84"/>
      <c r="E3713" s="84"/>
      <c r="F3713" s="84"/>
      <c r="G3713" s="84"/>
      <c r="R3713" s="251"/>
      <c r="S3713" s="251"/>
    </row>
    <row r="3714" spans="2:19" ht="15">
      <c r="B3714" s="84"/>
      <c r="D3714" s="84"/>
      <c r="E3714" s="84"/>
      <c r="F3714" s="84"/>
      <c r="G3714" s="84"/>
      <c r="R3714" s="251"/>
      <c r="S3714" s="251"/>
    </row>
    <row r="3715" spans="2:19" ht="15">
      <c r="B3715" s="84"/>
      <c r="D3715" s="84"/>
      <c r="E3715" s="84"/>
      <c r="F3715" s="84"/>
      <c r="G3715" s="84"/>
      <c r="R3715" s="251"/>
      <c r="S3715" s="251"/>
    </row>
    <row r="3716" spans="2:19" ht="15">
      <c r="B3716" s="84"/>
      <c r="D3716" s="84"/>
      <c r="E3716" s="84"/>
      <c r="F3716" s="84"/>
      <c r="G3716" s="84"/>
      <c r="R3716" s="251"/>
      <c r="S3716" s="251"/>
    </row>
    <row r="3717" spans="2:19" ht="15">
      <c r="B3717" s="84"/>
      <c r="D3717" s="84"/>
      <c r="E3717" s="84"/>
      <c r="F3717" s="84"/>
      <c r="G3717" s="84"/>
      <c r="R3717" s="251"/>
      <c r="S3717" s="251"/>
    </row>
    <row r="3718" spans="2:19" ht="15">
      <c r="B3718" s="84"/>
      <c r="D3718" s="84"/>
      <c r="E3718" s="84"/>
      <c r="F3718" s="84"/>
      <c r="G3718" s="84"/>
      <c r="R3718" s="251"/>
      <c r="S3718" s="251"/>
    </row>
    <row r="3719" spans="2:19" ht="15">
      <c r="B3719" s="84"/>
      <c r="D3719" s="84"/>
      <c r="E3719" s="84"/>
      <c r="F3719" s="84"/>
      <c r="G3719" s="84"/>
      <c r="R3719" s="251"/>
      <c r="S3719" s="251"/>
    </row>
    <row r="3720" spans="2:19" ht="15">
      <c r="B3720" s="84"/>
      <c r="D3720" s="84"/>
      <c r="E3720" s="84"/>
      <c r="F3720" s="84"/>
      <c r="G3720" s="84"/>
      <c r="R3720" s="251"/>
      <c r="S3720" s="251"/>
    </row>
    <row r="3721" spans="2:19" ht="15">
      <c r="B3721" s="84"/>
      <c r="D3721" s="84"/>
      <c r="E3721" s="84"/>
      <c r="F3721" s="84"/>
      <c r="G3721" s="84"/>
      <c r="R3721" s="251"/>
      <c r="S3721" s="251"/>
    </row>
    <row r="3722" spans="2:19" ht="15">
      <c r="B3722" s="84"/>
      <c r="D3722" s="84"/>
      <c r="E3722" s="84"/>
      <c r="F3722" s="84"/>
      <c r="G3722" s="84"/>
      <c r="R3722" s="251"/>
      <c r="S3722" s="251"/>
    </row>
    <row r="3723" spans="2:19" ht="15">
      <c r="B3723" s="84"/>
      <c r="D3723" s="84"/>
      <c r="E3723" s="84"/>
      <c r="F3723" s="84"/>
      <c r="G3723" s="84"/>
      <c r="R3723" s="251"/>
      <c r="S3723" s="251"/>
    </row>
    <row r="3724" spans="2:19" ht="15">
      <c r="B3724" s="84"/>
      <c r="D3724" s="84"/>
      <c r="E3724" s="84"/>
      <c r="F3724" s="84"/>
      <c r="G3724" s="84"/>
      <c r="R3724" s="251"/>
      <c r="S3724" s="251"/>
    </row>
    <row r="3725" spans="2:19" ht="15">
      <c r="B3725" s="84"/>
      <c r="D3725" s="84"/>
      <c r="E3725" s="84"/>
      <c r="F3725" s="84"/>
      <c r="G3725" s="84"/>
      <c r="R3725" s="251"/>
      <c r="S3725" s="251"/>
    </row>
    <row r="3726" spans="2:19" ht="15">
      <c r="B3726" s="84"/>
      <c r="D3726" s="84"/>
      <c r="E3726" s="84"/>
      <c r="F3726" s="84"/>
      <c r="G3726" s="84"/>
      <c r="R3726" s="251"/>
      <c r="S3726" s="251"/>
    </row>
    <row r="3727" spans="2:19" ht="15">
      <c r="B3727" s="84"/>
      <c r="D3727" s="84"/>
      <c r="E3727" s="84"/>
      <c r="F3727" s="84"/>
      <c r="G3727" s="84"/>
      <c r="R3727" s="251"/>
      <c r="S3727" s="251"/>
    </row>
    <row r="3728" spans="2:19" ht="15">
      <c r="B3728" s="84"/>
      <c r="D3728" s="84"/>
      <c r="E3728" s="84"/>
      <c r="F3728" s="84"/>
      <c r="G3728" s="84"/>
      <c r="R3728" s="251"/>
      <c r="S3728" s="251"/>
    </row>
    <row r="3729" spans="2:19" ht="15">
      <c r="B3729" s="84"/>
      <c r="D3729" s="84"/>
      <c r="E3729" s="84"/>
      <c r="F3729" s="84"/>
      <c r="G3729" s="84"/>
      <c r="R3729" s="251"/>
      <c r="S3729" s="251"/>
    </row>
    <row r="3730" spans="2:19" ht="15">
      <c r="B3730" s="84"/>
      <c r="D3730" s="84"/>
      <c r="E3730" s="84"/>
      <c r="F3730" s="84"/>
      <c r="G3730" s="84"/>
      <c r="R3730" s="251"/>
      <c r="S3730" s="251"/>
    </row>
    <row r="3731" spans="2:19" ht="15">
      <c r="B3731" s="84"/>
      <c r="D3731" s="84"/>
      <c r="E3731" s="84"/>
      <c r="F3731" s="84"/>
      <c r="G3731" s="84"/>
      <c r="R3731" s="251"/>
      <c r="S3731" s="251"/>
    </row>
    <row r="3732" spans="2:19" ht="15">
      <c r="B3732" s="84"/>
      <c r="D3732" s="84"/>
      <c r="E3732" s="84"/>
      <c r="F3732" s="84"/>
      <c r="G3732" s="84"/>
      <c r="R3732" s="251"/>
      <c r="S3732" s="251"/>
    </row>
    <row r="3733" spans="2:19" ht="15">
      <c r="B3733" s="84"/>
      <c r="D3733" s="84"/>
      <c r="E3733" s="84"/>
      <c r="F3733" s="84"/>
      <c r="G3733" s="84"/>
      <c r="R3733" s="251"/>
      <c r="S3733" s="251"/>
    </row>
    <row r="3734" spans="2:19" ht="15">
      <c r="B3734" s="84"/>
      <c r="D3734" s="84"/>
      <c r="E3734" s="84"/>
      <c r="F3734" s="84"/>
      <c r="G3734" s="84"/>
      <c r="R3734" s="251"/>
      <c r="S3734" s="251"/>
    </row>
    <row r="3735" spans="2:19" ht="15">
      <c r="B3735" s="84"/>
      <c r="D3735" s="84"/>
      <c r="E3735" s="84"/>
      <c r="F3735" s="84"/>
      <c r="G3735" s="84"/>
      <c r="R3735" s="251"/>
      <c r="S3735" s="251"/>
    </row>
    <row r="3736" spans="2:19" ht="15">
      <c r="B3736" s="84"/>
      <c r="D3736" s="84"/>
      <c r="E3736" s="84"/>
      <c r="F3736" s="84"/>
      <c r="G3736" s="84"/>
      <c r="R3736" s="251"/>
      <c r="S3736" s="251"/>
    </row>
    <row r="3737" spans="2:19" ht="15">
      <c r="B3737" s="84"/>
      <c r="D3737" s="84"/>
      <c r="E3737" s="84"/>
      <c r="F3737" s="84"/>
      <c r="G3737" s="84"/>
      <c r="R3737" s="251"/>
      <c r="S3737" s="251"/>
    </row>
    <row r="3738" spans="2:19" ht="15">
      <c r="B3738" s="84"/>
      <c r="D3738" s="84"/>
      <c r="E3738" s="84"/>
      <c r="F3738" s="84"/>
      <c r="G3738" s="84"/>
      <c r="R3738" s="251"/>
      <c r="S3738" s="251"/>
    </row>
    <row r="3739" spans="2:19" ht="15">
      <c r="B3739" s="84"/>
      <c r="D3739" s="84"/>
      <c r="E3739" s="84"/>
      <c r="F3739" s="84"/>
      <c r="G3739" s="84"/>
      <c r="R3739" s="251"/>
      <c r="S3739" s="251"/>
    </row>
    <row r="3740" spans="2:19" ht="15">
      <c r="B3740" s="84"/>
      <c r="D3740" s="84"/>
      <c r="E3740" s="84"/>
      <c r="F3740" s="84"/>
      <c r="G3740" s="84"/>
      <c r="R3740" s="251"/>
      <c r="S3740" s="251"/>
    </row>
    <row r="3741" spans="2:19" ht="15">
      <c r="B3741" s="84"/>
      <c r="D3741" s="84"/>
      <c r="E3741" s="84"/>
      <c r="F3741" s="84"/>
      <c r="G3741" s="84"/>
      <c r="R3741" s="251"/>
      <c r="S3741" s="251"/>
    </row>
    <row r="3742" spans="2:19" ht="15">
      <c r="B3742" s="84"/>
      <c r="D3742" s="84"/>
      <c r="E3742" s="84"/>
      <c r="F3742" s="84"/>
      <c r="G3742" s="84"/>
      <c r="R3742" s="251"/>
      <c r="S3742" s="251"/>
    </row>
    <row r="3743" spans="2:19" ht="15">
      <c r="B3743" s="84"/>
      <c r="D3743" s="84"/>
      <c r="E3743" s="84"/>
      <c r="F3743" s="84"/>
      <c r="G3743" s="84"/>
      <c r="R3743" s="251"/>
      <c r="S3743" s="251"/>
    </row>
    <row r="3744" spans="2:19" ht="15">
      <c r="B3744" s="84"/>
      <c r="D3744" s="84"/>
      <c r="E3744" s="84"/>
      <c r="F3744" s="84"/>
      <c r="G3744" s="84"/>
      <c r="R3744" s="251"/>
      <c r="S3744" s="251"/>
    </row>
    <row r="3745" spans="2:19" ht="15">
      <c r="B3745" s="84"/>
      <c r="D3745" s="84"/>
      <c r="E3745" s="84"/>
      <c r="F3745" s="84"/>
      <c r="G3745" s="84"/>
      <c r="R3745" s="251"/>
      <c r="S3745" s="251"/>
    </row>
    <row r="3746" spans="2:19" ht="15">
      <c r="B3746" s="84"/>
      <c r="D3746" s="84"/>
      <c r="E3746" s="84"/>
      <c r="F3746" s="84"/>
      <c r="G3746" s="84"/>
      <c r="R3746" s="251"/>
      <c r="S3746" s="251"/>
    </row>
    <row r="3747" spans="2:19" ht="15">
      <c r="B3747" s="84"/>
      <c r="D3747" s="84"/>
      <c r="E3747" s="84"/>
      <c r="F3747" s="84"/>
      <c r="G3747" s="84"/>
      <c r="R3747" s="251"/>
      <c r="S3747" s="251"/>
    </row>
    <row r="3748" spans="2:19" ht="15">
      <c r="B3748" s="84"/>
      <c r="D3748" s="84"/>
      <c r="E3748" s="84"/>
      <c r="F3748" s="84"/>
      <c r="G3748" s="84"/>
      <c r="R3748" s="251"/>
      <c r="S3748" s="251"/>
    </row>
    <row r="3749" spans="2:19" ht="15">
      <c r="B3749" s="84"/>
      <c r="D3749" s="84"/>
      <c r="E3749" s="84"/>
      <c r="F3749" s="84"/>
      <c r="G3749" s="84"/>
      <c r="R3749" s="251"/>
      <c r="S3749" s="251"/>
    </row>
    <row r="3750" spans="2:19" ht="15">
      <c r="B3750" s="84"/>
      <c r="D3750" s="84"/>
      <c r="E3750" s="84"/>
      <c r="F3750" s="84"/>
      <c r="G3750" s="84"/>
      <c r="R3750" s="251"/>
      <c r="S3750" s="251"/>
    </row>
    <row r="3751" spans="2:19" ht="15">
      <c r="B3751" s="84"/>
      <c r="D3751" s="84"/>
      <c r="E3751" s="84"/>
      <c r="F3751" s="84"/>
      <c r="G3751" s="84"/>
      <c r="R3751" s="251"/>
      <c r="S3751" s="251"/>
    </row>
    <row r="3752" spans="2:19" ht="15">
      <c r="B3752" s="84"/>
      <c r="D3752" s="84"/>
      <c r="E3752" s="84"/>
      <c r="F3752" s="84"/>
      <c r="G3752" s="84"/>
      <c r="R3752" s="251"/>
      <c r="S3752" s="251"/>
    </row>
    <row r="3753" spans="2:19" ht="15">
      <c r="B3753" s="84"/>
      <c r="D3753" s="84"/>
      <c r="E3753" s="84"/>
      <c r="F3753" s="84"/>
      <c r="G3753" s="84"/>
      <c r="R3753" s="251"/>
      <c r="S3753" s="251"/>
    </row>
    <row r="3754" spans="2:19" ht="15">
      <c r="B3754" s="84"/>
      <c r="D3754" s="84"/>
      <c r="E3754" s="84"/>
      <c r="F3754" s="84"/>
      <c r="G3754" s="84"/>
      <c r="R3754" s="251"/>
      <c r="S3754" s="251"/>
    </row>
    <row r="3755" spans="2:19" ht="15">
      <c r="B3755" s="84"/>
      <c r="D3755" s="84"/>
      <c r="E3755" s="84"/>
      <c r="F3755" s="84"/>
      <c r="G3755" s="84"/>
      <c r="R3755" s="251"/>
      <c r="S3755" s="251"/>
    </row>
    <row r="3756" spans="2:19" ht="15">
      <c r="B3756" s="84"/>
      <c r="D3756" s="84"/>
      <c r="E3756" s="84"/>
      <c r="F3756" s="84"/>
      <c r="G3756" s="84"/>
      <c r="R3756" s="251"/>
      <c r="S3756" s="251"/>
    </row>
    <row r="3757" spans="2:19" ht="15">
      <c r="B3757" s="84"/>
      <c r="D3757" s="84"/>
      <c r="E3757" s="84"/>
      <c r="F3757" s="84"/>
      <c r="G3757" s="84"/>
      <c r="R3757" s="251"/>
      <c r="S3757" s="251"/>
    </row>
    <row r="3758" spans="2:19" ht="15">
      <c r="B3758" s="84"/>
      <c r="D3758" s="84"/>
      <c r="E3758" s="84"/>
      <c r="F3758" s="84"/>
      <c r="G3758" s="84"/>
      <c r="R3758" s="251"/>
      <c r="S3758" s="251"/>
    </row>
    <row r="3759" spans="2:19" ht="15">
      <c r="B3759" s="84"/>
      <c r="D3759" s="84"/>
      <c r="E3759" s="84"/>
      <c r="F3759" s="84"/>
      <c r="G3759" s="84"/>
      <c r="R3759" s="251"/>
      <c r="S3759" s="251"/>
    </row>
    <row r="3760" spans="2:19" ht="15">
      <c r="B3760" s="84"/>
      <c r="D3760" s="84"/>
      <c r="E3760" s="84"/>
      <c r="F3760" s="84"/>
      <c r="G3760" s="84"/>
      <c r="R3760" s="251"/>
      <c r="S3760" s="251"/>
    </row>
    <row r="3761" spans="2:19" ht="15">
      <c r="B3761" s="84"/>
      <c r="D3761" s="84"/>
      <c r="E3761" s="84"/>
      <c r="F3761" s="84"/>
      <c r="G3761" s="84"/>
      <c r="R3761" s="251"/>
      <c r="S3761" s="251"/>
    </row>
    <row r="3762" spans="2:19" ht="15">
      <c r="B3762" s="84"/>
      <c r="D3762" s="84"/>
      <c r="E3762" s="84"/>
      <c r="F3762" s="84"/>
      <c r="G3762" s="84"/>
      <c r="R3762" s="251"/>
      <c r="S3762" s="251"/>
    </row>
    <row r="3763" spans="2:19" ht="15">
      <c r="B3763" s="84"/>
      <c r="D3763" s="84"/>
      <c r="E3763" s="84"/>
      <c r="F3763" s="84"/>
      <c r="G3763" s="84"/>
      <c r="R3763" s="251"/>
      <c r="S3763" s="251"/>
    </row>
    <row r="3764" spans="2:19" ht="15">
      <c r="B3764" s="84"/>
      <c r="D3764" s="84"/>
      <c r="E3764" s="84"/>
      <c r="F3764" s="84"/>
      <c r="G3764" s="84"/>
      <c r="R3764" s="251"/>
      <c r="S3764" s="251"/>
    </row>
    <row r="3765" spans="2:19" ht="15">
      <c r="B3765" s="84"/>
      <c r="D3765" s="84"/>
      <c r="E3765" s="84"/>
      <c r="F3765" s="84"/>
      <c r="G3765" s="84"/>
      <c r="R3765" s="251"/>
      <c r="S3765" s="251"/>
    </row>
    <row r="3766" spans="2:19" ht="15">
      <c r="B3766" s="84"/>
      <c r="D3766" s="84"/>
      <c r="E3766" s="84"/>
      <c r="F3766" s="84"/>
      <c r="G3766" s="84"/>
      <c r="R3766" s="251"/>
      <c r="S3766" s="251"/>
    </row>
    <row r="3767" spans="2:19" ht="15">
      <c r="B3767" s="84"/>
      <c r="D3767" s="84"/>
      <c r="E3767" s="84"/>
      <c r="F3767" s="84"/>
      <c r="G3767" s="84"/>
      <c r="R3767" s="251"/>
      <c r="S3767" s="251"/>
    </row>
    <row r="3768" spans="2:19" ht="15">
      <c r="B3768" s="84"/>
      <c r="D3768" s="84"/>
      <c r="E3768" s="84"/>
      <c r="F3768" s="84"/>
      <c r="G3768" s="84"/>
      <c r="R3768" s="251"/>
      <c r="S3768" s="251"/>
    </row>
    <row r="3769" spans="2:19" ht="15">
      <c r="B3769" s="84"/>
      <c r="D3769" s="84"/>
      <c r="E3769" s="84"/>
      <c r="F3769" s="84"/>
      <c r="G3769" s="84"/>
      <c r="R3769" s="251"/>
      <c r="S3769" s="251"/>
    </row>
    <row r="3770" spans="2:19" ht="15">
      <c r="B3770" s="84"/>
      <c r="D3770" s="84"/>
      <c r="E3770" s="84"/>
      <c r="F3770" s="84"/>
      <c r="G3770" s="84"/>
      <c r="R3770" s="251"/>
      <c r="S3770" s="251"/>
    </row>
    <row r="3771" spans="2:19" ht="15">
      <c r="B3771" s="84"/>
      <c r="D3771" s="84"/>
      <c r="E3771" s="84"/>
      <c r="F3771" s="84"/>
      <c r="G3771" s="84"/>
      <c r="R3771" s="251"/>
      <c r="S3771" s="251"/>
    </row>
    <row r="3772" spans="2:19" ht="15">
      <c r="B3772" s="84"/>
      <c r="D3772" s="84"/>
      <c r="E3772" s="84"/>
      <c r="F3772" s="84"/>
      <c r="G3772" s="84"/>
      <c r="R3772" s="251"/>
      <c r="S3772" s="251"/>
    </row>
    <row r="3773" spans="2:19" ht="15">
      <c r="B3773" s="84"/>
      <c r="D3773" s="84"/>
      <c r="E3773" s="84"/>
      <c r="F3773" s="84"/>
      <c r="G3773" s="84"/>
      <c r="R3773" s="251"/>
      <c r="S3773" s="251"/>
    </row>
    <row r="3774" spans="2:19" ht="15">
      <c r="B3774" s="84"/>
      <c r="D3774" s="84"/>
      <c r="E3774" s="84"/>
      <c r="F3774" s="84"/>
      <c r="G3774" s="84"/>
      <c r="R3774" s="251"/>
      <c r="S3774" s="251"/>
    </row>
    <row r="3775" spans="2:19" ht="15">
      <c r="B3775" s="84"/>
      <c r="D3775" s="84"/>
      <c r="E3775" s="84"/>
      <c r="F3775" s="84"/>
      <c r="G3775" s="84"/>
      <c r="R3775" s="251"/>
      <c r="S3775" s="251"/>
    </row>
    <row r="3776" spans="2:19" ht="15">
      <c r="B3776" s="84"/>
      <c r="D3776" s="84"/>
      <c r="E3776" s="84"/>
      <c r="F3776" s="84"/>
      <c r="G3776" s="84"/>
      <c r="R3776" s="251"/>
      <c r="S3776" s="251"/>
    </row>
    <row r="3777" spans="2:19" ht="15">
      <c r="B3777" s="84"/>
      <c r="D3777" s="84"/>
      <c r="E3777" s="84"/>
      <c r="F3777" s="84"/>
      <c r="G3777" s="84"/>
      <c r="R3777" s="251"/>
      <c r="S3777" s="251"/>
    </row>
    <row r="3778" spans="2:19" ht="15">
      <c r="B3778" s="84"/>
      <c r="D3778" s="84"/>
      <c r="E3778" s="84"/>
      <c r="F3778" s="84"/>
      <c r="G3778" s="84"/>
      <c r="R3778" s="251"/>
      <c r="S3778" s="251"/>
    </row>
    <row r="3779" spans="2:19" ht="15">
      <c r="B3779" s="84"/>
      <c r="D3779" s="84"/>
      <c r="E3779" s="84"/>
      <c r="F3779" s="84"/>
      <c r="G3779" s="84"/>
      <c r="R3779" s="251"/>
      <c r="S3779" s="251"/>
    </row>
    <row r="3780" spans="2:19" ht="15">
      <c r="B3780" s="84"/>
      <c r="D3780" s="84"/>
      <c r="E3780" s="84"/>
      <c r="F3780" s="84"/>
      <c r="G3780" s="84"/>
      <c r="R3780" s="251"/>
      <c r="S3780" s="251"/>
    </row>
    <row r="3781" spans="2:19" ht="15">
      <c r="B3781" s="84"/>
      <c r="D3781" s="84"/>
      <c r="E3781" s="84"/>
      <c r="F3781" s="84"/>
      <c r="G3781" s="84"/>
      <c r="R3781" s="251"/>
      <c r="S3781" s="251"/>
    </row>
    <row r="3782" spans="2:19" ht="15">
      <c r="B3782" s="84"/>
      <c r="D3782" s="84"/>
      <c r="E3782" s="84"/>
      <c r="F3782" s="84"/>
      <c r="G3782" s="84"/>
      <c r="R3782" s="251"/>
      <c r="S3782" s="251"/>
    </row>
    <row r="3783" spans="2:19" ht="15">
      <c r="B3783" s="84"/>
      <c r="D3783" s="84"/>
      <c r="E3783" s="84"/>
      <c r="F3783" s="84"/>
      <c r="G3783" s="84"/>
      <c r="R3783" s="251"/>
      <c r="S3783" s="251"/>
    </row>
    <row r="3784" spans="2:19" ht="15">
      <c r="B3784" s="84"/>
      <c r="D3784" s="84"/>
      <c r="E3784" s="84"/>
      <c r="F3784" s="84"/>
      <c r="G3784" s="84"/>
      <c r="R3784" s="251"/>
      <c r="S3784" s="251"/>
    </row>
    <row r="3785" spans="2:19" ht="15">
      <c r="B3785" s="84"/>
      <c r="D3785" s="84"/>
      <c r="E3785" s="84"/>
      <c r="F3785" s="84"/>
      <c r="G3785" s="84"/>
      <c r="R3785" s="251"/>
      <c r="S3785" s="251"/>
    </row>
    <row r="3786" spans="2:19" ht="15">
      <c r="B3786" s="84"/>
      <c r="D3786" s="84"/>
      <c r="E3786" s="84"/>
      <c r="F3786" s="84"/>
      <c r="G3786" s="84"/>
      <c r="R3786" s="251"/>
      <c r="S3786" s="251"/>
    </row>
    <row r="3787" spans="2:19" ht="15">
      <c r="B3787" s="84"/>
      <c r="D3787" s="84"/>
      <c r="E3787" s="84"/>
      <c r="F3787" s="84"/>
      <c r="G3787" s="84"/>
      <c r="R3787" s="251"/>
      <c r="S3787" s="251"/>
    </row>
    <row r="3788" spans="2:19" ht="15">
      <c r="B3788" s="84"/>
      <c r="D3788" s="84"/>
      <c r="E3788" s="84"/>
      <c r="F3788" s="84"/>
      <c r="G3788" s="84"/>
      <c r="R3788" s="251"/>
      <c r="S3788" s="251"/>
    </row>
    <row r="3789" spans="2:19" ht="15">
      <c r="B3789" s="84"/>
      <c r="D3789" s="84"/>
      <c r="E3789" s="84"/>
      <c r="F3789" s="84"/>
      <c r="G3789" s="84"/>
      <c r="R3789" s="251"/>
      <c r="S3789" s="251"/>
    </row>
    <row r="3790" spans="2:19" ht="15">
      <c r="B3790" s="84"/>
      <c r="D3790" s="84"/>
      <c r="E3790" s="84"/>
      <c r="F3790" s="84"/>
      <c r="G3790" s="84"/>
      <c r="R3790" s="251"/>
      <c r="S3790" s="251"/>
    </row>
    <row r="3791" spans="2:19" ht="15">
      <c r="B3791" s="84"/>
      <c r="D3791" s="84"/>
      <c r="E3791" s="84"/>
      <c r="F3791" s="84"/>
      <c r="G3791" s="84"/>
      <c r="R3791" s="251"/>
      <c r="S3791" s="251"/>
    </row>
    <row r="3792" spans="2:19" ht="15">
      <c r="B3792" s="84"/>
      <c r="D3792" s="84"/>
      <c r="E3792" s="84"/>
      <c r="F3792" s="84"/>
      <c r="G3792" s="84"/>
      <c r="R3792" s="251"/>
      <c r="S3792" s="251"/>
    </row>
    <row r="3793" spans="2:19" ht="15">
      <c r="B3793" s="84"/>
      <c r="D3793" s="84"/>
      <c r="E3793" s="84"/>
      <c r="F3793" s="84"/>
      <c r="G3793" s="84"/>
      <c r="R3793" s="251"/>
      <c r="S3793" s="251"/>
    </row>
    <row r="3794" spans="2:19" ht="15">
      <c r="B3794" s="84"/>
      <c r="D3794" s="84"/>
      <c r="E3794" s="84"/>
      <c r="F3794" s="84"/>
      <c r="G3794" s="84"/>
      <c r="R3794" s="251"/>
      <c r="S3794" s="251"/>
    </row>
    <row r="3795" spans="2:19" ht="15">
      <c r="B3795" s="84"/>
      <c r="D3795" s="84"/>
      <c r="E3795" s="84"/>
      <c r="F3795" s="84"/>
      <c r="G3795" s="84"/>
      <c r="R3795" s="251"/>
      <c r="S3795" s="251"/>
    </row>
    <row r="3796" spans="2:19" ht="15">
      <c r="B3796" s="84"/>
      <c r="D3796" s="84"/>
      <c r="E3796" s="84"/>
      <c r="F3796" s="84"/>
      <c r="G3796" s="84"/>
      <c r="R3796" s="251"/>
      <c r="S3796" s="251"/>
    </row>
    <row r="3797" spans="2:19" ht="15">
      <c r="B3797" s="84"/>
      <c r="D3797" s="84"/>
      <c r="E3797" s="84"/>
      <c r="F3797" s="84"/>
      <c r="G3797" s="84"/>
      <c r="R3797" s="251"/>
      <c r="S3797" s="251"/>
    </row>
    <row r="3798" spans="2:19" ht="15">
      <c r="B3798" s="84"/>
      <c r="D3798" s="84"/>
      <c r="E3798" s="84"/>
      <c r="F3798" s="84"/>
      <c r="G3798" s="84"/>
      <c r="R3798" s="251"/>
      <c r="S3798" s="251"/>
    </row>
    <row r="3799" spans="2:19" ht="15">
      <c r="B3799" s="84"/>
      <c r="D3799" s="84"/>
      <c r="E3799" s="84"/>
      <c r="F3799" s="84"/>
      <c r="G3799" s="84"/>
      <c r="R3799" s="251"/>
      <c r="S3799" s="251"/>
    </row>
    <row r="3800" spans="2:19" ht="15">
      <c r="B3800" s="84"/>
      <c r="D3800" s="84"/>
      <c r="E3800" s="84"/>
      <c r="F3800" s="84"/>
      <c r="G3800" s="84"/>
      <c r="R3800" s="251"/>
      <c r="S3800" s="251"/>
    </row>
    <row r="3801" spans="2:19" ht="15">
      <c r="B3801" s="84"/>
      <c r="D3801" s="84"/>
      <c r="E3801" s="84"/>
      <c r="F3801" s="84"/>
      <c r="G3801" s="84"/>
      <c r="R3801" s="251"/>
      <c r="S3801" s="251"/>
    </row>
    <row r="3802" spans="2:19" ht="15">
      <c r="B3802" s="84"/>
      <c r="D3802" s="84"/>
      <c r="E3802" s="84"/>
      <c r="F3802" s="84"/>
      <c r="G3802" s="84"/>
      <c r="R3802" s="251"/>
      <c r="S3802" s="251"/>
    </row>
    <row r="3803" spans="2:19" ht="15">
      <c r="B3803" s="84"/>
      <c r="D3803" s="84"/>
      <c r="E3803" s="84"/>
      <c r="F3803" s="84"/>
      <c r="G3803" s="84"/>
      <c r="R3803" s="251"/>
      <c r="S3803" s="251"/>
    </row>
    <row r="3804" spans="2:19" ht="15">
      <c r="B3804" s="84"/>
      <c r="D3804" s="84"/>
      <c r="E3804" s="84"/>
      <c r="F3804" s="84"/>
      <c r="G3804" s="84"/>
      <c r="R3804" s="251"/>
      <c r="S3804" s="251"/>
    </row>
    <row r="3805" spans="2:19" ht="15">
      <c r="B3805" s="84"/>
      <c r="D3805" s="84"/>
      <c r="E3805" s="84"/>
      <c r="F3805" s="84"/>
      <c r="G3805" s="84"/>
      <c r="R3805" s="251"/>
      <c r="S3805" s="251"/>
    </row>
    <row r="3806" spans="2:19" ht="15">
      <c r="B3806" s="84"/>
      <c r="D3806" s="84"/>
      <c r="E3806" s="84"/>
      <c r="F3806" s="84"/>
      <c r="G3806" s="84"/>
      <c r="R3806" s="251"/>
      <c r="S3806" s="251"/>
    </row>
    <row r="3807" spans="2:19" ht="15">
      <c r="B3807" s="84"/>
      <c r="D3807" s="84"/>
      <c r="E3807" s="84"/>
      <c r="F3807" s="84"/>
      <c r="G3807" s="84"/>
      <c r="R3807" s="251"/>
      <c r="S3807" s="251"/>
    </row>
    <row r="3808" spans="2:19" ht="15">
      <c r="B3808" s="84"/>
      <c r="D3808" s="84"/>
      <c r="E3808" s="84"/>
      <c r="F3808" s="84"/>
      <c r="G3808" s="84"/>
      <c r="R3808" s="251"/>
      <c r="S3808" s="251"/>
    </row>
    <row r="3809" spans="2:19" ht="15">
      <c r="B3809" s="84"/>
      <c r="D3809" s="84"/>
      <c r="E3809" s="84"/>
      <c r="F3809" s="84"/>
      <c r="G3809" s="84"/>
      <c r="R3809" s="251"/>
      <c r="S3809" s="251"/>
    </row>
    <row r="3810" spans="2:19" ht="15">
      <c r="B3810" s="84"/>
      <c r="D3810" s="84"/>
      <c r="E3810" s="84"/>
      <c r="F3810" s="84"/>
      <c r="G3810" s="84"/>
      <c r="R3810" s="251"/>
      <c r="S3810" s="251"/>
    </row>
    <row r="3811" spans="2:19" ht="15">
      <c r="B3811" s="84"/>
      <c r="D3811" s="84"/>
      <c r="E3811" s="84"/>
      <c r="F3811" s="84"/>
      <c r="G3811" s="84"/>
      <c r="R3811" s="251"/>
      <c r="S3811" s="251"/>
    </row>
    <row r="3812" spans="2:19" ht="15">
      <c r="B3812" s="84"/>
      <c r="D3812" s="84"/>
      <c r="E3812" s="84"/>
      <c r="F3812" s="84"/>
      <c r="G3812" s="84"/>
      <c r="R3812" s="251"/>
      <c r="S3812" s="251"/>
    </row>
    <row r="3813" spans="2:19" ht="15">
      <c r="B3813" s="84"/>
      <c r="D3813" s="84"/>
      <c r="E3813" s="84"/>
      <c r="F3813" s="84"/>
      <c r="G3813" s="84"/>
      <c r="R3813" s="251"/>
      <c r="S3813" s="251"/>
    </row>
    <row r="3814" spans="2:19" ht="15">
      <c r="B3814" s="84"/>
      <c r="D3814" s="84"/>
      <c r="E3814" s="84"/>
      <c r="F3814" s="84"/>
      <c r="G3814" s="84"/>
      <c r="R3814" s="251"/>
      <c r="S3814" s="251"/>
    </row>
    <row r="3815" spans="2:19" ht="15">
      <c r="B3815" s="84"/>
      <c r="D3815" s="84"/>
      <c r="E3815" s="84"/>
      <c r="F3815" s="84"/>
      <c r="G3815" s="84"/>
      <c r="R3815" s="251"/>
      <c r="S3815" s="251"/>
    </row>
    <row r="3816" spans="2:19" ht="15">
      <c r="B3816" s="84"/>
      <c r="D3816" s="84"/>
      <c r="E3816" s="84"/>
      <c r="F3816" s="84"/>
      <c r="G3816" s="84"/>
      <c r="R3816" s="251"/>
      <c r="S3816" s="251"/>
    </row>
    <row r="3817" spans="2:19" ht="15">
      <c r="B3817" s="84"/>
      <c r="D3817" s="84"/>
      <c r="E3817" s="84"/>
      <c r="F3817" s="84"/>
      <c r="G3817" s="84"/>
      <c r="R3817" s="251"/>
      <c r="S3817" s="251"/>
    </row>
    <row r="3818" spans="2:19" ht="15">
      <c r="B3818" s="84"/>
      <c r="D3818" s="84"/>
      <c r="E3818" s="84"/>
      <c r="F3818" s="84"/>
      <c r="G3818" s="84"/>
      <c r="R3818" s="251"/>
      <c r="S3818" s="251"/>
    </row>
    <row r="3819" spans="2:19" ht="15">
      <c r="B3819" s="84"/>
      <c r="D3819" s="84"/>
      <c r="E3819" s="84"/>
      <c r="F3819" s="84"/>
      <c r="G3819" s="84"/>
      <c r="R3819" s="251"/>
      <c r="S3819" s="251"/>
    </row>
    <row r="3820" spans="2:19" ht="15">
      <c r="B3820" s="84"/>
      <c r="D3820" s="84"/>
      <c r="E3820" s="84"/>
      <c r="F3820" s="84"/>
      <c r="G3820" s="84"/>
      <c r="R3820" s="251"/>
      <c r="S3820" s="251"/>
    </row>
    <row r="3821" spans="2:19" ht="15">
      <c r="B3821" s="84"/>
      <c r="D3821" s="84"/>
      <c r="E3821" s="84"/>
      <c r="F3821" s="84"/>
      <c r="G3821" s="84"/>
      <c r="R3821" s="251"/>
      <c r="S3821" s="251"/>
    </row>
    <row r="3822" spans="2:19" ht="15">
      <c r="B3822" s="84"/>
      <c r="D3822" s="84"/>
      <c r="E3822" s="84"/>
      <c r="F3822" s="84"/>
      <c r="G3822" s="84"/>
      <c r="R3822" s="251"/>
      <c r="S3822" s="251"/>
    </row>
    <row r="3823" spans="2:19" ht="15">
      <c r="B3823" s="84"/>
      <c r="D3823" s="84"/>
      <c r="E3823" s="84"/>
      <c r="F3823" s="84"/>
      <c r="G3823" s="84"/>
      <c r="R3823" s="251"/>
      <c r="S3823" s="251"/>
    </row>
    <row r="3824" spans="2:19" ht="15">
      <c r="B3824" s="84"/>
      <c r="D3824" s="84"/>
      <c r="E3824" s="84"/>
      <c r="F3824" s="84"/>
      <c r="G3824" s="84"/>
      <c r="R3824" s="251"/>
      <c r="S3824" s="251"/>
    </row>
    <row r="3825" spans="2:19" ht="15">
      <c r="B3825" s="84"/>
      <c r="D3825" s="84"/>
      <c r="E3825" s="84"/>
      <c r="F3825" s="84"/>
      <c r="G3825" s="84"/>
      <c r="R3825" s="251"/>
      <c r="S3825" s="251"/>
    </row>
    <row r="3826" spans="2:19" ht="15">
      <c r="B3826" s="84"/>
      <c r="D3826" s="84"/>
      <c r="E3826" s="84"/>
      <c r="F3826" s="84"/>
      <c r="G3826" s="84"/>
      <c r="R3826" s="251"/>
      <c r="S3826" s="251"/>
    </row>
    <row r="3827" spans="2:19" ht="15">
      <c r="B3827" s="84"/>
      <c r="D3827" s="84"/>
      <c r="E3827" s="84"/>
      <c r="F3827" s="84"/>
      <c r="G3827" s="84"/>
      <c r="R3827" s="251"/>
      <c r="S3827" s="251"/>
    </row>
    <row r="3828" spans="2:19" ht="15">
      <c r="B3828" s="84"/>
      <c r="D3828" s="84"/>
      <c r="E3828" s="84"/>
      <c r="F3828" s="84"/>
      <c r="G3828" s="84"/>
      <c r="R3828" s="251"/>
      <c r="S3828" s="251"/>
    </row>
    <row r="3829" spans="2:19" ht="15">
      <c r="B3829" s="84"/>
      <c r="D3829" s="84"/>
      <c r="E3829" s="84"/>
      <c r="F3829" s="84"/>
      <c r="G3829" s="84"/>
      <c r="R3829" s="251"/>
      <c r="S3829" s="251"/>
    </row>
    <row r="3830" spans="2:19" ht="15">
      <c r="B3830" s="84"/>
      <c r="D3830" s="84"/>
      <c r="E3830" s="84"/>
      <c r="F3830" s="84"/>
      <c r="G3830" s="84"/>
      <c r="R3830" s="251"/>
      <c r="S3830" s="251"/>
    </row>
    <row r="3831" spans="2:19" ht="15">
      <c r="B3831" s="84"/>
      <c r="D3831" s="84"/>
      <c r="E3831" s="84"/>
      <c r="F3831" s="84"/>
      <c r="G3831" s="84"/>
      <c r="R3831" s="251"/>
      <c r="S3831" s="251"/>
    </row>
    <row r="3832" spans="2:19" ht="15">
      <c r="B3832" s="84"/>
      <c r="D3832" s="84"/>
      <c r="E3832" s="84"/>
      <c r="F3832" s="84"/>
      <c r="G3832" s="84"/>
      <c r="R3832" s="251"/>
      <c r="S3832" s="251"/>
    </row>
    <row r="3833" spans="2:19" ht="15">
      <c r="B3833" s="84"/>
      <c r="D3833" s="84"/>
      <c r="E3833" s="84"/>
      <c r="F3833" s="84"/>
      <c r="G3833" s="84"/>
      <c r="R3833" s="251"/>
      <c r="S3833" s="251"/>
    </row>
    <row r="3834" spans="2:19" ht="15">
      <c r="B3834" s="84"/>
      <c r="D3834" s="84"/>
      <c r="E3834" s="84"/>
      <c r="F3834" s="84"/>
      <c r="G3834" s="84"/>
      <c r="R3834" s="251"/>
      <c r="S3834" s="251"/>
    </row>
    <row r="3835" spans="2:19" ht="15">
      <c r="B3835" s="84"/>
      <c r="D3835" s="84"/>
      <c r="E3835" s="84"/>
      <c r="F3835" s="84"/>
      <c r="G3835" s="84"/>
      <c r="R3835" s="251"/>
      <c r="S3835" s="251"/>
    </row>
    <row r="3836" spans="2:19" ht="15">
      <c r="B3836" s="84"/>
      <c r="D3836" s="84"/>
      <c r="E3836" s="84"/>
      <c r="F3836" s="84"/>
      <c r="G3836" s="84"/>
      <c r="R3836" s="251"/>
      <c r="S3836" s="251"/>
    </row>
    <row r="3837" spans="2:19" ht="15">
      <c r="B3837" s="84"/>
      <c r="D3837" s="84"/>
      <c r="E3837" s="84"/>
      <c r="F3837" s="84"/>
      <c r="G3837" s="84"/>
      <c r="R3837" s="251"/>
      <c r="S3837" s="251"/>
    </row>
    <row r="3838" spans="2:19" ht="15">
      <c r="B3838" s="84"/>
      <c r="D3838" s="84"/>
      <c r="E3838" s="84"/>
      <c r="F3838" s="84"/>
      <c r="G3838" s="84"/>
      <c r="R3838" s="251"/>
      <c r="S3838" s="251"/>
    </row>
    <row r="3839" spans="2:19" ht="15">
      <c r="B3839" s="84"/>
      <c r="D3839" s="84"/>
      <c r="E3839" s="84"/>
      <c r="F3839" s="84"/>
      <c r="G3839" s="84"/>
      <c r="R3839" s="251"/>
      <c r="S3839" s="251"/>
    </row>
    <row r="3840" spans="2:19" ht="15">
      <c r="B3840" s="84"/>
      <c r="D3840" s="84"/>
      <c r="E3840" s="84"/>
      <c r="F3840" s="84"/>
      <c r="G3840" s="84"/>
      <c r="R3840" s="251"/>
      <c r="S3840" s="251"/>
    </row>
    <row r="3841" spans="2:19" ht="15">
      <c r="B3841" s="84"/>
      <c r="D3841" s="84"/>
      <c r="E3841" s="84"/>
      <c r="F3841" s="84"/>
      <c r="G3841" s="84"/>
      <c r="R3841" s="251"/>
      <c r="S3841" s="251"/>
    </row>
    <row r="3842" spans="2:19" ht="15">
      <c r="B3842" s="84"/>
      <c r="D3842" s="84"/>
      <c r="E3842" s="84"/>
      <c r="F3842" s="84"/>
      <c r="G3842" s="84"/>
      <c r="R3842" s="251"/>
      <c r="S3842" s="251"/>
    </row>
    <row r="3843" spans="2:19" ht="15">
      <c r="B3843" s="84"/>
      <c r="D3843" s="84"/>
      <c r="E3843" s="84"/>
      <c r="F3843" s="84"/>
      <c r="G3843" s="84"/>
      <c r="R3843" s="251"/>
      <c r="S3843" s="251"/>
    </row>
    <row r="3844" spans="2:19" ht="15">
      <c r="B3844" s="84"/>
      <c r="D3844" s="84"/>
      <c r="E3844" s="84"/>
      <c r="F3844" s="84"/>
      <c r="G3844" s="84"/>
      <c r="R3844" s="251"/>
      <c r="S3844" s="251"/>
    </row>
    <row r="3845" spans="2:19" ht="15">
      <c r="B3845" s="84"/>
      <c r="D3845" s="84"/>
      <c r="E3845" s="84"/>
      <c r="F3845" s="84"/>
      <c r="G3845" s="84"/>
      <c r="R3845" s="251"/>
      <c r="S3845" s="251"/>
    </row>
    <row r="3846" spans="2:19" ht="15">
      <c r="B3846" s="84"/>
      <c r="D3846" s="84"/>
      <c r="E3846" s="84"/>
      <c r="F3846" s="84"/>
      <c r="G3846" s="84"/>
      <c r="R3846" s="251"/>
      <c r="S3846" s="251"/>
    </row>
    <row r="3847" spans="2:19" ht="15">
      <c r="B3847" s="84"/>
      <c r="D3847" s="84"/>
      <c r="E3847" s="84"/>
      <c r="F3847" s="84"/>
      <c r="G3847" s="84"/>
      <c r="R3847" s="251"/>
      <c r="S3847" s="251"/>
    </row>
    <row r="3848" spans="2:19" ht="15">
      <c r="B3848" s="84"/>
      <c r="D3848" s="84"/>
      <c r="E3848" s="84"/>
      <c r="F3848" s="84"/>
      <c r="G3848" s="84"/>
      <c r="R3848" s="251"/>
      <c r="S3848" s="251"/>
    </row>
    <row r="3849" spans="2:19" ht="15">
      <c r="B3849" s="84"/>
      <c r="D3849" s="84"/>
      <c r="E3849" s="84"/>
      <c r="F3849" s="84"/>
      <c r="G3849" s="84"/>
      <c r="R3849" s="251"/>
      <c r="S3849" s="251"/>
    </row>
    <row r="3850" spans="2:19" ht="15">
      <c r="B3850" s="84"/>
      <c r="D3850" s="84"/>
      <c r="E3850" s="84"/>
      <c r="F3850" s="84"/>
      <c r="G3850" s="84"/>
      <c r="R3850" s="251"/>
      <c r="S3850" s="251"/>
    </row>
    <row r="3851" spans="2:19" ht="15">
      <c r="B3851" s="84"/>
      <c r="D3851" s="84"/>
      <c r="E3851" s="84"/>
      <c r="F3851" s="84"/>
      <c r="G3851" s="84"/>
      <c r="R3851" s="251"/>
      <c r="S3851" s="251"/>
    </row>
    <row r="3852" spans="2:19" ht="15">
      <c r="B3852" s="84"/>
      <c r="D3852" s="84"/>
      <c r="E3852" s="84"/>
      <c r="F3852" s="84"/>
      <c r="G3852" s="84"/>
      <c r="R3852" s="251"/>
      <c r="S3852" s="251"/>
    </row>
    <row r="3853" spans="2:19" ht="15">
      <c r="B3853" s="84"/>
      <c r="D3853" s="84"/>
      <c r="E3853" s="84"/>
      <c r="F3853" s="84"/>
      <c r="G3853" s="84"/>
      <c r="R3853" s="251"/>
      <c r="S3853" s="251"/>
    </row>
    <row r="3854" spans="2:19" ht="15">
      <c r="B3854" s="84"/>
      <c r="D3854" s="84"/>
      <c r="E3854" s="84"/>
      <c r="F3854" s="84"/>
      <c r="G3854" s="84"/>
      <c r="R3854" s="251"/>
      <c r="S3854" s="251"/>
    </row>
    <row r="3855" spans="2:19" ht="15">
      <c r="B3855" s="84"/>
      <c r="D3855" s="84"/>
      <c r="E3855" s="84"/>
      <c r="F3855" s="84"/>
      <c r="G3855" s="84"/>
      <c r="R3855" s="251"/>
      <c r="S3855" s="251"/>
    </row>
    <row r="3856" spans="2:19" ht="15">
      <c r="B3856" s="84"/>
      <c r="D3856" s="84"/>
      <c r="E3856" s="84"/>
      <c r="F3856" s="84"/>
      <c r="G3856" s="84"/>
      <c r="R3856" s="251"/>
      <c r="S3856" s="251"/>
    </row>
    <row r="3857" spans="2:19" ht="15">
      <c r="B3857" s="84"/>
      <c r="D3857" s="84"/>
      <c r="E3857" s="84"/>
      <c r="F3857" s="84"/>
      <c r="G3857" s="84"/>
      <c r="R3857" s="251"/>
      <c r="S3857" s="251"/>
    </row>
    <row r="3858" spans="2:19" ht="15">
      <c r="B3858" s="84"/>
      <c r="D3858" s="84"/>
      <c r="E3858" s="84"/>
      <c r="F3858" s="84"/>
      <c r="G3858" s="84"/>
      <c r="R3858" s="251"/>
      <c r="S3858" s="251"/>
    </row>
    <row r="3859" spans="2:19" ht="15">
      <c r="B3859" s="84"/>
      <c r="D3859" s="84"/>
      <c r="E3859" s="84"/>
      <c r="F3859" s="84"/>
      <c r="G3859" s="84"/>
      <c r="R3859" s="251"/>
      <c r="S3859" s="251"/>
    </row>
    <row r="3860" spans="2:19" ht="15">
      <c r="B3860" s="84"/>
      <c r="D3860" s="84"/>
      <c r="E3860" s="84"/>
      <c r="F3860" s="84"/>
      <c r="G3860" s="84"/>
      <c r="R3860" s="251"/>
      <c r="S3860" s="251"/>
    </row>
    <row r="3861" spans="2:19" ht="15">
      <c r="B3861" s="84"/>
      <c r="D3861" s="84"/>
      <c r="E3861" s="84"/>
      <c r="F3861" s="84"/>
      <c r="G3861" s="84"/>
      <c r="R3861" s="251"/>
      <c r="S3861" s="251"/>
    </row>
    <row r="3862" spans="2:19" ht="15">
      <c r="B3862" s="84"/>
      <c r="D3862" s="84"/>
      <c r="E3862" s="84"/>
      <c r="F3862" s="84"/>
      <c r="G3862" s="84"/>
      <c r="R3862" s="251"/>
      <c r="S3862" s="251"/>
    </row>
    <row r="3863" spans="2:19" ht="15">
      <c r="B3863" s="84"/>
      <c r="D3863" s="84"/>
      <c r="E3863" s="84"/>
      <c r="F3863" s="84"/>
      <c r="G3863" s="84"/>
      <c r="R3863" s="251"/>
      <c r="S3863" s="251"/>
    </row>
    <row r="3864" spans="2:19" ht="15">
      <c r="B3864" s="84"/>
      <c r="D3864" s="84"/>
      <c r="E3864" s="84"/>
      <c r="F3864" s="84"/>
      <c r="G3864" s="84"/>
      <c r="R3864" s="251"/>
      <c r="S3864" s="251"/>
    </row>
    <row r="3865" spans="2:19" ht="15">
      <c r="B3865" s="84"/>
      <c r="D3865" s="84"/>
      <c r="E3865" s="84"/>
      <c r="F3865" s="84"/>
      <c r="G3865" s="84"/>
      <c r="R3865" s="251"/>
      <c r="S3865" s="251"/>
    </row>
    <row r="3866" spans="2:19" ht="15">
      <c r="B3866" s="84"/>
      <c r="D3866" s="84"/>
      <c r="E3866" s="84"/>
      <c r="F3866" s="84"/>
      <c r="G3866" s="84"/>
      <c r="R3866" s="251"/>
      <c r="S3866" s="251"/>
    </row>
    <row r="3867" spans="2:19" ht="15">
      <c r="B3867" s="84"/>
      <c r="D3867" s="84"/>
      <c r="E3867" s="84"/>
      <c r="F3867" s="84"/>
      <c r="G3867" s="84"/>
      <c r="R3867" s="251"/>
      <c r="S3867" s="251"/>
    </row>
    <row r="3868" spans="2:19" ht="15">
      <c r="B3868" s="84"/>
      <c r="D3868" s="84"/>
      <c r="E3868" s="84"/>
      <c r="F3868" s="84"/>
      <c r="G3868" s="84"/>
      <c r="R3868" s="251"/>
      <c r="S3868" s="251"/>
    </row>
    <row r="3869" spans="2:19" ht="15">
      <c r="B3869" s="84"/>
      <c r="D3869" s="84"/>
      <c r="E3869" s="84"/>
      <c r="F3869" s="84"/>
      <c r="G3869" s="84"/>
      <c r="R3869" s="251"/>
      <c r="S3869" s="251"/>
    </row>
    <row r="3870" spans="2:19" ht="15">
      <c r="B3870" s="84"/>
      <c r="D3870" s="84"/>
      <c r="E3870" s="84"/>
      <c r="F3870" s="84"/>
      <c r="G3870" s="84"/>
      <c r="R3870" s="251"/>
      <c r="S3870" s="251"/>
    </row>
    <row r="3871" spans="2:19" ht="15">
      <c r="B3871" s="84"/>
      <c r="D3871" s="84"/>
      <c r="E3871" s="84"/>
      <c r="F3871" s="84"/>
      <c r="G3871" s="84"/>
      <c r="R3871" s="251"/>
      <c r="S3871" s="251"/>
    </row>
    <row r="3872" spans="2:19" ht="15">
      <c r="B3872" s="84"/>
      <c r="D3872" s="84"/>
      <c r="E3872" s="84"/>
      <c r="F3872" s="84"/>
      <c r="G3872" s="84"/>
      <c r="R3872" s="251"/>
      <c r="S3872" s="251"/>
    </row>
    <row r="3873" spans="2:19" ht="15">
      <c r="B3873" s="84"/>
      <c r="D3873" s="84"/>
      <c r="E3873" s="84"/>
      <c r="F3873" s="84"/>
      <c r="G3873" s="84"/>
      <c r="R3873" s="251"/>
      <c r="S3873" s="251"/>
    </row>
    <row r="3874" spans="2:19" ht="15">
      <c r="B3874" s="84"/>
      <c r="D3874" s="84"/>
      <c r="E3874" s="84"/>
      <c r="F3874" s="84"/>
      <c r="G3874" s="84"/>
      <c r="R3874" s="251"/>
      <c r="S3874" s="251"/>
    </row>
    <row r="3875" spans="2:19" ht="15">
      <c r="B3875" s="84"/>
      <c r="D3875" s="84"/>
      <c r="E3875" s="84"/>
      <c r="F3875" s="84"/>
      <c r="G3875" s="84"/>
      <c r="R3875" s="251"/>
      <c r="S3875" s="251"/>
    </row>
    <row r="3876" spans="2:19" ht="15">
      <c r="B3876" s="84"/>
      <c r="D3876" s="84"/>
      <c r="E3876" s="84"/>
      <c r="F3876" s="84"/>
      <c r="G3876" s="84"/>
      <c r="R3876" s="251"/>
      <c r="S3876" s="251"/>
    </row>
    <row r="3877" spans="2:19" ht="15">
      <c r="B3877" s="84"/>
      <c r="D3877" s="84"/>
      <c r="E3877" s="84"/>
      <c r="F3877" s="84"/>
      <c r="G3877" s="84"/>
      <c r="R3877" s="251"/>
      <c r="S3877" s="251"/>
    </row>
    <row r="3878" spans="2:19" ht="15">
      <c r="B3878" s="84"/>
      <c r="D3878" s="84"/>
      <c r="E3878" s="84"/>
      <c r="F3878" s="84"/>
      <c r="G3878" s="84"/>
      <c r="R3878" s="251"/>
      <c r="S3878" s="251"/>
    </row>
    <row r="3879" spans="2:19" ht="15">
      <c r="B3879" s="84"/>
      <c r="D3879" s="84"/>
      <c r="E3879" s="84"/>
      <c r="F3879" s="84"/>
      <c r="G3879" s="84"/>
      <c r="R3879" s="251"/>
      <c r="S3879" s="251"/>
    </row>
    <row r="3880" spans="2:19" ht="15">
      <c r="B3880" s="84"/>
      <c r="D3880" s="84"/>
      <c r="E3880" s="84"/>
      <c r="F3880" s="84"/>
      <c r="G3880" s="84"/>
      <c r="R3880" s="251"/>
      <c r="S3880" s="251"/>
    </row>
    <row r="3881" spans="2:19" ht="15">
      <c r="B3881" s="84"/>
      <c r="D3881" s="84"/>
      <c r="E3881" s="84"/>
      <c r="F3881" s="84"/>
      <c r="G3881" s="84"/>
      <c r="R3881" s="251"/>
      <c r="S3881" s="251"/>
    </row>
    <row r="3882" spans="2:19" ht="15">
      <c r="B3882" s="84"/>
      <c r="D3882" s="84"/>
      <c r="E3882" s="84"/>
      <c r="F3882" s="84"/>
      <c r="G3882" s="84"/>
      <c r="R3882" s="251"/>
      <c r="S3882" s="251"/>
    </row>
    <row r="3883" spans="2:19" ht="15">
      <c r="B3883" s="84"/>
      <c r="D3883" s="84"/>
      <c r="E3883" s="84"/>
      <c r="F3883" s="84"/>
      <c r="G3883" s="84"/>
      <c r="R3883" s="251"/>
      <c r="S3883" s="251"/>
    </row>
    <row r="3884" spans="2:19" ht="15">
      <c r="B3884" s="84"/>
      <c r="D3884" s="84"/>
      <c r="E3884" s="84"/>
      <c r="F3884" s="84"/>
      <c r="G3884" s="84"/>
      <c r="R3884" s="251"/>
      <c r="S3884" s="251"/>
    </row>
    <row r="3885" spans="2:19" ht="15">
      <c r="B3885" s="84"/>
      <c r="D3885" s="84"/>
      <c r="E3885" s="84"/>
      <c r="F3885" s="84"/>
      <c r="G3885" s="84"/>
      <c r="R3885" s="251"/>
      <c r="S3885" s="251"/>
    </row>
    <row r="3886" spans="2:19" ht="15">
      <c r="B3886" s="84"/>
      <c r="D3886" s="84"/>
      <c r="E3886" s="84"/>
      <c r="F3886" s="84"/>
      <c r="G3886" s="84"/>
      <c r="R3886" s="251"/>
      <c r="S3886" s="251"/>
    </row>
    <row r="3887" spans="2:19" ht="15">
      <c r="B3887" s="84"/>
      <c r="D3887" s="84"/>
      <c r="E3887" s="84"/>
      <c r="F3887" s="84"/>
      <c r="G3887" s="84"/>
      <c r="R3887" s="251"/>
      <c r="S3887" s="251"/>
    </row>
    <row r="3888" spans="2:19" ht="15">
      <c r="B3888" s="84"/>
      <c r="D3888" s="84"/>
      <c r="E3888" s="84"/>
      <c r="F3888" s="84"/>
      <c r="G3888" s="84"/>
      <c r="R3888" s="251"/>
      <c r="S3888" s="251"/>
    </row>
    <row r="3889" spans="2:19" ht="15">
      <c r="B3889" s="84"/>
      <c r="D3889" s="84"/>
      <c r="E3889" s="84"/>
      <c r="F3889" s="84"/>
      <c r="G3889" s="84"/>
      <c r="R3889" s="251"/>
      <c r="S3889" s="251"/>
    </row>
    <row r="3890" spans="2:19" ht="15">
      <c r="B3890" s="84"/>
      <c r="D3890" s="84"/>
      <c r="E3890" s="84"/>
      <c r="F3890" s="84"/>
      <c r="G3890" s="84"/>
      <c r="R3890" s="251"/>
      <c r="S3890" s="251"/>
    </row>
    <row r="3891" spans="2:19" ht="15">
      <c r="B3891" s="84"/>
      <c r="D3891" s="84"/>
      <c r="E3891" s="84"/>
      <c r="F3891" s="84"/>
      <c r="G3891" s="84"/>
      <c r="R3891" s="251"/>
      <c r="S3891" s="251"/>
    </row>
    <row r="3892" spans="2:19" ht="15">
      <c r="B3892" s="84"/>
      <c r="D3892" s="84"/>
      <c r="E3892" s="84"/>
      <c r="F3892" s="84"/>
      <c r="G3892" s="84"/>
      <c r="R3892" s="251"/>
      <c r="S3892" s="251"/>
    </row>
    <row r="3893" spans="2:19" ht="15">
      <c r="B3893" s="84"/>
      <c r="D3893" s="84"/>
      <c r="E3893" s="84"/>
      <c r="F3893" s="84"/>
      <c r="G3893" s="84"/>
      <c r="R3893" s="251"/>
      <c r="S3893" s="251"/>
    </row>
    <row r="3894" spans="2:19" ht="15">
      <c r="B3894" s="84"/>
      <c r="D3894" s="84"/>
      <c r="E3894" s="84"/>
      <c r="F3894" s="84"/>
      <c r="G3894" s="84"/>
      <c r="R3894" s="251"/>
      <c r="S3894" s="251"/>
    </row>
    <row r="3895" spans="2:19" ht="15">
      <c r="B3895" s="84"/>
      <c r="D3895" s="84"/>
      <c r="E3895" s="84"/>
      <c r="F3895" s="84"/>
      <c r="G3895" s="84"/>
      <c r="R3895" s="251"/>
      <c r="S3895" s="251"/>
    </row>
    <row r="3896" spans="2:19" ht="15">
      <c r="B3896" s="84"/>
      <c r="D3896" s="84"/>
      <c r="E3896" s="84"/>
      <c r="F3896" s="84"/>
      <c r="G3896" s="84"/>
      <c r="R3896" s="251"/>
      <c r="S3896" s="251"/>
    </row>
    <row r="3897" spans="2:19" ht="15">
      <c r="B3897" s="84"/>
      <c r="D3897" s="84"/>
      <c r="E3897" s="84"/>
      <c r="F3897" s="84"/>
      <c r="G3897" s="84"/>
      <c r="R3897" s="251"/>
      <c r="S3897" s="251"/>
    </row>
    <row r="3898" spans="2:19" ht="15">
      <c r="B3898" s="84"/>
      <c r="D3898" s="84"/>
      <c r="E3898" s="84"/>
      <c r="F3898" s="84"/>
      <c r="G3898" s="84"/>
      <c r="R3898" s="251"/>
      <c r="S3898" s="251"/>
    </row>
    <row r="3899" spans="2:19" ht="15">
      <c r="B3899" s="84"/>
      <c r="D3899" s="84"/>
      <c r="E3899" s="84"/>
      <c r="F3899" s="84"/>
      <c r="G3899" s="84"/>
      <c r="R3899" s="251"/>
      <c r="S3899" s="251"/>
    </row>
    <row r="3900" spans="2:19" ht="15">
      <c r="B3900" s="84"/>
      <c r="D3900" s="84"/>
      <c r="E3900" s="84"/>
      <c r="F3900" s="84"/>
      <c r="G3900" s="84"/>
      <c r="R3900" s="251"/>
      <c r="S3900" s="251"/>
    </row>
    <row r="3901" spans="2:19" ht="15">
      <c r="B3901" s="84"/>
      <c r="D3901" s="84"/>
      <c r="E3901" s="84"/>
      <c r="F3901" s="84"/>
      <c r="G3901" s="84"/>
      <c r="R3901" s="251"/>
      <c r="S3901" s="251"/>
    </row>
    <row r="3902" spans="2:19" ht="15">
      <c r="B3902" s="84"/>
      <c r="D3902" s="84"/>
      <c r="E3902" s="84"/>
      <c r="F3902" s="84"/>
      <c r="G3902" s="84"/>
      <c r="R3902" s="251"/>
      <c r="S3902" s="251"/>
    </row>
    <row r="3903" spans="2:19" ht="15">
      <c r="B3903" s="84"/>
      <c r="D3903" s="84"/>
      <c r="E3903" s="84"/>
      <c r="F3903" s="84"/>
      <c r="G3903" s="84"/>
      <c r="R3903" s="251"/>
      <c r="S3903" s="251"/>
    </row>
    <row r="3904" spans="2:19" ht="15">
      <c r="B3904" s="84"/>
      <c r="D3904" s="84"/>
      <c r="E3904" s="84"/>
      <c r="F3904" s="84"/>
      <c r="G3904" s="84"/>
      <c r="R3904" s="251"/>
      <c r="S3904" s="251"/>
    </row>
    <row r="3905" spans="2:19" ht="15">
      <c r="B3905" s="84"/>
      <c r="D3905" s="84"/>
      <c r="E3905" s="84"/>
      <c r="F3905" s="84"/>
      <c r="G3905" s="84"/>
      <c r="R3905" s="251"/>
      <c r="S3905" s="251"/>
    </row>
    <row r="3906" spans="2:19" ht="15">
      <c r="B3906" s="84"/>
      <c r="D3906" s="84"/>
      <c r="E3906" s="84"/>
      <c r="F3906" s="84"/>
      <c r="G3906" s="84"/>
      <c r="R3906" s="251"/>
      <c r="S3906" s="251"/>
    </row>
    <row r="3907" spans="2:19" ht="15">
      <c r="B3907" s="84"/>
      <c r="D3907" s="84"/>
      <c r="E3907" s="84"/>
      <c r="F3907" s="84"/>
      <c r="G3907" s="84"/>
      <c r="R3907" s="251"/>
      <c r="S3907" s="251"/>
    </row>
    <row r="3908" spans="2:19" ht="15">
      <c r="B3908" s="84"/>
      <c r="D3908" s="84"/>
      <c r="E3908" s="84"/>
      <c r="F3908" s="84"/>
      <c r="G3908" s="84"/>
      <c r="R3908" s="251"/>
      <c r="S3908" s="251"/>
    </row>
    <row r="3909" spans="2:19" ht="15">
      <c r="B3909" s="84"/>
      <c r="D3909" s="84"/>
      <c r="E3909" s="84"/>
      <c r="F3909" s="84"/>
      <c r="G3909" s="84"/>
      <c r="R3909" s="251"/>
      <c r="S3909" s="251"/>
    </row>
    <row r="3910" spans="2:19" ht="15">
      <c r="B3910" s="84"/>
      <c r="D3910" s="84"/>
      <c r="E3910" s="84"/>
      <c r="F3910" s="84"/>
      <c r="G3910" s="84"/>
      <c r="R3910" s="251"/>
      <c r="S3910" s="251"/>
    </row>
    <row r="3911" spans="2:19" ht="15">
      <c r="B3911" s="84"/>
      <c r="D3911" s="84"/>
      <c r="E3911" s="84"/>
      <c r="F3911" s="84"/>
      <c r="G3911" s="84"/>
      <c r="R3911" s="251"/>
      <c r="S3911" s="251"/>
    </row>
    <row r="3912" spans="2:19" ht="15">
      <c r="B3912" s="84"/>
      <c r="D3912" s="84"/>
      <c r="E3912" s="84"/>
      <c r="F3912" s="84"/>
      <c r="G3912" s="84"/>
      <c r="R3912" s="251"/>
      <c r="S3912" s="251"/>
    </row>
    <row r="3913" spans="2:19" ht="15">
      <c r="B3913" s="84"/>
      <c r="D3913" s="84"/>
      <c r="E3913" s="84"/>
      <c r="F3913" s="84"/>
      <c r="G3913" s="84"/>
      <c r="R3913" s="251"/>
      <c r="S3913" s="251"/>
    </row>
    <row r="3914" spans="2:19" ht="15">
      <c r="B3914" s="84"/>
      <c r="D3914" s="84"/>
      <c r="E3914" s="84"/>
      <c r="F3914" s="84"/>
      <c r="G3914" s="84"/>
      <c r="R3914" s="251"/>
      <c r="S3914" s="251"/>
    </row>
    <row r="3915" spans="2:19" ht="15">
      <c r="B3915" s="84"/>
      <c r="D3915" s="84"/>
      <c r="E3915" s="84"/>
      <c r="F3915" s="84"/>
      <c r="G3915" s="84"/>
      <c r="R3915" s="251"/>
      <c r="S3915" s="251"/>
    </row>
    <row r="3916" spans="2:19" ht="15">
      <c r="B3916" s="84"/>
      <c r="D3916" s="84"/>
      <c r="E3916" s="84"/>
      <c r="F3916" s="84"/>
      <c r="G3916" s="84"/>
      <c r="R3916" s="251"/>
      <c r="S3916" s="251"/>
    </row>
    <row r="3917" spans="2:19" ht="15">
      <c r="B3917" s="84"/>
      <c r="D3917" s="84"/>
      <c r="E3917" s="84"/>
      <c r="F3917" s="84"/>
      <c r="G3917" s="84"/>
      <c r="R3917" s="251"/>
      <c r="S3917" s="251"/>
    </row>
    <row r="3918" spans="2:19" ht="15">
      <c r="B3918" s="84"/>
      <c r="D3918" s="84"/>
      <c r="E3918" s="84"/>
      <c r="F3918" s="84"/>
      <c r="G3918" s="84"/>
      <c r="R3918" s="251"/>
      <c r="S3918" s="251"/>
    </row>
    <row r="3919" spans="2:19" ht="15">
      <c r="B3919" s="84"/>
      <c r="D3919" s="84"/>
      <c r="E3919" s="84"/>
      <c r="F3919" s="84"/>
      <c r="G3919" s="84"/>
      <c r="R3919" s="251"/>
      <c r="S3919" s="251"/>
    </row>
    <row r="3920" spans="2:19" ht="15">
      <c r="B3920" s="84"/>
      <c r="D3920" s="84"/>
      <c r="E3920" s="84"/>
      <c r="F3920" s="84"/>
      <c r="G3920" s="84"/>
      <c r="R3920" s="251"/>
      <c r="S3920" s="251"/>
    </row>
    <row r="3921" spans="2:19" ht="15">
      <c r="B3921" s="84"/>
      <c r="D3921" s="84"/>
      <c r="E3921" s="84"/>
      <c r="F3921" s="84"/>
      <c r="G3921" s="84"/>
      <c r="R3921" s="251"/>
      <c r="S3921" s="251"/>
    </row>
    <row r="3922" spans="2:19" ht="15">
      <c r="B3922" s="84"/>
      <c r="D3922" s="84"/>
      <c r="E3922" s="84"/>
      <c r="F3922" s="84"/>
      <c r="G3922" s="84"/>
      <c r="R3922" s="251"/>
      <c r="S3922" s="251"/>
    </row>
    <row r="3923" spans="2:19" ht="15">
      <c r="B3923" s="84"/>
      <c r="D3923" s="84"/>
      <c r="E3923" s="84"/>
      <c r="F3923" s="84"/>
      <c r="G3923" s="84"/>
      <c r="R3923" s="251"/>
      <c r="S3923" s="251"/>
    </row>
    <row r="3924" spans="2:19" ht="15">
      <c r="B3924" s="84"/>
      <c r="D3924" s="84"/>
      <c r="E3924" s="84"/>
      <c r="F3924" s="84"/>
      <c r="G3924" s="84"/>
      <c r="R3924" s="251"/>
      <c r="S3924" s="251"/>
    </row>
    <row r="3925" spans="2:19" ht="15">
      <c r="B3925" s="84"/>
      <c r="D3925" s="84"/>
      <c r="E3925" s="84"/>
      <c r="F3925" s="84"/>
      <c r="G3925" s="84"/>
      <c r="R3925" s="251"/>
      <c r="S3925" s="251"/>
    </row>
    <row r="3926" spans="2:19" ht="15">
      <c r="B3926" s="84"/>
      <c r="D3926" s="84"/>
      <c r="E3926" s="84"/>
      <c r="F3926" s="84"/>
      <c r="G3926" s="84"/>
      <c r="R3926" s="251"/>
      <c r="S3926" s="251"/>
    </row>
    <row r="3927" spans="2:19" ht="15">
      <c r="B3927" s="84"/>
      <c r="D3927" s="84"/>
      <c r="E3927" s="84"/>
      <c r="F3927" s="84"/>
      <c r="G3927" s="84"/>
      <c r="R3927" s="251"/>
      <c r="S3927" s="251"/>
    </row>
    <row r="3928" spans="2:19" ht="15">
      <c r="B3928" s="84"/>
      <c r="D3928" s="84"/>
      <c r="E3928" s="84"/>
      <c r="F3928" s="84"/>
      <c r="G3928" s="84"/>
      <c r="R3928" s="251"/>
      <c r="S3928" s="251"/>
    </row>
    <row r="3929" spans="2:19" ht="15">
      <c r="B3929" s="84"/>
      <c r="D3929" s="84"/>
      <c r="E3929" s="84"/>
      <c r="F3929" s="84"/>
      <c r="G3929" s="84"/>
      <c r="R3929" s="251"/>
      <c r="S3929" s="251"/>
    </row>
    <row r="3930" spans="2:19" ht="15">
      <c r="B3930" s="84"/>
      <c r="D3930" s="84"/>
      <c r="E3930" s="84"/>
      <c r="F3930" s="84"/>
      <c r="G3930" s="84"/>
      <c r="R3930" s="251"/>
      <c r="S3930" s="251"/>
    </row>
    <row r="3931" spans="2:19" ht="15">
      <c r="B3931" s="84"/>
      <c r="D3931" s="84"/>
      <c r="E3931" s="84"/>
      <c r="F3931" s="84"/>
      <c r="G3931" s="84"/>
      <c r="R3931" s="251"/>
      <c r="S3931" s="251"/>
    </row>
    <row r="3932" spans="2:19" ht="15">
      <c r="B3932" s="84"/>
      <c r="D3932" s="84"/>
      <c r="E3932" s="84"/>
      <c r="F3932" s="84"/>
      <c r="G3932" s="84"/>
      <c r="R3932" s="251"/>
      <c r="S3932" s="251"/>
    </row>
    <row r="3933" spans="2:19" ht="15">
      <c r="B3933" s="84"/>
      <c r="D3933" s="84"/>
      <c r="E3933" s="84"/>
      <c r="F3933" s="84"/>
      <c r="G3933" s="84"/>
      <c r="R3933" s="251"/>
      <c r="S3933" s="251"/>
    </row>
    <row r="3934" spans="2:19" ht="15">
      <c r="B3934" s="84"/>
      <c r="D3934" s="84"/>
      <c r="E3934" s="84"/>
      <c r="F3934" s="84"/>
      <c r="G3934" s="84"/>
      <c r="R3934" s="251"/>
      <c r="S3934" s="251"/>
    </row>
    <row r="3935" spans="2:19" ht="15">
      <c r="B3935" s="84"/>
      <c r="D3935" s="84"/>
      <c r="E3935" s="84"/>
      <c r="F3935" s="84"/>
      <c r="G3935" s="84"/>
      <c r="R3935" s="251"/>
      <c r="S3935" s="251"/>
    </row>
    <row r="3936" spans="2:19" ht="15">
      <c r="B3936" s="84"/>
      <c r="D3936" s="84"/>
      <c r="E3936" s="84"/>
      <c r="F3936" s="84"/>
      <c r="G3936" s="84"/>
      <c r="R3936" s="251"/>
      <c r="S3936" s="251"/>
    </row>
    <row r="3937" spans="2:19" ht="15">
      <c r="B3937" s="84"/>
      <c r="D3937" s="84"/>
      <c r="E3937" s="84"/>
      <c r="F3937" s="84"/>
      <c r="G3937" s="84"/>
      <c r="R3937" s="251"/>
      <c r="S3937" s="251"/>
    </row>
    <row r="3938" spans="2:19" ht="15">
      <c r="B3938" s="84"/>
      <c r="D3938" s="84"/>
      <c r="E3938" s="84"/>
      <c r="F3938" s="84"/>
      <c r="G3938" s="84"/>
      <c r="R3938" s="251"/>
      <c r="S3938" s="251"/>
    </row>
    <row r="3939" spans="2:19" ht="15">
      <c r="B3939" s="84"/>
      <c r="D3939" s="84"/>
      <c r="E3939" s="84"/>
      <c r="F3939" s="84"/>
      <c r="G3939" s="84"/>
      <c r="R3939" s="251"/>
      <c r="S3939" s="251"/>
    </row>
    <row r="3940" spans="2:19" ht="15">
      <c r="B3940" s="84"/>
      <c r="D3940" s="84"/>
      <c r="E3940" s="84"/>
      <c r="F3940" s="84"/>
      <c r="G3940" s="84"/>
      <c r="R3940" s="251"/>
      <c r="S3940" s="251"/>
    </row>
    <row r="3941" spans="2:19" ht="15">
      <c r="B3941" s="84"/>
      <c r="D3941" s="84"/>
      <c r="E3941" s="84"/>
      <c r="F3941" s="84"/>
      <c r="G3941" s="84"/>
      <c r="R3941" s="251"/>
      <c r="S3941" s="251"/>
    </row>
    <row r="3942" spans="2:19" ht="15">
      <c r="B3942" s="84"/>
      <c r="D3942" s="84"/>
      <c r="E3942" s="84"/>
      <c r="F3942" s="84"/>
      <c r="G3942" s="84"/>
      <c r="R3942" s="251"/>
      <c r="S3942" s="251"/>
    </row>
    <row r="3943" spans="2:19" ht="15">
      <c r="B3943" s="84"/>
      <c r="D3943" s="84"/>
      <c r="E3943" s="84"/>
      <c r="F3943" s="84"/>
      <c r="G3943" s="84"/>
      <c r="R3943" s="251"/>
      <c r="S3943" s="251"/>
    </row>
    <row r="3944" spans="2:19" ht="15">
      <c r="B3944" s="84"/>
      <c r="D3944" s="84"/>
      <c r="E3944" s="84"/>
      <c r="F3944" s="84"/>
      <c r="G3944" s="84"/>
      <c r="R3944" s="251"/>
      <c r="S3944" s="251"/>
    </row>
    <row r="3945" spans="2:19" ht="15">
      <c r="B3945" s="84"/>
      <c r="D3945" s="84"/>
      <c r="E3945" s="84"/>
      <c r="F3945" s="84"/>
      <c r="G3945" s="84"/>
      <c r="R3945" s="251"/>
      <c r="S3945" s="251"/>
    </row>
    <row r="3946" spans="2:19" ht="15">
      <c r="B3946" s="84"/>
      <c r="D3946" s="84"/>
      <c r="E3946" s="84"/>
      <c r="F3946" s="84"/>
      <c r="G3946" s="84"/>
      <c r="R3946" s="251"/>
      <c r="S3946" s="251"/>
    </row>
    <row r="3947" spans="2:19" ht="15">
      <c r="B3947" s="84"/>
      <c r="D3947" s="84"/>
      <c r="E3947" s="84"/>
      <c r="F3947" s="84"/>
      <c r="G3947" s="84"/>
      <c r="R3947" s="251"/>
      <c r="S3947" s="251"/>
    </row>
    <row r="3948" spans="2:19" ht="15">
      <c r="B3948" s="84"/>
      <c r="D3948" s="84"/>
      <c r="E3948" s="84"/>
      <c r="F3948" s="84"/>
      <c r="G3948" s="84"/>
      <c r="R3948" s="251"/>
      <c r="S3948" s="251"/>
    </row>
    <row r="3949" spans="2:19" ht="15">
      <c r="B3949" s="84"/>
      <c r="D3949" s="84"/>
      <c r="E3949" s="84"/>
      <c r="F3949" s="84"/>
      <c r="G3949" s="84"/>
      <c r="R3949" s="251"/>
      <c r="S3949" s="251"/>
    </row>
    <row r="3950" spans="2:19" ht="15">
      <c r="B3950" s="84"/>
      <c r="D3950" s="84"/>
      <c r="E3950" s="84"/>
      <c r="F3950" s="84"/>
      <c r="G3950" s="84"/>
      <c r="R3950" s="251"/>
      <c r="S3950" s="251"/>
    </row>
    <row r="3951" spans="2:19" ht="15">
      <c r="B3951" s="84"/>
      <c r="D3951" s="84"/>
      <c r="E3951" s="84"/>
      <c r="F3951" s="84"/>
      <c r="G3951" s="84"/>
      <c r="R3951" s="251"/>
      <c r="S3951" s="251"/>
    </row>
    <row r="3952" spans="2:19" ht="15">
      <c r="B3952" s="84"/>
      <c r="D3952" s="84"/>
      <c r="E3952" s="84"/>
      <c r="F3952" s="84"/>
      <c r="G3952" s="84"/>
      <c r="R3952" s="251"/>
      <c r="S3952" s="251"/>
    </row>
    <row r="3953" spans="2:19" ht="15">
      <c r="B3953" s="84"/>
      <c r="D3953" s="84"/>
      <c r="E3953" s="84"/>
      <c r="F3953" s="84"/>
      <c r="G3953" s="84"/>
      <c r="R3953" s="251"/>
      <c r="S3953" s="251"/>
    </row>
    <row r="3954" spans="2:19" ht="15">
      <c r="B3954" s="84"/>
      <c r="D3954" s="84"/>
      <c r="E3954" s="84"/>
      <c r="F3954" s="84"/>
      <c r="G3954" s="84"/>
      <c r="R3954" s="251"/>
      <c r="S3954" s="251"/>
    </row>
    <row r="3955" spans="2:19" ht="15">
      <c r="B3955" s="84"/>
      <c r="D3955" s="84"/>
      <c r="E3955" s="84"/>
      <c r="F3955" s="84"/>
      <c r="G3955" s="84"/>
      <c r="R3955" s="251"/>
      <c r="S3955" s="251"/>
    </row>
    <row r="3956" spans="2:19" ht="15">
      <c r="B3956" s="84"/>
      <c r="D3956" s="84"/>
      <c r="E3956" s="84"/>
      <c r="F3956" s="84"/>
      <c r="G3956" s="84"/>
      <c r="R3956" s="251"/>
      <c r="S3956" s="251"/>
    </row>
    <row r="3957" spans="2:19" ht="15">
      <c r="B3957" s="84"/>
      <c r="D3957" s="84"/>
      <c r="E3957" s="84"/>
      <c r="F3957" s="84"/>
      <c r="G3957" s="84"/>
      <c r="R3957" s="251"/>
      <c r="S3957" s="251"/>
    </row>
    <row r="3958" spans="2:19" ht="15">
      <c r="B3958" s="84"/>
      <c r="D3958" s="84"/>
      <c r="E3958" s="84"/>
      <c r="F3958" s="84"/>
      <c r="G3958" s="84"/>
      <c r="R3958" s="251"/>
      <c r="S3958" s="251"/>
    </row>
    <row r="3959" spans="2:19" ht="15">
      <c r="B3959" s="84"/>
      <c r="D3959" s="84"/>
      <c r="E3959" s="84"/>
      <c r="F3959" s="84"/>
      <c r="G3959" s="84"/>
      <c r="R3959" s="251"/>
      <c r="S3959" s="251"/>
    </row>
    <row r="3960" spans="2:19" ht="15">
      <c r="B3960" s="84"/>
      <c r="D3960" s="84"/>
      <c r="E3960" s="84"/>
      <c r="F3960" s="84"/>
      <c r="G3960" s="84"/>
      <c r="R3960" s="251"/>
      <c r="S3960" s="251"/>
    </row>
    <row r="3961" spans="2:19" ht="15">
      <c r="B3961" s="84"/>
      <c r="D3961" s="84"/>
      <c r="E3961" s="84"/>
      <c r="F3961" s="84"/>
      <c r="G3961" s="84"/>
      <c r="R3961" s="251"/>
      <c r="S3961" s="251"/>
    </row>
    <row r="3962" spans="2:19" ht="15">
      <c r="B3962" s="84"/>
      <c r="D3962" s="84"/>
      <c r="E3962" s="84"/>
      <c r="F3962" s="84"/>
      <c r="G3962" s="84"/>
      <c r="R3962" s="251"/>
      <c r="S3962" s="251"/>
    </row>
    <row r="3963" spans="2:19" ht="15">
      <c r="B3963" s="84"/>
      <c r="D3963" s="84"/>
      <c r="E3963" s="84"/>
      <c r="F3963" s="84"/>
      <c r="G3963" s="84"/>
      <c r="R3963" s="251"/>
      <c r="S3963" s="251"/>
    </row>
    <row r="3964" spans="2:19" ht="15">
      <c r="B3964" s="84"/>
      <c r="D3964" s="84"/>
      <c r="E3964" s="84"/>
      <c r="F3964" s="84"/>
      <c r="G3964" s="84"/>
      <c r="R3964" s="251"/>
      <c r="S3964" s="251"/>
    </row>
    <row r="3965" spans="2:19" ht="15">
      <c r="B3965" s="84"/>
      <c r="D3965" s="84"/>
      <c r="E3965" s="84"/>
      <c r="F3965" s="84"/>
      <c r="G3965" s="84"/>
      <c r="R3965" s="251"/>
      <c r="S3965" s="251"/>
    </row>
    <row r="3966" spans="2:19" ht="15">
      <c r="B3966" s="84"/>
      <c r="D3966" s="84"/>
      <c r="E3966" s="84"/>
      <c r="F3966" s="84"/>
      <c r="G3966" s="84"/>
      <c r="R3966" s="251"/>
      <c r="S3966" s="251"/>
    </row>
    <row r="3967" spans="2:19" ht="15">
      <c r="B3967" s="84"/>
      <c r="D3967" s="84"/>
      <c r="E3967" s="84"/>
      <c r="F3967" s="84"/>
      <c r="G3967" s="84"/>
      <c r="R3967" s="251"/>
      <c r="S3967" s="251"/>
    </row>
    <row r="3968" spans="2:19" ht="15">
      <c r="B3968" s="84"/>
      <c r="D3968" s="84"/>
      <c r="E3968" s="84"/>
      <c r="F3968" s="84"/>
      <c r="G3968" s="84"/>
      <c r="R3968" s="251"/>
      <c r="S3968" s="251"/>
    </row>
    <row r="3969" spans="2:19" ht="15">
      <c r="B3969" s="84"/>
      <c r="D3969" s="84"/>
      <c r="E3969" s="84"/>
      <c r="F3969" s="84"/>
      <c r="G3969" s="84"/>
      <c r="R3969" s="251"/>
      <c r="S3969" s="251"/>
    </row>
    <row r="3970" spans="2:19" ht="15">
      <c r="B3970" s="84"/>
      <c r="D3970" s="84"/>
      <c r="E3970" s="84"/>
      <c r="F3970" s="84"/>
      <c r="G3970" s="84"/>
      <c r="R3970" s="251"/>
      <c r="S3970" s="251"/>
    </row>
    <row r="3971" spans="2:19" ht="15">
      <c r="B3971" s="84"/>
      <c r="D3971" s="84"/>
      <c r="E3971" s="84"/>
      <c r="F3971" s="84"/>
      <c r="G3971" s="84"/>
      <c r="R3971" s="251"/>
      <c r="S3971" s="251"/>
    </row>
    <row r="3972" spans="2:19" ht="15">
      <c r="B3972" s="84"/>
      <c r="D3972" s="84"/>
      <c r="E3972" s="84"/>
      <c r="F3972" s="84"/>
      <c r="G3972" s="84"/>
      <c r="R3972" s="251"/>
      <c r="S3972" s="251"/>
    </row>
    <row r="3973" spans="2:19" ht="15">
      <c r="B3973" s="84"/>
      <c r="D3973" s="84"/>
      <c r="E3973" s="84"/>
      <c r="F3973" s="84"/>
      <c r="G3973" s="84"/>
      <c r="R3973" s="251"/>
      <c r="S3973" s="251"/>
    </row>
    <row r="3974" spans="2:19" ht="15">
      <c r="B3974" s="84"/>
      <c r="D3974" s="84"/>
      <c r="E3974" s="84"/>
      <c r="F3974" s="84"/>
      <c r="G3974" s="84"/>
      <c r="R3974" s="251"/>
      <c r="S3974" s="251"/>
    </row>
    <row r="3975" spans="2:19" ht="15">
      <c r="B3975" s="84"/>
      <c r="D3975" s="84"/>
      <c r="E3975" s="84"/>
      <c r="F3975" s="84"/>
      <c r="G3975" s="84"/>
      <c r="R3975" s="251"/>
      <c r="S3975" s="251"/>
    </row>
    <row r="3976" spans="2:19" ht="15">
      <c r="B3976" s="84"/>
      <c r="D3976" s="84"/>
      <c r="E3976" s="84"/>
      <c r="F3976" s="84"/>
      <c r="G3976" s="84"/>
      <c r="R3976" s="251"/>
      <c r="S3976" s="251"/>
    </row>
    <row r="3977" spans="2:19" ht="15">
      <c r="B3977" s="84"/>
      <c r="D3977" s="84"/>
      <c r="E3977" s="84"/>
      <c r="F3977" s="84"/>
      <c r="G3977" s="84"/>
      <c r="R3977" s="251"/>
      <c r="S3977" s="251"/>
    </row>
    <row r="3978" spans="2:19" ht="15">
      <c r="B3978" s="84"/>
      <c r="D3978" s="84"/>
      <c r="E3978" s="84"/>
      <c r="F3978" s="84"/>
      <c r="G3978" s="84"/>
      <c r="R3978" s="251"/>
      <c r="S3978" s="251"/>
    </row>
    <row r="3979" spans="2:19" ht="15">
      <c r="B3979" s="84"/>
      <c r="D3979" s="84"/>
      <c r="E3979" s="84"/>
      <c r="F3979" s="84"/>
      <c r="G3979" s="84"/>
      <c r="R3979" s="251"/>
      <c r="S3979" s="251"/>
    </row>
    <row r="3980" spans="2:19" ht="15">
      <c r="B3980" s="84"/>
      <c r="D3980" s="84"/>
      <c r="E3980" s="84"/>
      <c r="F3980" s="84"/>
      <c r="G3980" s="84"/>
      <c r="R3980" s="251"/>
      <c r="S3980" s="251"/>
    </row>
    <row r="3981" spans="2:19" ht="15">
      <c r="B3981" s="84"/>
      <c r="D3981" s="84"/>
      <c r="E3981" s="84"/>
      <c r="F3981" s="84"/>
      <c r="G3981" s="84"/>
      <c r="R3981" s="251"/>
      <c r="S3981" s="251"/>
    </row>
    <row r="3982" spans="2:19" ht="15">
      <c r="B3982" s="84"/>
      <c r="D3982" s="84"/>
      <c r="E3982" s="84"/>
      <c r="F3982" s="84"/>
      <c r="G3982" s="84"/>
      <c r="R3982" s="251"/>
      <c r="S3982" s="251"/>
    </row>
    <row r="3983" spans="2:19" ht="15">
      <c r="B3983" s="84"/>
      <c r="D3983" s="84"/>
      <c r="E3983" s="84"/>
      <c r="F3983" s="84"/>
      <c r="G3983" s="84"/>
      <c r="R3983" s="251"/>
      <c r="S3983" s="251"/>
    </row>
    <row r="3984" spans="2:19" ht="15">
      <c r="B3984" s="84"/>
      <c r="D3984" s="84"/>
      <c r="E3984" s="84"/>
      <c r="F3984" s="84"/>
      <c r="G3984" s="84"/>
      <c r="R3984" s="251"/>
      <c r="S3984" s="251"/>
    </row>
    <row r="3985" spans="2:19" ht="15">
      <c r="B3985" s="84"/>
      <c r="D3985" s="84"/>
      <c r="E3985" s="84"/>
      <c r="F3985" s="84"/>
      <c r="G3985" s="84"/>
      <c r="R3985" s="251"/>
      <c r="S3985" s="251"/>
    </row>
    <row r="3986" spans="2:19" ht="15">
      <c r="B3986" s="84"/>
      <c r="D3986" s="84"/>
      <c r="E3986" s="84"/>
      <c r="F3986" s="84"/>
      <c r="G3986" s="84"/>
      <c r="R3986" s="251"/>
      <c r="S3986" s="251"/>
    </row>
    <row r="3987" spans="2:19" ht="15">
      <c r="B3987" s="84"/>
      <c r="D3987" s="84"/>
      <c r="E3987" s="84"/>
      <c r="F3987" s="84"/>
      <c r="G3987" s="84"/>
      <c r="R3987" s="251"/>
      <c r="S3987" s="251"/>
    </row>
    <row r="3988" spans="2:19" ht="15">
      <c r="B3988" s="84"/>
      <c r="D3988" s="84"/>
      <c r="E3988" s="84"/>
      <c r="F3988" s="84"/>
      <c r="G3988" s="84"/>
      <c r="R3988" s="251"/>
      <c r="S3988" s="251"/>
    </row>
    <row r="3989" spans="2:19" ht="15">
      <c r="B3989" s="84"/>
      <c r="D3989" s="84"/>
      <c r="E3989" s="84"/>
      <c r="F3989" s="84"/>
      <c r="G3989" s="84"/>
      <c r="R3989" s="251"/>
      <c r="S3989" s="251"/>
    </row>
    <row r="3990" spans="2:19" ht="15">
      <c r="B3990" s="84"/>
      <c r="D3990" s="84"/>
      <c r="E3990" s="84"/>
      <c r="F3990" s="84"/>
      <c r="G3990" s="84"/>
      <c r="R3990" s="251"/>
      <c r="S3990" s="251"/>
    </row>
    <row r="3991" spans="2:19" ht="15">
      <c r="B3991" s="84"/>
      <c r="D3991" s="84"/>
      <c r="E3991" s="84"/>
      <c r="F3991" s="84"/>
      <c r="G3991" s="84"/>
      <c r="R3991" s="251"/>
      <c r="S3991" s="251"/>
    </row>
    <row r="3992" spans="2:19" ht="15">
      <c r="B3992" s="84"/>
      <c r="D3992" s="84"/>
      <c r="E3992" s="84"/>
      <c r="F3992" s="84"/>
      <c r="G3992" s="84"/>
      <c r="R3992" s="251"/>
      <c r="S3992" s="251"/>
    </row>
    <row r="3993" spans="2:19" ht="15">
      <c r="B3993" s="84"/>
      <c r="D3993" s="84"/>
      <c r="E3993" s="84"/>
      <c r="F3993" s="84"/>
      <c r="G3993" s="84"/>
      <c r="R3993" s="251"/>
      <c r="S3993" s="251"/>
    </row>
    <row r="3994" spans="2:19" ht="15">
      <c r="B3994" s="84"/>
      <c r="D3994" s="84"/>
      <c r="E3994" s="84"/>
      <c r="F3994" s="84"/>
      <c r="G3994" s="84"/>
      <c r="R3994" s="251"/>
      <c r="S3994" s="251"/>
    </row>
    <row r="3995" spans="2:19" ht="15">
      <c r="B3995" s="84"/>
      <c r="D3995" s="84"/>
      <c r="E3995" s="84"/>
      <c r="F3995" s="84"/>
      <c r="G3995" s="84"/>
      <c r="R3995" s="251"/>
      <c r="S3995" s="251"/>
    </row>
    <row r="3996" spans="2:19" ht="15">
      <c r="B3996" s="84"/>
      <c r="D3996" s="84"/>
      <c r="E3996" s="84"/>
      <c r="F3996" s="84"/>
      <c r="G3996" s="84"/>
      <c r="R3996" s="251"/>
      <c r="S3996" s="251"/>
    </row>
    <row r="3997" spans="2:19" ht="15">
      <c r="B3997" s="84"/>
      <c r="D3997" s="84"/>
      <c r="E3997" s="84"/>
      <c r="F3997" s="84"/>
      <c r="G3997" s="84"/>
      <c r="R3997" s="251"/>
      <c r="S3997" s="251"/>
    </row>
    <row r="3998" spans="2:19" ht="15">
      <c r="B3998" s="84"/>
      <c r="D3998" s="84"/>
      <c r="E3998" s="84"/>
      <c r="F3998" s="84"/>
      <c r="G3998" s="84"/>
      <c r="R3998" s="251"/>
      <c r="S3998" s="251"/>
    </row>
    <row r="3999" spans="2:19" ht="15">
      <c r="B3999" s="84"/>
      <c r="D3999" s="84"/>
      <c r="E3999" s="84"/>
      <c r="F3999" s="84"/>
      <c r="G3999" s="84"/>
      <c r="R3999" s="251"/>
      <c r="S3999" s="251"/>
    </row>
    <row r="4000" spans="2:19" ht="15">
      <c r="B4000" s="84"/>
      <c r="D4000" s="84"/>
      <c r="E4000" s="84"/>
      <c r="F4000" s="84"/>
      <c r="G4000" s="84"/>
      <c r="R4000" s="251"/>
      <c r="S4000" s="251"/>
    </row>
    <row r="4001" spans="2:19" ht="15">
      <c r="B4001" s="84"/>
      <c r="D4001" s="84"/>
      <c r="E4001" s="84"/>
      <c r="F4001" s="84"/>
      <c r="G4001" s="84"/>
      <c r="R4001" s="251"/>
      <c r="S4001" s="251"/>
    </row>
    <row r="4002" spans="2:19" ht="15">
      <c r="B4002" s="84"/>
      <c r="D4002" s="84"/>
      <c r="E4002" s="84"/>
      <c r="F4002" s="84"/>
      <c r="G4002" s="84"/>
      <c r="R4002" s="251"/>
      <c r="S4002" s="251"/>
    </row>
    <row r="4003" spans="2:19" ht="15">
      <c r="B4003" s="84"/>
      <c r="D4003" s="84"/>
      <c r="E4003" s="84"/>
      <c r="F4003" s="84"/>
      <c r="G4003" s="84"/>
      <c r="R4003" s="251"/>
      <c r="S4003" s="251"/>
    </row>
    <row r="4004" spans="2:19" ht="15">
      <c r="B4004" s="84"/>
      <c r="D4004" s="84"/>
      <c r="E4004" s="84"/>
      <c r="F4004" s="84"/>
      <c r="G4004" s="84"/>
      <c r="R4004" s="251"/>
      <c r="S4004" s="251"/>
    </row>
    <row r="4005" spans="2:19" ht="15">
      <c r="B4005" s="84"/>
      <c r="D4005" s="84"/>
      <c r="E4005" s="84"/>
      <c r="F4005" s="84"/>
      <c r="G4005" s="84"/>
      <c r="R4005" s="251"/>
      <c r="S4005" s="251"/>
    </row>
    <row r="4006" spans="2:19" ht="15">
      <c r="B4006" s="84"/>
      <c r="D4006" s="84"/>
      <c r="E4006" s="84"/>
      <c r="F4006" s="84"/>
      <c r="G4006" s="84"/>
      <c r="R4006" s="251"/>
      <c r="S4006" s="251"/>
    </row>
    <row r="4007" spans="2:19" ht="15">
      <c r="B4007" s="84"/>
      <c r="D4007" s="84"/>
      <c r="E4007" s="84"/>
      <c r="F4007" s="84"/>
      <c r="G4007" s="84"/>
      <c r="R4007" s="251"/>
      <c r="S4007" s="251"/>
    </row>
    <row r="4008" spans="2:19" ht="15">
      <c r="B4008" s="84"/>
      <c r="D4008" s="84"/>
      <c r="E4008" s="84"/>
      <c r="F4008" s="84"/>
      <c r="G4008" s="84"/>
      <c r="R4008" s="251"/>
      <c r="S4008" s="251"/>
    </row>
    <row r="4009" spans="2:19" ht="15">
      <c r="B4009" s="84"/>
      <c r="D4009" s="84"/>
      <c r="E4009" s="84"/>
      <c r="F4009" s="84"/>
      <c r="G4009" s="84"/>
      <c r="R4009" s="251"/>
      <c r="S4009" s="251"/>
    </row>
    <row r="4010" spans="2:19" ht="15">
      <c r="B4010" s="84"/>
      <c r="D4010" s="84"/>
      <c r="E4010" s="84"/>
      <c r="F4010" s="84"/>
      <c r="G4010" s="84"/>
      <c r="R4010" s="251"/>
      <c r="S4010" s="251"/>
    </row>
    <row r="4011" spans="2:19" ht="15">
      <c r="B4011" s="84"/>
      <c r="D4011" s="84"/>
      <c r="E4011" s="84"/>
      <c r="F4011" s="84"/>
      <c r="G4011" s="84"/>
      <c r="R4011" s="251"/>
      <c r="S4011" s="251"/>
    </row>
    <row r="4012" spans="2:19" ht="15">
      <c r="B4012" s="84"/>
      <c r="D4012" s="84"/>
      <c r="E4012" s="84"/>
      <c r="F4012" s="84"/>
      <c r="G4012" s="84"/>
      <c r="R4012" s="251"/>
      <c r="S4012" s="251"/>
    </row>
    <row r="4013" spans="2:19" ht="15">
      <c r="B4013" s="84"/>
      <c r="D4013" s="84"/>
      <c r="E4013" s="84"/>
      <c r="F4013" s="84"/>
      <c r="G4013" s="84"/>
      <c r="R4013" s="251"/>
      <c r="S4013" s="251"/>
    </row>
    <row r="4014" spans="2:19" ht="15">
      <c r="B4014" s="84"/>
      <c r="D4014" s="84"/>
      <c r="E4014" s="84"/>
      <c r="F4014" s="84"/>
      <c r="G4014" s="84"/>
      <c r="R4014" s="251"/>
      <c r="S4014" s="251"/>
    </row>
    <row r="4015" spans="2:19" ht="15">
      <c r="B4015" s="84"/>
      <c r="D4015" s="84"/>
      <c r="E4015" s="84"/>
      <c r="F4015" s="84"/>
      <c r="G4015" s="84"/>
      <c r="R4015" s="251"/>
      <c r="S4015" s="251"/>
    </row>
    <row r="4016" spans="2:19" ht="15">
      <c r="B4016" s="84"/>
      <c r="D4016" s="84"/>
      <c r="E4016" s="84"/>
      <c r="F4016" s="84"/>
      <c r="G4016" s="84"/>
      <c r="R4016" s="251"/>
      <c r="S4016" s="251"/>
    </row>
    <row r="4017" spans="2:19" ht="15">
      <c r="B4017" s="84"/>
      <c r="D4017" s="84"/>
      <c r="E4017" s="84"/>
      <c r="F4017" s="84"/>
      <c r="G4017" s="84"/>
      <c r="R4017" s="251"/>
      <c r="S4017" s="251"/>
    </row>
    <row r="4018" spans="2:19" ht="15">
      <c r="B4018" s="84"/>
      <c r="D4018" s="84"/>
      <c r="E4018" s="84"/>
      <c r="F4018" s="84"/>
      <c r="G4018" s="84"/>
      <c r="R4018" s="251"/>
      <c r="S4018" s="251"/>
    </row>
    <row r="4019" spans="2:19" ht="15">
      <c r="B4019" s="84"/>
      <c r="D4019" s="84"/>
      <c r="E4019" s="84"/>
      <c r="F4019" s="84"/>
      <c r="G4019" s="84"/>
      <c r="R4019" s="251"/>
      <c r="S4019" s="251"/>
    </row>
    <row r="4020" spans="2:19" ht="15">
      <c r="B4020" s="84"/>
      <c r="D4020" s="84"/>
      <c r="E4020" s="84"/>
      <c r="F4020" s="84"/>
      <c r="G4020" s="84"/>
      <c r="R4020" s="251"/>
      <c r="S4020" s="251"/>
    </row>
    <row r="4021" spans="2:19" ht="15">
      <c r="B4021" s="84"/>
      <c r="D4021" s="84"/>
      <c r="E4021" s="84"/>
      <c r="F4021" s="84"/>
      <c r="G4021" s="84"/>
      <c r="R4021" s="251"/>
      <c r="S4021" s="251"/>
    </row>
    <row r="4022" spans="2:19" ht="15">
      <c r="B4022" s="84"/>
      <c r="D4022" s="84"/>
      <c r="E4022" s="84"/>
      <c r="F4022" s="84"/>
      <c r="G4022" s="84"/>
      <c r="R4022" s="251"/>
      <c r="S4022" s="251"/>
    </row>
    <row r="4023" spans="2:19" ht="15">
      <c r="B4023" s="84"/>
      <c r="D4023" s="84"/>
      <c r="E4023" s="84"/>
      <c r="F4023" s="84"/>
      <c r="G4023" s="84"/>
      <c r="R4023" s="251"/>
      <c r="S4023" s="251"/>
    </row>
    <row r="4024" spans="2:19" ht="15">
      <c r="B4024" s="84"/>
      <c r="D4024" s="84"/>
      <c r="E4024" s="84"/>
      <c r="F4024" s="84"/>
      <c r="G4024" s="84"/>
      <c r="R4024" s="251"/>
      <c r="S4024" s="251"/>
    </row>
    <row r="4025" spans="2:19" ht="15">
      <c r="B4025" s="84"/>
      <c r="D4025" s="84"/>
      <c r="E4025" s="84"/>
      <c r="F4025" s="84"/>
      <c r="G4025" s="84"/>
      <c r="R4025" s="251"/>
      <c r="S4025" s="251"/>
    </row>
    <row r="4026" spans="2:19" ht="15">
      <c r="B4026" s="84"/>
      <c r="D4026" s="84"/>
      <c r="E4026" s="84"/>
      <c r="F4026" s="84"/>
      <c r="G4026" s="84"/>
      <c r="R4026" s="251"/>
      <c r="S4026" s="251"/>
    </row>
    <row r="4027" spans="2:19" ht="15">
      <c r="B4027" s="84"/>
      <c r="D4027" s="84"/>
      <c r="E4027" s="84"/>
      <c r="F4027" s="84"/>
      <c r="G4027" s="84"/>
      <c r="R4027" s="251"/>
      <c r="S4027" s="251"/>
    </row>
    <row r="4028" spans="2:19" ht="15">
      <c r="B4028" s="84"/>
      <c r="D4028" s="84"/>
      <c r="E4028" s="84"/>
      <c r="F4028" s="84"/>
      <c r="G4028" s="84"/>
      <c r="R4028" s="251"/>
      <c r="S4028" s="251"/>
    </row>
    <row r="4029" spans="2:19" ht="15">
      <c r="B4029" s="84"/>
      <c r="D4029" s="84"/>
      <c r="E4029" s="84"/>
      <c r="F4029" s="84"/>
      <c r="G4029" s="84"/>
      <c r="R4029" s="251"/>
      <c r="S4029" s="251"/>
    </row>
    <row r="4030" spans="2:19" ht="15">
      <c r="B4030" s="84"/>
      <c r="D4030" s="84"/>
      <c r="E4030" s="84"/>
      <c r="F4030" s="84"/>
      <c r="G4030" s="84"/>
      <c r="R4030" s="251"/>
      <c r="S4030" s="251"/>
    </row>
    <row r="4031" spans="2:19" ht="15">
      <c r="B4031" s="84"/>
      <c r="D4031" s="84"/>
      <c r="E4031" s="84"/>
      <c r="F4031" s="84"/>
      <c r="G4031" s="84"/>
      <c r="R4031" s="251"/>
      <c r="S4031" s="251"/>
    </row>
    <row r="4032" spans="2:19" ht="15">
      <c r="B4032" s="84"/>
      <c r="D4032" s="84"/>
      <c r="E4032" s="84"/>
      <c r="F4032" s="84"/>
      <c r="G4032" s="84"/>
      <c r="R4032" s="251"/>
      <c r="S4032" s="251"/>
    </row>
    <row r="4033" spans="2:19" ht="15">
      <c r="B4033" s="84"/>
      <c r="D4033" s="84"/>
      <c r="E4033" s="84"/>
      <c r="F4033" s="84"/>
      <c r="G4033" s="84"/>
      <c r="R4033" s="251"/>
      <c r="S4033" s="251"/>
    </row>
    <row r="4034" spans="2:19" ht="15">
      <c r="B4034" s="84"/>
      <c r="D4034" s="84"/>
      <c r="E4034" s="84"/>
      <c r="F4034" s="84"/>
      <c r="G4034" s="84"/>
      <c r="R4034" s="251"/>
      <c r="S4034" s="251"/>
    </row>
    <row r="4035" spans="2:19" ht="15">
      <c r="B4035" s="84"/>
      <c r="D4035" s="84"/>
      <c r="E4035" s="84"/>
      <c r="F4035" s="84"/>
      <c r="G4035" s="84"/>
      <c r="R4035" s="251"/>
      <c r="S4035" s="251"/>
    </row>
    <row r="4036" spans="2:19" ht="15">
      <c r="B4036" s="84"/>
      <c r="D4036" s="84"/>
      <c r="E4036" s="84"/>
      <c r="F4036" s="84"/>
      <c r="G4036" s="84"/>
      <c r="R4036" s="251"/>
      <c r="S4036" s="251"/>
    </row>
    <row r="4037" spans="2:19" ht="15">
      <c r="B4037" s="84"/>
      <c r="D4037" s="84"/>
      <c r="E4037" s="84"/>
      <c r="F4037" s="84"/>
      <c r="G4037" s="84"/>
      <c r="R4037" s="251"/>
      <c r="S4037" s="251"/>
    </row>
    <row r="4038" spans="2:19" ht="15">
      <c r="B4038" s="84"/>
      <c r="D4038" s="84"/>
      <c r="E4038" s="84"/>
      <c r="F4038" s="84"/>
      <c r="G4038" s="84"/>
      <c r="R4038" s="251"/>
      <c r="S4038" s="251"/>
    </row>
    <row r="4039" spans="2:19" ht="15">
      <c r="B4039" s="84"/>
      <c r="D4039" s="84"/>
      <c r="E4039" s="84"/>
      <c r="F4039" s="84"/>
      <c r="G4039" s="84"/>
      <c r="R4039" s="251"/>
      <c r="S4039" s="251"/>
    </row>
    <row r="4040" spans="2:19" ht="15">
      <c r="B4040" s="84"/>
      <c r="D4040" s="84"/>
      <c r="E4040" s="84"/>
      <c r="F4040" s="84"/>
      <c r="G4040" s="84"/>
      <c r="R4040" s="251"/>
      <c r="S4040" s="251"/>
    </row>
    <row r="4041" spans="2:19" ht="15">
      <c r="B4041" s="84"/>
      <c r="D4041" s="84"/>
      <c r="E4041" s="84"/>
      <c r="F4041" s="84"/>
      <c r="G4041" s="84"/>
      <c r="R4041" s="251"/>
      <c r="S4041" s="251"/>
    </row>
    <row r="4042" spans="2:19" ht="15">
      <c r="B4042" s="84"/>
      <c r="D4042" s="84"/>
      <c r="E4042" s="84"/>
      <c r="F4042" s="84"/>
      <c r="G4042" s="84"/>
      <c r="R4042" s="251"/>
      <c r="S4042" s="251"/>
    </row>
    <row r="4043" spans="2:19" ht="15">
      <c r="B4043" s="84"/>
      <c r="D4043" s="84"/>
      <c r="E4043" s="84"/>
      <c r="F4043" s="84"/>
      <c r="G4043" s="84"/>
      <c r="R4043" s="251"/>
      <c r="S4043" s="251"/>
    </row>
    <row r="4044" spans="2:19" ht="15">
      <c r="B4044" s="84"/>
      <c r="D4044" s="84"/>
      <c r="E4044" s="84"/>
      <c r="F4044" s="84"/>
      <c r="G4044" s="84"/>
      <c r="R4044" s="251"/>
      <c r="S4044" s="251"/>
    </row>
    <row r="4045" spans="2:19" ht="15">
      <c r="B4045" s="84"/>
      <c r="D4045" s="84"/>
      <c r="E4045" s="84"/>
      <c r="F4045" s="84"/>
      <c r="G4045" s="84"/>
      <c r="R4045" s="251"/>
      <c r="S4045" s="251"/>
    </row>
    <row r="4046" spans="2:19" ht="15">
      <c r="B4046" s="84"/>
      <c r="D4046" s="84"/>
      <c r="E4046" s="84"/>
      <c r="F4046" s="84"/>
      <c r="G4046" s="84"/>
      <c r="R4046" s="251"/>
      <c r="S4046" s="251"/>
    </row>
    <row r="4047" spans="2:19" ht="15">
      <c r="B4047" s="84"/>
      <c r="D4047" s="84"/>
      <c r="E4047" s="84"/>
      <c r="F4047" s="84"/>
      <c r="G4047" s="84"/>
      <c r="R4047" s="251"/>
      <c r="S4047" s="251"/>
    </row>
    <row r="4048" spans="2:19" ht="15">
      <c r="B4048" s="84"/>
      <c r="D4048" s="84"/>
      <c r="E4048" s="84"/>
      <c r="F4048" s="84"/>
      <c r="G4048" s="84"/>
      <c r="R4048" s="251"/>
      <c r="S4048" s="251"/>
    </row>
    <row r="4049" spans="2:19" ht="15">
      <c r="B4049" s="84"/>
      <c r="D4049" s="84"/>
      <c r="E4049" s="84"/>
      <c r="F4049" s="84"/>
      <c r="G4049" s="84"/>
      <c r="R4049" s="251"/>
      <c r="S4049" s="251"/>
    </row>
    <row r="4050" spans="2:19" ht="15">
      <c r="B4050" s="84"/>
      <c r="D4050" s="84"/>
      <c r="E4050" s="84"/>
      <c r="F4050" s="84"/>
      <c r="G4050" s="84"/>
      <c r="R4050" s="251"/>
      <c r="S4050" s="251"/>
    </row>
    <row r="4051" spans="2:19" ht="15">
      <c r="B4051" s="84"/>
      <c r="D4051" s="84"/>
      <c r="E4051" s="84"/>
      <c r="F4051" s="84"/>
      <c r="G4051" s="84"/>
      <c r="R4051" s="251"/>
      <c r="S4051" s="251"/>
    </row>
    <row r="4052" spans="2:19" ht="15">
      <c r="B4052" s="84"/>
      <c r="D4052" s="84"/>
      <c r="E4052" s="84"/>
      <c r="F4052" s="84"/>
      <c r="G4052" s="84"/>
      <c r="R4052" s="251"/>
      <c r="S4052" s="251"/>
    </row>
    <row r="4053" spans="2:19" ht="15">
      <c r="B4053" s="84"/>
      <c r="D4053" s="84"/>
      <c r="E4053" s="84"/>
      <c r="F4053" s="84"/>
      <c r="G4053" s="84"/>
      <c r="R4053" s="251"/>
      <c r="S4053" s="251"/>
    </row>
    <row r="4054" spans="2:19" ht="15">
      <c r="B4054" s="84"/>
      <c r="D4054" s="84"/>
      <c r="E4054" s="84"/>
      <c r="F4054" s="84"/>
      <c r="G4054" s="84"/>
      <c r="R4054" s="251"/>
      <c r="S4054" s="251"/>
    </row>
    <row r="4055" spans="2:19" ht="15">
      <c r="B4055" s="84"/>
      <c r="D4055" s="84"/>
      <c r="E4055" s="84"/>
      <c r="F4055" s="84"/>
      <c r="G4055" s="84"/>
      <c r="R4055" s="251"/>
      <c r="S4055" s="251"/>
    </row>
    <row r="4056" spans="2:19" ht="15">
      <c r="B4056" s="84"/>
      <c r="D4056" s="84"/>
      <c r="E4056" s="84"/>
      <c r="F4056" s="84"/>
      <c r="G4056" s="84"/>
      <c r="R4056" s="251"/>
      <c r="S4056" s="251"/>
    </row>
    <row r="4057" spans="2:19" ht="15">
      <c r="B4057" s="84"/>
      <c r="D4057" s="84"/>
      <c r="E4057" s="84"/>
      <c r="F4057" s="84"/>
      <c r="G4057" s="84"/>
      <c r="R4057" s="251"/>
      <c r="S4057" s="251"/>
    </row>
    <row r="4058" spans="2:19" ht="15">
      <c r="B4058" s="84"/>
      <c r="D4058" s="84"/>
      <c r="E4058" s="84"/>
      <c r="F4058" s="84"/>
      <c r="G4058" s="84"/>
      <c r="R4058" s="251"/>
      <c r="S4058" s="251"/>
    </row>
    <row r="4059" spans="2:19" ht="15">
      <c r="B4059" s="84"/>
      <c r="D4059" s="84"/>
      <c r="E4059" s="84"/>
      <c r="F4059" s="84"/>
      <c r="G4059" s="84"/>
      <c r="R4059" s="251"/>
      <c r="S4059" s="251"/>
    </row>
    <row r="4060" spans="2:19" ht="15">
      <c r="B4060" s="84"/>
      <c r="D4060" s="84"/>
      <c r="E4060" s="84"/>
      <c r="F4060" s="84"/>
      <c r="G4060" s="84"/>
      <c r="R4060" s="251"/>
      <c r="S4060" s="251"/>
    </row>
    <row r="4061" spans="2:19" ht="15">
      <c r="B4061" s="84"/>
      <c r="D4061" s="84"/>
      <c r="E4061" s="84"/>
      <c r="F4061" s="84"/>
      <c r="G4061" s="84"/>
      <c r="R4061" s="251"/>
      <c r="S4061" s="251"/>
    </row>
    <row r="4062" spans="2:19" ht="15">
      <c r="B4062" s="84"/>
      <c r="D4062" s="84"/>
      <c r="E4062" s="84"/>
      <c r="F4062" s="84"/>
      <c r="G4062" s="84"/>
      <c r="R4062" s="251"/>
      <c r="S4062" s="251"/>
    </row>
    <row r="4063" spans="2:19" ht="15">
      <c r="B4063" s="84"/>
      <c r="D4063" s="84"/>
      <c r="E4063" s="84"/>
      <c r="F4063" s="84"/>
      <c r="G4063" s="84"/>
      <c r="R4063" s="251"/>
      <c r="S4063" s="251"/>
    </row>
    <row r="4064" spans="2:19" ht="15">
      <c r="B4064" s="84"/>
      <c r="D4064" s="84"/>
      <c r="E4064" s="84"/>
      <c r="F4064" s="84"/>
      <c r="G4064" s="84"/>
      <c r="R4064" s="251"/>
      <c r="S4064" s="251"/>
    </row>
    <row r="4065" spans="2:19" ht="15">
      <c r="B4065" s="84"/>
      <c r="D4065" s="84"/>
      <c r="E4065" s="84"/>
      <c r="F4065" s="84"/>
      <c r="G4065" s="84"/>
      <c r="R4065" s="251"/>
      <c r="S4065" s="251"/>
    </row>
    <row r="4066" spans="2:19" ht="15">
      <c r="B4066" s="84"/>
      <c r="D4066" s="84"/>
      <c r="E4066" s="84"/>
      <c r="F4066" s="84"/>
      <c r="G4066" s="84"/>
      <c r="R4066" s="251"/>
      <c r="S4066" s="251"/>
    </row>
    <row r="4067" spans="2:19" ht="15">
      <c r="B4067" s="84"/>
      <c r="D4067" s="84"/>
      <c r="E4067" s="84"/>
      <c r="F4067" s="84"/>
      <c r="G4067" s="84"/>
      <c r="R4067" s="251"/>
      <c r="S4067" s="251"/>
    </row>
    <row r="4068" spans="2:19" ht="15">
      <c r="B4068" s="84"/>
      <c r="D4068" s="84"/>
      <c r="E4068" s="84"/>
      <c r="F4068" s="84"/>
      <c r="G4068" s="84"/>
      <c r="R4068" s="251"/>
      <c r="S4068" s="251"/>
    </row>
    <row r="4069" spans="2:19" ht="15">
      <c r="B4069" s="84"/>
      <c r="D4069" s="84"/>
      <c r="E4069" s="84"/>
      <c r="F4069" s="84"/>
      <c r="G4069" s="84"/>
      <c r="R4069" s="251"/>
      <c r="S4069" s="251"/>
    </row>
    <row r="4070" spans="2:19" ht="15">
      <c r="B4070" s="84"/>
      <c r="D4070" s="84"/>
      <c r="E4070" s="84"/>
      <c r="F4070" s="84"/>
      <c r="G4070" s="84"/>
      <c r="R4070" s="251"/>
      <c r="S4070" s="251"/>
    </row>
    <row r="4071" spans="2:19" ht="15">
      <c r="B4071" s="84"/>
      <c r="D4071" s="84"/>
      <c r="E4071" s="84"/>
      <c r="F4071" s="84"/>
      <c r="G4071" s="84"/>
      <c r="R4071" s="251"/>
      <c r="S4071" s="251"/>
    </row>
    <row r="4072" spans="2:19" ht="15">
      <c r="B4072" s="84"/>
      <c r="D4072" s="84"/>
      <c r="E4072" s="84"/>
      <c r="F4072" s="84"/>
      <c r="G4072" s="84"/>
      <c r="R4072" s="251"/>
      <c r="S4072" s="251"/>
    </row>
    <row r="4073" spans="2:19" ht="15">
      <c r="B4073" s="84"/>
      <c r="D4073" s="84"/>
      <c r="E4073" s="84"/>
      <c r="F4073" s="84"/>
      <c r="G4073" s="84"/>
      <c r="R4073" s="251"/>
      <c r="S4073" s="251"/>
    </row>
    <row r="4074" spans="2:19" ht="15">
      <c r="B4074" s="84"/>
      <c r="D4074" s="84"/>
      <c r="E4074" s="84"/>
      <c r="F4074" s="84"/>
      <c r="G4074" s="84"/>
      <c r="R4074" s="251"/>
      <c r="S4074" s="251"/>
    </row>
    <row r="4075" spans="2:19" ht="15">
      <c r="B4075" s="84"/>
      <c r="D4075" s="84"/>
      <c r="E4075" s="84"/>
      <c r="F4075" s="84"/>
      <c r="G4075" s="84"/>
      <c r="R4075" s="251"/>
      <c r="S4075" s="251"/>
    </row>
    <row r="4076" spans="2:19" ht="15">
      <c r="B4076" s="84"/>
      <c r="D4076" s="84"/>
      <c r="E4076" s="84"/>
      <c r="F4076" s="84"/>
      <c r="G4076" s="84"/>
      <c r="R4076" s="251"/>
      <c r="S4076" s="251"/>
    </row>
    <row r="4077" spans="2:19" ht="15">
      <c r="B4077" s="84"/>
      <c r="D4077" s="84"/>
      <c r="E4077" s="84"/>
      <c r="F4077" s="84"/>
      <c r="G4077" s="84"/>
      <c r="R4077" s="251"/>
      <c r="S4077" s="251"/>
    </row>
    <row r="4078" spans="2:19" ht="15">
      <c r="B4078" s="84"/>
      <c r="D4078" s="84"/>
      <c r="E4078" s="84"/>
      <c r="F4078" s="84"/>
      <c r="G4078" s="84"/>
      <c r="R4078" s="251"/>
      <c r="S4078" s="251"/>
    </row>
    <row r="4079" spans="2:19" ht="15">
      <c r="B4079" s="84"/>
      <c r="D4079" s="84"/>
      <c r="E4079" s="84"/>
      <c r="F4079" s="84"/>
      <c r="G4079" s="84"/>
      <c r="R4079" s="251"/>
      <c r="S4079" s="251"/>
    </row>
    <row r="4080" spans="2:19" ht="15">
      <c r="B4080" s="84"/>
      <c r="D4080" s="84"/>
      <c r="E4080" s="84"/>
      <c r="F4080" s="84"/>
      <c r="G4080" s="84"/>
      <c r="R4080" s="251"/>
      <c r="S4080" s="251"/>
    </row>
    <row r="4081" spans="2:19" ht="15">
      <c r="B4081" s="84"/>
      <c r="D4081" s="84"/>
      <c r="E4081" s="84"/>
      <c r="F4081" s="84"/>
      <c r="G4081" s="84"/>
      <c r="R4081" s="251"/>
      <c r="S4081" s="251"/>
    </row>
    <row r="4082" spans="2:19" ht="15">
      <c r="B4082" s="84"/>
      <c r="D4082" s="84"/>
      <c r="E4082" s="84"/>
      <c r="F4082" s="84"/>
      <c r="G4082" s="84"/>
      <c r="R4082" s="251"/>
      <c r="S4082" s="251"/>
    </row>
    <row r="4083" spans="2:19" ht="15">
      <c r="B4083" s="84"/>
      <c r="D4083" s="84"/>
      <c r="E4083" s="84"/>
      <c r="F4083" s="84"/>
      <c r="G4083" s="84"/>
      <c r="R4083" s="251"/>
      <c r="S4083" s="251"/>
    </row>
    <row r="4084" spans="2:19" ht="15">
      <c r="B4084" s="84"/>
      <c r="D4084" s="84"/>
      <c r="E4084" s="84"/>
      <c r="F4084" s="84"/>
      <c r="G4084" s="84"/>
      <c r="R4084" s="251"/>
      <c r="S4084" s="251"/>
    </row>
    <row r="4085" spans="2:19" ht="15">
      <c r="B4085" s="84"/>
      <c r="D4085" s="84"/>
      <c r="E4085" s="84"/>
      <c r="F4085" s="84"/>
      <c r="G4085" s="84"/>
      <c r="R4085" s="251"/>
      <c r="S4085" s="251"/>
    </row>
    <row r="4086" spans="2:19" ht="15">
      <c r="B4086" s="84"/>
      <c r="D4086" s="84"/>
      <c r="E4086" s="84"/>
      <c r="F4086" s="84"/>
      <c r="G4086" s="84"/>
      <c r="R4086" s="251"/>
      <c r="S4086" s="251"/>
    </row>
    <row r="4087" spans="2:19" ht="15">
      <c r="B4087" s="84"/>
      <c r="D4087" s="84"/>
      <c r="E4087" s="84"/>
      <c r="F4087" s="84"/>
      <c r="G4087" s="84"/>
      <c r="R4087" s="251"/>
      <c r="S4087" s="251"/>
    </row>
    <row r="4088" spans="2:19" ht="15">
      <c r="B4088" s="84"/>
      <c r="D4088" s="84"/>
      <c r="E4088" s="84"/>
      <c r="F4088" s="84"/>
      <c r="G4088" s="84"/>
      <c r="R4088" s="251"/>
      <c r="S4088" s="251"/>
    </row>
    <row r="4089" spans="2:19" ht="15">
      <c r="B4089" s="84"/>
      <c r="D4089" s="84"/>
      <c r="E4089" s="84"/>
      <c r="F4089" s="84"/>
      <c r="G4089" s="84"/>
      <c r="R4089" s="251"/>
      <c r="S4089" s="251"/>
    </row>
    <row r="4090" spans="2:19" ht="15">
      <c r="B4090" s="84"/>
      <c r="D4090" s="84"/>
      <c r="E4090" s="84"/>
      <c r="F4090" s="84"/>
      <c r="G4090" s="84"/>
      <c r="R4090" s="251"/>
      <c r="S4090" s="251"/>
    </row>
    <row r="4091" spans="2:19" ht="15">
      <c r="B4091" s="84"/>
      <c r="D4091" s="84"/>
      <c r="E4091" s="84"/>
      <c r="F4091" s="84"/>
      <c r="G4091" s="84"/>
      <c r="R4091" s="251"/>
      <c r="S4091" s="251"/>
    </row>
    <row r="4092" spans="2:19" ht="15">
      <c r="B4092" s="84"/>
      <c r="D4092" s="84"/>
      <c r="E4092" s="84"/>
      <c r="F4092" s="84"/>
      <c r="G4092" s="84"/>
      <c r="R4092" s="251"/>
      <c r="S4092" s="251"/>
    </row>
    <row r="4093" spans="2:19" ht="15">
      <c r="B4093" s="84"/>
      <c r="D4093" s="84"/>
      <c r="E4093" s="84"/>
      <c r="F4093" s="84"/>
      <c r="G4093" s="84"/>
      <c r="R4093" s="251"/>
      <c r="S4093" s="251"/>
    </row>
    <row r="4094" spans="2:19" ht="15">
      <c r="B4094" s="84"/>
      <c r="D4094" s="84"/>
      <c r="E4094" s="84"/>
      <c r="F4094" s="84"/>
      <c r="G4094" s="84"/>
      <c r="R4094" s="251"/>
      <c r="S4094" s="251"/>
    </row>
    <row r="4095" spans="2:19" ht="15">
      <c r="B4095" s="84"/>
      <c r="D4095" s="84"/>
      <c r="E4095" s="84"/>
      <c r="F4095" s="84"/>
      <c r="G4095" s="84"/>
      <c r="R4095" s="251"/>
      <c r="S4095" s="251"/>
    </row>
    <row r="4096" spans="2:19" ht="15">
      <c r="B4096" s="84"/>
      <c r="D4096" s="84"/>
      <c r="E4096" s="84"/>
      <c r="F4096" s="84"/>
      <c r="G4096" s="84"/>
      <c r="R4096" s="251"/>
      <c r="S4096" s="251"/>
    </row>
    <row r="4097" spans="2:19" ht="15">
      <c r="B4097" s="84"/>
      <c r="D4097" s="84"/>
      <c r="E4097" s="84"/>
      <c r="F4097" s="84"/>
      <c r="G4097" s="84"/>
      <c r="R4097" s="251"/>
      <c r="S4097" s="251"/>
    </row>
    <row r="4098" spans="2:19" ht="15">
      <c r="B4098" s="84"/>
      <c r="D4098" s="84"/>
      <c r="E4098" s="84"/>
      <c r="F4098" s="84"/>
      <c r="G4098" s="84"/>
      <c r="R4098" s="251"/>
      <c r="S4098" s="251"/>
    </row>
    <row r="4099" spans="2:19" ht="15">
      <c r="B4099" s="84"/>
      <c r="D4099" s="84"/>
      <c r="E4099" s="84"/>
      <c r="F4099" s="84"/>
      <c r="G4099" s="84"/>
      <c r="R4099" s="251"/>
      <c r="S4099" s="251"/>
    </row>
    <row r="4100" spans="2:19" ht="15">
      <c r="B4100" s="84"/>
      <c r="D4100" s="84"/>
      <c r="E4100" s="84"/>
      <c r="F4100" s="84"/>
      <c r="G4100" s="84"/>
      <c r="R4100" s="251"/>
      <c r="S4100" s="251"/>
    </row>
    <row r="4101" spans="2:19" ht="15">
      <c r="B4101" s="84"/>
      <c r="D4101" s="84"/>
      <c r="E4101" s="84"/>
      <c r="F4101" s="84"/>
      <c r="G4101" s="84"/>
      <c r="R4101" s="251"/>
      <c r="S4101" s="251"/>
    </row>
    <row r="4102" spans="2:19" ht="15">
      <c r="B4102" s="84"/>
      <c r="D4102" s="84"/>
      <c r="E4102" s="84"/>
      <c r="F4102" s="84"/>
      <c r="G4102" s="84"/>
      <c r="R4102" s="251"/>
      <c r="S4102" s="251"/>
    </row>
    <row r="4103" spans="2:19" ht="15">
      <c r="B4103" s="84"/>
      <c r="D4103" s="84"/>
      <c r="E4103" s="84"/>
      <c r="F4103" s="84"/>
      <c r="G4103" s="84"/>
      <c r="R4103" s="251"/>
      <c r="S4103" s="251"/>
    </row>
    <row r="4104" spans="2:19" ht="15">
      <c r="B4104" s="84"/>
      <c r="D4104" s="84"/>
      <c r="E4104" s="84"/>
      <c r="F4104" s="84"/>
      <c r="G4104" s="84"/>
      <c r="R4104" s="251"/>
      <c r="S4104" s="251"/>
    </row>
    <row r="4105" spans="2:19" ht="15">
      <c r="B4105" s="84"/>
      <c r="D4105" s="84"/>
      <c r="E4105" s="84"/>
      <c r="F4105" s="84"/>
      <c r="G4105" s="84"/>
      <c r="R4105" s="251"/>
      <c r="S4105" s="251"/>
    </row>
    <row r="4106" spans="2:19" ht="15">
      <c r="B4106" s="84"/>
      <c r="D4106" s="84"/>
      <c r="E4106" s="84"/>
      <c r="F4106" s="84"/>
      <c r="G4106" s="84"/>
      <c r="R4106" s="251"/>
      <c r="S4106" s="251"/>
    </row>
    <row r="4107" spans="2:19" ht="15">
      <c r="B4107" s="84"/>
      <c r="D4107" s="84"/>
      <c r="E4107" s="84"/>
      <c r="F4107" s="84"/>
      <c r="G4107" s="84"/>
      <c r="R4107" s="251"/>
      <c r="S4107" s="251"/>
    </row>
    <row r="4108" spans="2:19" ht="15">
      <c r="B4108" s="84"/>
      <c r="D4108" s="84"/>
      <c r="E4108" s="84"/>
      <c r="F4108" s="84"/>
      <c r="G4108" s="84"/>
      <c r="R4108" s="251"/>
      <c r="S4108" s="251"/>
    </row>
    <row r="4109" spans="2:19" ht="15">
      <c r="B4109" s="84"/>
      <c r="D4109" s="84"/>
      <c r="E4109" s="84"/>
      <c r="F4109" s="84"/>
      <c r="G4109" s="84"/>
      <c r="R4109" s="251"/>
      <c r="S4109" s="251"/>
    </row>
    <row r="4110" spans="2:19" ht="15">
      <c r="B4110" s="84"/>
      <c r="D4110" s="84"/>
      <c r="E4110" s="84"/>
      <c r="F4110" s="84"/>
      <c r="G4110" s="84"/>
      <c r="R4110" s="251"/>
      <c r="S4110" s="251"/>
    </row>
    <row r="4111" spans="2:19" ht="15">
      <c r="B4111" s="84"/>
      <c r="D4111" s="84"/>
      <c r="E4111" s="84"/>
      <c r="F4111" s="84"/>
      <c r="G4111" s="84"/>
      <c r="R4111" s="251"/>
      <c r="S4111" s="251"/>
    </row>
    <row r="4112" spans="2:19" ht="15">
      <c r="B4112" s="84"/>
      <c r="D4112" s="84"/>
      <c r="E4112" s="84"/>
      <c r="F4112" s="84"/>
      <c r="G4112" s="84"/>
      <c r="R4112" s="251"/>
      <c r="S4112" s="251"/>
    </row>
    <row r="4113" spans="2:19" ht="15">
      <c r="B4113" s="84"/>
      <c r="D4113" s="84"/>
      <c r="E4113" s="84"/>
      <c r="F4113" s="84"/>
      <c r="G4113" s="84"/>
      <c r="R4113" s="251"/>
      <c r="S4113" s="251"/>
    </row>
    <row r="4114" spans="2:19" ht="15">
      <c r="B4114" s="84"/>
      <c r="D4114" s="84"/>
      <c r="E4114" s="84"/>
      <c r="F4114" s="84"/>
      <c r="G4114" s="84"/>
      <c r="R4114" s="251"/>
      <c r="S4114" s="251"/>
    </row>
    <row r="4115" spans="2:19" ht="15">
      <c r="B4115" s="84"/>
      <c r="D4115" s="84"/>
      <c r="E4115" s="84"/>
      <c r="F4115" s="84"/>
      <c r="G4115" s="84"/>
      <c r="R4115" s="251"/>
      <c r="S4115" s="251"/>
    </row>
    <row r="4116" spans="2:19" ht="15">
      <c r="B4116" s="84"/>
      <c r="D4116" s="84"/>
      <c r="E4116" s="84"/>
      <c r="F4116" s="84"/>
      <c r="G4116" s="84"/>
      <c r="R4116" s="251"/>
      <c r="S4116" s="251"/>
    </row>
    <row r="4117" spans="2:19" ht="15">
      <c r="B4117" s="84"/>
      <c r="D4117" s="84"/>
      <c r="E4117" s="84"/>
      <c r="F4117" s="84"/>
      <c r="G4117" s="84"/>
      <c r="R4117" s="251"/>
      <c r="S4117" s="251"/>
    </row>
    <row r="4118" spans="2:19" ht="15">
      <c r="B4118" s="84"/>
      <c r="D4118" s="84"/>
      <c r="E4118" s="84"/>
      <c r="F4118" s="84"/>
      <c r="G4118" s="84"/>
      <c r="R4118" s="251"/>
      <c r="S4118" s="251"/>
    </row>
    <row r="4119" spans="2:19" ht="15">
      <c r="B4119" s="84"/>
      <c r="D4119" s="84"/>
      <c r="E4119" s="84"/>
      <c r="F4119" s="84"/>
      <c r="G4119" s="84"/>
      <c r="R4119" s="251"/>
      <c r="S4119" s="251"/>
    </row>
    <row r="4120" spans="2:19" ht="15">
      <c r="B4120" s="84"/>
      <c r="D4120" s="84"/>
      <c r="E4120" s="84"/>
      <c r="F4120" s="84"/>
      <c r="G4120" s="84"/>
      <c r="R4120" s="251"/>
      <c r="S4120" s="251"/>
    </row>
    <row r="4121" spans="2:19" ht="15">
      <c r="B4121" s="84"/>
      <c r="D4121" s="84"/>
      <c r="E4121" s="84"/>
      <c r="F4121" s="84"/>
      <c r="G4121" s="84"/>
      <c r="R4121" s="251"/>
      <c r="S4121" s="251"/>
    </row>
    <row r="4122" spans="2:19" ht="15">
      <c r="B4122" s="84"/>
      <c r="D4122" s="84"/>
      <c r="E4122" s="84"/>
      <c r="F4122" s="84"/>
      <c r="G4122" s="84"/>
      <c r="R4122" s="251"/>
      <c r="S4122" s="251"/>
    </row>
    <row r="4123" spans="2:19" ht="15">
      <c r="B4123" s="84"/>
      <c r="D4123" s="84"/>
      <c r="E4123" s="84"/>
      <c r="F4123" s="84"/>
      <c r="G4123" s="84"/>
      <c r="R4123" s="251"/>
      <c r="S4123" s="251"/>
    </row>
    <row r="4124" spans="2:19" ht="15">
      <c r="B4124" s="84"/>
      <c r="D4124" s="84"/>
      <c r="E4124" s="84"/>
      <c r="F4124" s="84"/>
      <c r="G4124" s="84"/>
      <c r="R4124" s="251"/>
      <c r="S4124" s="251"/>
    </row>
    <row r="4125" spans="2:19" ht="15">
      <c r="B4125" s="84"/>
      <c r="D4125" s="84"/>
      <c r="E4125" s="84"/>
      <c r="F4125" s="84"/>
      <c r="G4125" s="84"/>
      <c r="R4125" s="251"/>
      <c r="S4125" s="251"/>
    </row>
    <row r="4126" spans="2:19" ht="15">
      <c r="B4126" s="84"/>
      <c r="D4126" s="84"/>
      <c r="E4126" s="84"/>
      <c r="F4126" s="84"/>
      <c r="G4126" s="84"/>
      <c r="R4126" s="251"/>
      <c r="S4126" s="251"/>
    </row>
    <row r="4127" spans="2:19" ht="15">
      <c r="B4127" s="84"/>
      <c r="D4127" s="84"/>
      <c r="E4127" s="84"/>
      <c r="F4127" s="84"/>
      <c r="G4127" s="84"/>
      <c r="R4127" s="251"/>
      <c r="S4127" s="251"/>
    </row>
    <row r="4128" spans="2:19" ht="15">
      <c r="B4128" s="84"/>
      <c r="D4128" s="84"/>
      <c r="E4128" s="84"/>
      <c r="F4128" s="84"/>
      <c r="G4128" s="84"/>
      <c r="R4128" s="251"/>
      <c r="S4128" s="251"/>
    </row>
    <row r="4129" spans="2:19" ht="15">
      <c r="B4129" s="84"/>
      <c r="D4129" s="84"/>
      <c r="E4129" s="84"/>
      <c r="F4129" s="84"/>
      <c r="G4129" s="84"/>
      <c r="R4129" s="251"/>
      <c r="S4129" s="251"/>
    </row>
    <row r="4130" spans="2:19" ht="15">
      <c r="B4130" s="84"/>
      <c r="D4130" s="84"/>
      <c r="E4130" s="84"/>
      <c r="F4130" s="84"/>
      <c r="G4130" s="84"/>
      <c r="R4130" s="251"/>
      <c r="S4130" s="251"/>
    </row>
    <row r="4131" spans="2:19" ht="15">
      <c r="B4131" s="84"/>
      <c r="D4131" s="84"/>
      <c r="E4131" s="84"/>
      <c r="F4131" s="84"/>
      <c r="G4131" s="84"/>
      <c r="R4131" s="251"/>
      <c r="S4131" s="251"/>
    </row>
    <row r="4132" spans="2:19" ht="15">
      <c r="B4132" s="84"/>
      <c r="D4132" s="84"/>
      <c r="E4132" s="84"/>
      <c r="F4132" s="84"/>
      <c r="G4132" s="84"/>
      <c r="R4132" s="251"/>
      <c r="S4132" s="251"/>
    </row>
    <row r="4133" spans="2:19" ht="15">
      <c r="B4133" s="84"/>
      <c r="D4133" s="84"/>
      <c r="E4133" s="84"/>
      <c r="F4133" s="84"/>
      <c r="G4133" s="84"/>
      <c r="R4133" s="251"/>
      <c r="S4133" s="251"/>
    </row>
    <row r="4134" spans="2:19" ht="15">
      <c r="B4134" s="84"/>
      <c r="D4134" s="84"/>
      <c r="E4134" s="84"/>
      <c r="F4134" s="84"/>
      <c r="G4134" s="84"/>
      <c r="R4134" s="251"/>
      <c r="S4134" s="251"/>
    </row>
    <row r="4135" spans="2:19" ht="15">
      <c r="B4135" s="84"/>
      <c r="D4135" s="84"/>
      <c r="E4135" s="84"/>
      <c r="F4135" s="84"/>
      <c r="G4135" s="84"/>
      <c r="R4135" s="251"/>
      <c r="S4135" s="251"/>
    </row>
    <row r="4136" spans="2:19" ht="15">
      <c r="B4136" s="84"/>
      <c r="D4136" s="84"/>
      <c r="E4136" s="84"/>
      <c r="F4136" s="84"/>
      <c r="G4136" s="84"/>
      <c r="R4136" s="251"/>
      <c r="S4136" s="251"/>
    </row>
    <row r="4137" spans="2:19" ht="15">
      <c r="B4137" s="84"/>
      <c r="D4137" s="84"/>
      <c r="E4137" s="84"/>
      <c r="F4137" s="84"/>
      <c r="G4137" s="84"/>
      <c r="R4137" s="251"/>
      <c r="S4137" s="251"/>
    </row>
    <row r="4138" spans="2:19" ht="15">
      <c r="B4138" s="84"/>
      <c r="D4138" s="84"/>
      <c r="E4138" s="84"/>
      <c r="F4138" s="84"/>
      <c r="G4138" s="84"/>
      <c r="R4138" s="251"/>
      <c r="S4138" s="251"/>
    </row>
    <row r="4139" spans="2:19" ht="15">
      <c r="B4139" s="84"/>
      <c r="D4139" s="84"/>
      <c r="E4139" s="84"/>
      <c r="F4139" s="84"/>
      <c r="G4139" s="84"/>
      <c r="R4139" s="251"/>
      <c r="S4139" s="251"/>
    </row>
    <row r="4140" spans="2:19" ht="15">
      <c r="B4140" s="84"/>
      <c r="D4140" s="84"/>
      <c r="E4140" s="84"/>
      <c r="F4140" s="84"/>
      <c r="G4140" s="84"/>
      <c r="R4140" s="251"/>
      <c r="S4140" s="251"/>
    </row>
    <row r="4141" spans="2:19" ht="15">
      <c r="B4141" s="84"/>
      <c r="D4141" s="84"/>
      <c r="E4141" s="84"/>
      <c r="F4141" s="84"/>
      <c r="G4141" s="84"/>
      <c r="R4141" s="251"/>
      <c r="S4141" s="251"/>
    </row>
    <row r="4142" spans="2:19" ht="15">
      <c r="B4142" s="84"/>
      <c r="D4142" s="84"/>
      <c r="E4142" s="84"/>
      <c r="F4142" s="84"/>
      <c r="G4142" s="84"/>
      <c r="R4142" s="251"/>
      <c r="S4142" s="251"/>
    </row>
    <row r="4143" spans="2:19" ht="15">
      <c r="B4143" s="84"/>
      <c r="D4143" s="84"/>
      <c r="E4143" s="84"/>
      <c r="F4143" s="84"/>
      <c r="G4143" s="84"/>
      <c r="R4143" s="251"/>
      <c r="S4143" s="251"/>
    </row>
    <row r="4144" spans="2:19" ht="15">
      <c r="B4144" s="84"/>
      <c r="D4144" s="84"/>
      <c r="E4144" s="84"/>
      <c r="F4144" s="84"/>
      <c r="G4144" s="84"/>
      <c r="R4144" s="251"/>
      <c r="S4144" s="251"/>
    </row>
    <row r="4145" spans="2:19" ht="15">
      <c r="B4145" s="84"/>
      <c r="D4145" s="84"/>
      <c r="E4145" s="84"/>
      <c r="F4145" s="84"/>
      <c r="G4145" s="84"/>
      <c r="R4145" s="251"/>
      <c r="S4145" s="251"/>
    </row>
    <row r="4146" spans="2:19" ht="15">
      <c r="B4146" s="84"/>
      <c r="D4146" s="84"/>
      <c r="E4146" s="84"/>
      <c r="F4146" s="84"/>
      <c r="G4146" s="84"/>
      <c r="R4146" s="251"/>
      <c r="S4146" s="251"/>
    </row>
    <row r="4147" spans="2:19" ht="15">
      <c r="B4147" s="84"/>
      <c r="D4147" s="84"/>
      <c r="E4147" s="84"/>
      <c r="F4147" s="84"/>
      <c r="G4147" s="84"/>
      <c r="R4147" s="251"/>
      <c r="S4147" s="251"/>
    </row>
    <row r="4148" spans="2:19" ht="15">
      <c r="B4148" s="84"/>
      <c r="D4148" s="84"/>
      <c r="E4148" s="84"/>
      <c r="F4148" s="84"/>
      <c r="G4148" s="84"/>
      <c r="R4148" s="251"/>
      <c r="S4148" s="251"/>
    </row>
    <row r="4149" spans="2:19" ht="15">
      <c r="B4149" s="84"/>
      <c r="D4149" s="84"/>
      <c r="E4149" s="84"/>
      <c r="F4149" s="84"/>
      <c r="G4149" s="84"/>
      <c r="R4149" s="251"/>
      <c r="S4149" s="251"/>
    </row>
    <row r="4150" spans="2:19" ht="15">
      <c r="B4150" s="84"/>
      <c r="D4150" s="84"/>
      <c r="E4150" s="84"/>
      <c r="F4150" s="84"/>
      <c r="G4150" s="84"/>
      <c r="R4150" s="251"/>
      <c r="S4150" s="251"/>
    </row>
    <row r="4151" spans="2:19" ht="15">
      <c r="B4151" s="84"/>
      <c r="D4151" s="84"/>
      <c r="E4151" s="84"/>
      <c r="F4151" s="84"/>
      <c r="G4151" s="84"/>
      <c r="R4151" s="251"/>
      <c r="S4151" s="251"/>
    </row>
    <row r="4152" spans="2:19" ht="15">
      <c r="B4152" s="84"/>
      <c r="D4152" s="84"/>
      <c r="E4152" s="84"/>
      <c r="F4152" s="84"/>
      <c r="G4152" s="84"/>
      <c r="R4152" s="251"/>
      <c r="S4152" s="251"/>
    </row>
    <row r="4153" spans="2:19" ht="15">
      <c r="B4153" s="84"/>
      <c r="D4153" s="84"/>
      <c r="E4153" s="84"/>
      <c r="F4153" s="84"/>
      <c r="G4153" s="84"/>
      <c r="R4153" s="251"/>
      <c r="S4153" s="251"/>
    </row>
    <row r="4154" spans="2:19" ht="15">
      <c r="B4154" s="84"/>
      <c r="D4154" s="84"/>
      <c r="E4154" s="84"/>
      <c r="F4154" s="84"/>
      <c r="G4154" s="84"/>
      <c r="R4154" s="251"/>
      <c r="S4154" s="251"/>
    </row>
    <row r="4155" spans="2:19" ht="15">
      <c r="B4155" s="84"/>
      <c r="D4155" s="84"/>
      <c r="E4155" s="84"/>
      <c r="F4155" s="84"/>
      <c r="G4155" s="84"/>
      <c r="R4155" s="251"/>
      <c r="S4155" s="251"/>
    </row>
    <row r="4156" spans="2:19" ht="15">
      <c r="B4156" s="84"/>
      <c r="D4156" s="84"/>
      <c r="E4156" s="84"/>
      <c r="F4156" s="84"/>
      <c r="G4156" s="84"/>
      <c r="R4156" s="251"/>
      <c r="S4156" s="251"/>
    </row>
    <row r="4157" spans="2:19" ht="15">
      <c r="B4157" s="84"/>
      <c r="D4157" s="84"/>
      <c r="E4157" s="84"/>
      <c r="F4157" s="84"/>
      <c r="G4157" s="84"/>
      <c r="R4157" s="251"/>
      <c r="S4157" s="251"/>
    </row>
    <row r="4158" spans="2:19" ht="15">
      <c r="B4158" s="84"/>
      <c r="D4158" s="84"/>
      <c r="E4158" s="84"/>
      <c r="F4158" s="84"/>
      <c r="G4158" s="84"/>
      <c r="R4158" s="251"/>
      <c r="S4158" s="251"/>
    </row>
    <row r="4159" spans="2:19" ht="15">
      <c r="B4159" s="84"/>
      <c r="D4159" s="84"/>
      <c r="E4159" s="84"/>
      <c r="F4159" s="84"/>
      <c r="G4159" s="84"/>
      <c r="R4159" s="251"/>
      <c r="S4159" s="251"/>
    </row>
    <row r="4160" spans="2:19" ht="15">
      <c r="B4160" s="84"/>
      <c r="D4160" s="84"/>
      <c r="E4160" s="84"/>
      <c r="F4160" s="84"/>
      <c r="G4160" s="84"/>
      <c r="R4160" s="251"/>
      <c r="S4160" s="251"/>
    </row>
    <row r="4161" spans="2:19" ht="15">
      <c r="B4161" s="84"/>
      <c r="D4161" s="84"/>
      <c r="E4161" s="84"/>
      <c r="F4161" s="84"/>
      <c r="G4161" s="84"/>
      <c r="R4161" s="251"/>
      <c r="S4161" s="251"/>
    </row>
    <row r="4162" spans="2:19" ht="15">
      <c r="B4162" s="84"/>
      <c r="D4162" s="84"/>
      <c r="E4162" s="84"/>
      <c r="F4162" s="84"/>
      <c r="G4162" s="84"/>
      <c r="R4162" s="251"/>
      <c r="S4162" s="251"/>
    </row>
    <row r="4163" spans="2:19" ht="15">
      <c r="B4163" s="84"/>
      <c r="D4163" s="84"/>
      <c r="E4163" s="84"/>
      <c r="F4163" s="84"/>
      <c r="G4163" s="84"/>
      <c r="R4163" s="251"/>
      <c r="S4163" s="251"/>
    </row>
    <row r="4164" spans="2:19" ht="15">
      <c r="B4164" s="84"/>
      <c r="D4164" s="84"/>
      <c r="E4164" s="84"/>
      <c r="F4164" s="84"/>
      <c r="G4164" s="84"/>
      <c r="R4164" s="251"/>
      <c r="S4164" s="251"/>
    </row>
    <row r="4165" spans="2:19" ht="15">
      <c r="B4165" s="84"/>
      <c r="D4165" s="84"/>
      <c r="E4165" s="84"/>
      <c r="F4165" s="84"/>
      <c r="G4165" s="84"/>
      <c r="R4165" s="251"/>
      <c r="S4165" s="251"/>
    </row>
    <row r="4166" spans="2:19" ht="15">
      <c r="B4166" s="84"/>
      <c r="D4166" s="84"/>
      <c r="E4166" s="84"/>
      <c r="F4166" s="84"/>
      <c r="G4166" s="84"/>
      <c r="R4166" s="251"/>
      <c r="S4166" s="251"/>
    </row>
    <row r="4167" spans="2:19" ht="15">
      <c r="B4167" s="84"/>
      <c r="D4167" s="84"/>
      <c r="E4167" s="84"/>
      <c r="F4167" s="84"/>
      <c r="G4167" s="84"/>
      <c r="R4167" s="251"/>
      <c r="S4167" s="251"/>
    </row>
    <row r="4168" spans="2:19" ht="15">
      <c r="B4168" s="84"/>
      <c r="D4168" s="84"/>
      <c r="E4168" s="84"/>
      <c r="F4168" s="84"/>
      <c r="G4168" s="84"/>
      <c r="R4168" s="251"/>
      <c r="S4168" s="251"/>
    </row>
    <row r="4169" spans="2:19" ht="15">
      <c r="B4169" s="84"/>
      <c r="D4169" s="84"/>
      <c r="E4169" s="84"/>
      <c r="F4169" s="84"/>
      <c r="G4169" s="84"/>
      <c r="R4169" s="251"/>
      <c r="S4169" s="251"/>
    </row>
    <row r="4170" spans="2:19" ht="15">
      <c r="B4170" s="84"/>
      <c r="D4170" s="84"/>
      <c r="E4170" s="84"/>
      <c r="F4170" s="84"/>
      <c r="G4170" s="84"/>
      <c r="R4170" s="251"/>
      <c r="S4170" s="251"/>
    </row>
    <row r="4171" spans="2:19" ht="15">
      <c r="B4171" s="84"/>
      <c r="D4171" s="84"/>
      <c r="E4171" s="84"/>
      <c r="F4171" s="84"/>
      <c r="G4171" s="84"/>
      <c r="R4171" s="251"/>
      <c r="S4171" s="251"/>
    </row>
    <row r="4172" spans="2:19" ht="15">
      <c r="B4172" s="84"/>
      <c r="D4172" s="84"/>
      <c r="E4172" s="84"/>
      <c r="F4172" s="84"/>
      <c r="G4172" s="84"/>
      <c r="R4172" s="251"/>
      <c r="S4172" s="251"/>
    </row>
    <row r="4173" spans="2:19" ht="15">
      <c r="B4173" s="84"/>
      <c r="D4173" s="84"/>
      <c r="E4173" s="84"/>
      <c r="F4173" s="84"/>
      <c r="G4173" s="84"/>
      <c r="R4173" s="251"/>
      <c r="S4173" s="251"/>
    </row>
    <row r="4174" spans="2:19" ht="15">
      <c r="B4174" s="84"/>
      <c r="D4174" s="84"/>
      <c r="E4174" s="84"/>
      <c r="F4174" s="84"/>
      <c r="G4174" s="84"/>
      <c r="R4174" s="251"/>
      <c r="S4174" s="251"/>
    </row>
    <row r="4175" spans="2:19" ht="15">
      <c r="B4175" s="84"/>
      <c r="D4175" s="84"/>
      <c r="E4175" s="84"/>
      <c r="F4175" s="84"/>
      <c r="G4175" s="84"/>
      <c r="R4175" s="251"/>
      <c r="S4175" s="251"/>
    </row>
    <row r="4176" spans="2:19" ht="15">
      <c r="B4176" s="84"/>
      <c r="D4176" s="84"/>
      <c r="E4176" s="84"/>
      <c r="F4176" s="84"/>
      <c r="G4176" s="84"/>
      <c r="R4176" s="251"/>
      <c r="S4176" s="251"/>
    </row>
    <row r="4177" spans="2:19" ht="15">
      <c r="B4177" s="84"/>
      <c r="D4177" s="84"/>
      <c r="E4177" s="84"/>
      <c r="F4177" s="84"/>
      <c r="G4177" s="84"/>
      <c r="R4177" s="251"/>
      <c r="S4177" s="251"/>
    </row>
    <row r="4178" spans="2:19" ht="15">
      <c r="B4178" s="84"/>
      <c r="D4178" s="84"/>
      <c r="E4178" s="84"/>
      <c r="F4178" s="84"/>
      <c r="G4178" s="84"/>
      <c r="R4178" s="251"/>
      <c r="S4178" s="251"/>
    </row>
    <row r="4179" spans="2:19" ht="15">
      <c r="B4179" s="84"/>
      <c r="D4179" s="84"/>
      <c r="E4179" s="84"/>
      <c r="F4179" s="84"/>
      <c r="G4179" s="84"/>
      <c r="R4179" s="251"/>
      <c r="S4179" s="251"/>
    </row>
    <row r="4180" spans="2:19" ht="15">
      <c r="B4180" s="84"/>
      <c r="D4180" s="84"/>
      <c r="E4180" s="84"/>
      <c r="F4180" s="84"/>
      <c r="G4180" s="84"/>
      <c r="R4180" s="251"/>
      <c r="S4180" s="251"/>
    </row>
    <row r="4181" spans="2:19" ht="15">
      <c r="B4181" s="84"/>
      <c r="D4181" s="84"/>
      <c r="E4181" s="84"/>
      <c r="F4181" s="84"/>
      <c r="G4181" s="84"/>
      <c r="R4181" s="251"/>
      <c r="S4181" s="251"/>
    </row>
    <row r="4182" spans="2:19" ht="15">
      <c r="B4182" s="84"/>
      <c r="D4182" s="84"/>
      <c r="E4182" s="84"/>
      <c r="F4182" s="84"/>
      <c r="G4182" s="84"/>
      <c r="R4182" s="251"/>
      <c r="S4182" s="251"/>
    </row>
    <row r="4183" spans="2:19" ht="15">
      <c r="B4183" s="84"/>
      <c r="D4183" s="84"/>
      <c r="E4183" s="84"/>
      <c r="F4183" s="84"/>
      <c r="G4183" s="84"/>
      <c r="R4183" s="251"/>
      <c r="S4183" s="251"/>
    </row>
    <row r="4184" spans="2:19" ht="15">
      <c r="B4184" s="84"/>
      <c r="D4184" s="84"/>
      <c r="E4184" s="84"/>
      <c r="F4184" s="84"/>
      <c r="G4184" s="84"/>
      <c r="R4184" s="251"/>
      <c r="S4184" s="251"/>
    </row>
    <row r="4185" spans="2:19" ht="15">
      <c r="B4185" s="84"/>
      <c r="D4185" s="84"/>
      <c r="E4185" s="84"/>
      <c r="F4185" s="84"/>
      <c r="G4185" s="84"/>
      <c r="R4185" s="251"/>
      <c r="S4185" s="251"/>
    </row>
    <row r="4186" spans="2:19" ht="15">
      <c r="B4186" s="84"/>
      <c r="D4186" s="84"/>
      <c r="E4186" s="84"/>
      <c r="F4186" s="84"/>
      <c r="G4186" s="84"/>
      <c r="R4186" s="251"/>
      <c r="S4186" s="251"/>
    </row>
    <row r="4187" spans="2:19" ht="15">
      <c r="B4187" s="84"/>
      <c r="D4187" s="84"/>
      <c r="E4187" s="84"/>
      <c r="F4187" s="84"/>
      <c r="G4187" s="84"/>
      <c r="R4187" s="251"/>
      <c r="S4187" s="251"/>
    </row>
    <row r="4188" spans="2:19" ht="15">
      <c r="B4188" s="84"/>
      <c r="D4188" s="84"/>
      <c r="E4188" s="84"/>
      <c r="F4188" s="84"/>
      <c r="G4188" s="84"/>
      <c r="R4188" s="251"/>
      <c r="S4188" s="251"/>
    </row>
    <row r="4189" spans="2:19" ht="15">
      <c r="B4189" s="84"/>
      <c r="D4189" s="84"/>
      <c r="E4189" s="84"/>
      <c r="F4189" s="84"/>
      <c r="G4189" s="84"/>
      <c r="R4189" s="251"/>
      <c r="S4189" s="251"/>
    </row>
    <row r="4190" spans="2:19" ht="15">
      <c r="B4190" s="84"/>
      <c r="D4190" s="84"/>
      <c r="E4190" s="84"/>
      <c r="F4190" s="84"/>
      <c r="G4190" s="84"/>
      <c r="R4190" s="251"/>
      <c r="S4190" s="251"/>
    </row>
    <row r="4191" spans="2:19" ht="15">
      <c r="B4191" s="84"/>
      <c r="D4191" s="84"/>
      <c r="E4191" s="84"/>
      <c r="F4191" s="84"/>
      <c r="G4191" s="84"/>
      <c r="R4191" s="251"/>
      <c r="S4191" s="251"/>
    </row>
    <row r="4192" spans="2:19" ht="15">
      <c r="B4192" s="84"/>
      <c r="D4192" s="84"/>
      <c r="E4192" s="84"/>
      <c r="F4192" s="84"/>
      <c r="G4192" s="84"/>
      <c r="R4192" s="251"/>
      <c r="S4192" s="251"/>
    </row>
    <row r="4193" spans="2:19" ht="15">
      <c r="B4193" s="84"/>
      <c r="D4193" s="84"/>
      <c r="E4193" s="84"/>
      <c r="F4193" s="84"/>
      <c r="G4193" s="84"/>
      <c r="R4193" s="251"/>
      <c r="S4193" s="251"/>
    </row>
    <row r="4194" spans="2:19" ht="15">
      <c r="B4194" s="84"/>
      <c r="D4194" s="84"/>
      <c r="E4194" s="84"/>
      <c r="F4194" s="84"/>
      <c r="G4194" s="84"/>
      <c r="R4194" s="251"/>
      <c r="S4194" s="251"/>
    </row>
    <row r="4195" spans="2:19" ht="15">
      <c r="B4195" s="84"/>
      <c r="D4195" s="84"/>
      <c r="E4195" s="84"/>
      <c r="F4195" s="84"/>
      <c r="G4195" s="84"/>
      <c r="R4195" s="251"/>
      <c r="S4195" s="251"/>
    </row>
    <row r="4196" spans="2:19" ht="15">
      <c r="B4196" s="84"/>
      <c r="D4196" s="84"/>
      <c r="E4196" s="84"/>
      <c r="F4196" s="84"/>
      <c r="G4196" s="84"/>
      <c r="R4196" s="251"/>
      <c r="S4196" s="251"/>
    </row>
    <row r="4197" spans="2:19" ht="15">
      <c r="B4197" s="84"/>
      <c r="D4197" s="84"/>
      <c r="E4197" s="84"/>
      <c r="F4197" s="84"/>
      <c r="G4197" s="84"/>
      <c r="R4197" s="251"/>
      <c r="S4197" s="251"/>
    </row>
    <row r="4198" spans="2:19" ht="15">
      <c r="B4198" s="84"/>
      <c r="D4198" s="84"/>
      <c r="E4198" s="84"/>
      <c r="F4198" s="84"/>
      <c r="G4198" s="84"/>
      <c r="R4198" s="251"/>
      <c r="S4198" s="251"/>
    </row>
    <row r="4199" spans="2:19" ht="15">
      <c r="B4199" s="84"/>
      <c r="D4199" s="84"/>
      <c r="E4199" s="84"/>
      <c r="F4199" s="84"/>
      <c r="G4199" s="84"/>
      <c r="R4199" s="251"/>
      <c r="S4199" s="251"/>
    </row>
    <row r="4200" spans="2:19" ht="15">
      <c r="B4200" s="84"/>
      <c r="D4200" s="84"/>
      <c r="E4200" s="84"/>
      <c r="F4200" s="84"/>
      <c r="G4200" s="84"/>
      <c r="R4200" s="251"/>
      <c r="S4200" s="251"/>
    </row>
    <row r="4201" spans="2:19" ht="15">
      <c r="B4201" s="84"/>
      <c r="D4201" s="84"/>
      <c r="E4201" s="84"/>
      <c r="F4201" s="84"/>
      <c r="G4201" s="84"/>
      <c r="R4201" s="251"/>
      <c r="S4201" s="251"/>
    </row>
    <row r="4202" spans="2:19" ht="15">
      <c r="B4202" s="84"/>
      <c r="D4202" s="84"/>
      <c r="E4202" s="84"/>
      <c r="F4202" s="84"/>
      <c r="G4202" s="84"/>
      <c r="R4202" s="251"/>
      <c r="S4202" s="251"/>
    </row>
    <row r="4203" spans="2:19" ht="15">
      <c r="B4203" s="84"/>
      <c r="D4203" s="84"/>
      <c r="E4203" s="84"/>
      <c r="F4203" s="84"/>
      <c r="G4203" s="84"/>
      <c r="R4203" s="251"/>
      <c r="S4203" s="251"/>
    </row>
    <row r="4204" spans="2:19" ht="15">
      <c r="B4204" s="84"/>
      <c r="D4204" s="84"/>
      <c r="E4204" s="84"/>
      <c r="F4204" s="84"/>
      <c r="G4204" s="84"/>
      <c r="R4204" s="251"/>
      <c r="S4204" s="251"/>
    </row>
    <row r="4205" spans="2:19" ht="15">
      <c r="B4205" s="84"/>
      <c r="D4205" s="84"/>
      <c r="E4205" s="84"/>
      <c r="F4205" s="84"/>
      <c r="G4205" s="84"/>
      <c r="R4205" s="251"/>
      <c r="S4205" s="251"/>
    </row>
    <row r="4206" spans="2:19" ht="15">
      <c r="B4206" s="84"/>
      <c r="D4206" s="84"/>
      <c r="E4206" s="84"/>
      <c r="F4206" s="84"/>
      <c r="G4206" s="84"/>
      <c r="R4206" s="251"/>
      <c r="S4206" s="251"/>
    </row>
    <row r="4207" spans="2:19" ht="15">
      <c r="B4207" s="84"/>
      <c r="D4207" s="84"/>
      <c r="E4207" s="84"/>
      <c r="F4207" s="84"/>
      <c r="G4207" s="84"/>
      <c r="R4207" s="251"/>
      <c r="S4207" s="251"/>
    </row>
    <row r="4208" spans="2:19" ht="15">
      <c r="B4208" s="84"/>
      <c r="D4208" s="84"/>
      <c r="E4208" s="84"/>
      <c r="F4208" s="84"/>
      <c r="G4208" s="84"/>
      <c r="R4208" s="251"/>
      <c r="S4208" s="251"/>
    </row>
    <row r="4209" spans="2:19" ht="15">
      <c r="B4209" s="84"/>
      <c r="D4209" s="84"/>
      <c r="E4209" s="84"/>
      <c r="F4209" s="84"/>
      <c r="G4209" s="84"/>
      <c r="R4209" s="251"/>
      <c r="S4209" s="251"/>
    </row>
    <row r="4210" spans="2:19" ht="15">
      <c r="B4210" s="84"/>
      <c r="D4210" s="84"/>
      <c r="E4210" s="84"/>
      <c r="F4210" s="84"/>
      <c r="G4210" s="84"/>
      <c r="R4210" s="251"/>
      <c r="S4210" s="251"/>
    </row>
    <row r="4211" spans="2:19" ht="15">
      <c r="B4211" s="84"/>
      <c r="D4211" s="84"/>
      <c r="E4211" s="84"/>
      <c r="F4211" s="84"/>
      <c r="G4211" s="84"/>
      <c r="R4211" s="251"/>
      <c r="S4211" s="251"/>
    </row>
    <row r="4212" spans="2:19" ht="15">
      <c r="B4212" s="84"/>
      <c r="D4212" s="84"/>
      <c r="E4212" s="84"/>
      <c r="F4212" s="84"/>
      <c r="G4212" s="84"/>
      <c r="R4212" s="251"/>
      <c r="S4212" s="251"/>
    </row>
    <row r="4213" spans="2:19" ht="15">
      <c r="B4213" s="84"/>
      <c r="D4213" s="84"/>
      <c r="E4213" s="84"/>
      <c r="F4213" s="84"/>
      <c r="G4213" s="84"/>
      <c r="R4213" s="251"/>
      <c r="S4213" s="251"/>
    </row>
    <row r="4214" spans="2:19" ht="15">
      <c r="B4214" s="84"/>
      <c r="D4214" s="84"/>
      <c r="E4214" s="84"/>
      <c r="F4214" s="84"/>
      <c r="G4214" s="84"/>
      <c r="R4214" s="251"/>
      <c r="S4214" s="251"/>
    </row>
    <row r="4215" spans="2:19" ht="15">
      <c r="B4215" s="84"/>
      <c r="D4215" s="84"/>
      <c r="E4215" s="84"/>
      <c r="F4215" s="84"/>
      <c r="G4215" s="84"/>
      <c r="R4215" s="251"/>
      <c r="S4215" s="251"/>
    </row>
    <row r="4216" spans="2:19" ht="15">
      <c r="B4216" s="84"/>
      <c r="D4216" s="84"/>
      <c r="E4216" s="84"/>
      <c r="F4216" s="84"/>
      <c r="G4216" s="84"/>
      <c r="R4216" s="251"/>
      <c r="S4216" s="251"/>
    </row>
    <row r="4217" spans="2:19" ht="15">
      <c r="B4217" s="84"/>
      <c r="D4217" s="84"/>
      <c r="E4217" s="84"/>
      <c r="F4217" s="84"/>
      <c r="G4217" s="84"/>
      <c r="R4217" s="251"/>
      <c r="S4217" s="251"/>
    </row>
    <row r="4218" spans="2:19" ht="15">
      <c r="B4218" s="84"/>
      <c r="D4218" s="84"/>
      <c r="E4218" s="84"/>
      <c r="F4218" s="84"/>
      <c r="G4218" s="84"/>
      <c r="R4218" s="251"/>
      <c r="S4218" s="251"/>
    </row>
    <row r="4219" spans="2:19" ht="15">
      <c r="B4219" s="84"/>
      <c r="D4219" s="84"/>
      <c r="E4219" s="84"/>
      <c r="F4219" s="84"/>
      <c r="G4219" s="84"/>
      <c r="R4219" s="251"/>
      <c r="S4219" s="251"/>
    </row>
    <row r="4220" spans="2:19" ht="15">
      <c r="B4220" s="84"/>
      <c r="D4220" s="84"/>
      <c r="E4220" s="84"/>
      <c r="F4220" s="84"/>
      <c r="G4220" s="84"/>
      <c r="R4220" s="251"/>
      <c r="S4220" s="251"/>
    </row>
    <row r="4221" spans="2:19" ht="15">
      <c r="B4221" s="84"/>
      <c r="D4221" s="84"/>
      <c r="E4221" s="84"/>
      <c r="F4221" s="84"/>
      <c r="G4221" s="84"/>
      <c r="R4221" s="251"/>
      <c r="S4221" s="251"/>
    </row>
    <row r="4222" spans="2:19" ht="15">
      <c r="B4222" s="84"/>
      <c r="D4222" s="84"/>
      <c r="E4222" s="84"/>
      <c r="F4222" s="84"/>
      <c r="G4222" s="84"/>
      <c r="R4222" s="251"/>
      <c r="S4222" s="251"/>
    </row>
    <row r="4223" spans="2:19" ht="15">
      <c r="B4223" s="84"/>
      <c r="D4223" s="84"/>
      <c r="E4223" s="84"/>
      <c r="F4223" s="84"/>
      <c r="G4223" s="84"/>
      <c r="R4223" s="251"/>
      <c r="S4223" s="251"/>
    </row>
    <row r="4224" spans="2:19" ht="15">
      <c r="B4224" s="84"/>
      <c r="D4224" s="84"/>
      <c r="E4224" s="84"/>
      <c r="F4224" s="84"/>
      <c r="G4224" s="84"/>
      <c r="R4224" s="251"/>
      <c r="S4224" s="251"/>
    </row>
    <row r="4225" spans="2:19" ht="15">
      <c r="B4225" s="84"/>
      <c r="D4225" s="84"/>
      <c r="E4225" s="84"/>
      <c r="F4225" s="84"/>
      <c r="G4225" s="84"/>
      <c r="R4225" s="251"/>
      <c r="S4225" s="251"/>
    </row>
    <row r="4226" spans="2:19" ht="15">
      <c r="B4226" s="84"/>
      <c r="D4226" s="84"/>
      <c r="E4226" s="84"/>
      <c r="F4226" s="84"/>
      <c r="G4226" s="84"/>
      <c r="R4226" s="251"/>
      <c r="S4226" s="251"/>
    </row>
    <row r="4227" spans="2:19" ht="15">
      <c r="B4227" s="84"/>
      <c r="D4227" s="84"/>
      <c r="E4227" s="84"/>
      <c r="F4227" s="84"/>
      <c r="G4227" s="84"/>
      <c r="R4227" s="251"/>
      <c r="S4227" s="251"/>
    </row>
    <row r="4228" spans="2:19" ht="15">
      <c r="B4228" s="84"/>
      <c r="D4228" s="84"/>
      <c r="E4228" s="84"/>
      <c r="F4228" s="84"/>
      <c r="G4228" s="84"/>
      <c r="R4228" s="251"/>
      <c r="S4228" s="251"/>
    </row>
    <row r="4229" spans="2:19" ht="15">
      <c r="B4229" s="84"/>
      <c r="D4229" s="84"/>
      <c r="E4229" s="84"/>
      <c r="F4229" s="84"/>
      <c r="G4229" s="84"/>
      <c r="R4229" s="251"/>
      <c r="S4229" s="251"/>
    </row>
    <row r="4230" spans="2:19" ht="15">
      <c r="B4230" s="84"/>
      <c r="D4230" s="84"/>
      <c r="E4230" s="84"/>
      <c r="F4230" s="84"/>
      <c r="G4230" s="84"/>
      <c r="R4230" s="251"/>
      <c r="S4230" s="251"/>
    </row>
    <row r="4231" spans="2:19" ht="15">
      <c r="B4231" s="84"/>
      <c r="D4231" s="84"/>
      <c r="E4231" s="84"/>
      <c r="F4231" s="84"/>
      <c r="G4231" s="84"/>
      <c r="R4231" s="251"/>
      <c r="S4231" s="251"/>
    </row>
    <row r="4232" spans="2:19" ht="15">
      <c r="B4232" s="84"/>
      <c r="D4232" s="84"/>
      <c r="E4232" s="84"/>
      <c r="F4232" s="84"/>
      <c r="G4232" s="84"/>
      <c r="R4232" s="251"/>
      <c r="S4232" s="251"/>
    </row>
    <row r="4233" spans="2:19" ht="15">
      <c r="B4233" s="84"/>
      <c r="D4233" s="84"/>
      <c r="E4233" s="84"/>
      <c r="F4233" s="84"/>
      <c r="G4233" s="84"/>
      <c r="R4233" s="251"/>
      <c r="S4233" s="251"/>
    </row>
    <row r="4234" spans="2:19" ht="15">
      <c r="B4234" s="84"/>
      <c r="D4234" s="84"/>
      <c r="E4234" s="84"/>
      <c r="F4234" s="84"/>
      <c r="G4234" s="84"/>
      <c r="R4234" s="251"/>
      <c r="S4234" s="251"/>
    </row>
    <row r="4235" spans="2:19" ht="15">
      <c r="B4235" s="84"/>
      <c r="D4235" s="84"/>
      <c r="E4235" s="84"/>
      <c r="F4235" s="84"/>
      <c r="G4235" s="84"/>
      <c r="R4235" s="251"/>
      <c r="S4235" s="251"/>
    </row>
    <row r="4236" spans="2:19" ht="15">
      <c r="B4236" s="84"/>
      <c r="D4236" s="84"/>
      <c r="E4236" s="84"/>
      <c r="F4236" s="84"/>
      <c r="G4236" s="84"/>
      <c r="R4236" s="251"/>
      <c r="S4236" s="251"/>
    </row>
    <row r="4237" spans="2:19" ht="15">
      <c r="B4237" s="84"/>
      <c r="D4237" s="84"/>
      <c r="E4237" s="84"/>
      <c r="F4237" s="84"/>
      <c r="G4237" s="84"/>
      <c r="R4237" s="251"/>
      <c r="S4237" s="251"/>
    </row>
    <row r="4238" spans="2:19" ht="15">
      <c r="B4238" s="84"/>
      <c r="D4238" s="84"/>
      <c r="E4238" s="84"/>
      <c r="F4238" s="84"/>
      <c r="G4238" s="84"/>
      <c r="R4238" s="251"/>
      <c r="S4238" s="251"/>
    </row>
    <row r="4239" spans="2:19" ht="15">
      <c r="B4239" s="84"/>
      <c r="D4239" s="84"/>
      <c r="E4239" s="84"/>
      <c r="F4239" s="84"/>
      <c r="G4239" s="84"/>
      <c r="R4239" s="251"/>
      <c r="S4239" s="251"/>
    </row>
    <row r="4240" spans="2:19" ht="15">
      <c r="B4240" s="84"/>
      <c r="D4240" s="84"/>
      <c r="E4240" s="84"/>
      <c r="F4240" s="84"/>
      <c r="G4240" s="84"/>
      <c r="R4240" s="251"/>
      <c r="S4240" s="251"/>
    </row>
    <row r="4241" spans="2:19" ht="15">
      <c r="B4241" s="84"/>
      <c r="D4241" s="84"/>
      <c r="E4241" s="84"/>
      <c r="F4241" s="84"/>
      <c r="G4241" s="84"/>
      <c r="R4241" s="251"/>
      <c r="S4241" s="251"/>
    </row>
    <row r="4242" spans="2:19" ht="15">
      <c r="B4242" s="84"/>
      <c r="D4242" s="84"/>
      <c r="E4242" s="84"/>
      <c r="F4242" s="84"/>
      <c r="G4242" s="84"/>
      <c r="R4242" s="251"/>
      <c r="S4242" s="251"/>
    </row>
    <row r="4243" spans="2:19" ht="15">
      <c r="B4243" s="84"/>
      <c r="D4243" s="84"/>
      <c r="E4243" s="84"/>
      <c r="F4243" s="84"/>
      <c r="G4243" s="84"/>
      <c r="R4243" s="251"/>
      <c r="S4243" s="251"/>
    </row>
    <row r="4244" spans="2:19" ht="15">
      <c r="B4244" s="84"/>
      <c r="D4244" s="84"/>
      <c r="E4244" s="84"/>
      <c r="F4244" s="84"/>
      <c r="G4244" s="84"/>
      <c r="R4244" s="251"/>
      <c r="S4244" s="251"/>
    </row>
    <row r="4245" spans="2:19" ht="15">
      <c r="B4245" s="84"/>
      <c r="D4245" s="84"/>
      <c r="E4245" s="84"/>
      <c r="F4245" s="84"/>
      <c r="G4245" s="84"/>
      <c r="R4245" s="251"/>
      <c r="S4245" s="251"/>
    </row>
    <row r="4246" spans="2:19" ht="15">
      <c r="B4246" s="84"/>
      <c r="D4246" s="84"/>
      <c r="E4246" s="84"/>
      <c r="F4246" s="84"/>
      <c r="G4246" s="84"/>
      <c r="R4246" s="251"/>
      <c r="S4246" s="251"/>
    </row>
    <row r="4247" spans="2:19" ht="15">
      <c r="B4247" s="84"/>
      <c r="D4247" s="84"/>
      <c r="E4247" s="84"/>
      <c r="F4247" s="84"/>
      <c r="G4247" s="84"/>
      <c r="R4247" s="251"/>
      <c r="S4247" s="251"/>
    </row>
    <row r="4248" spans="2:19" ht="15">
      <c r="B4248" s="84"/>
      <c r="D4248" s="84"/>
      <c r="E4248" s="84"/>
      <c r="F4248" s="84"/>
      <c r="G4248" s="84"/>
      <c r="R4248" s="251"/>
      <c r="S4248" s="251"/>
    </row>
    <row r="4249" spans="2:19" ht="15">
      <c r="B4249" s="84"/>
      <c r="D4249" s="84"/>
      <c r="E4249" s="84"/>
      <c r="F4249" s="84"/>
      <c r="G4249" s="84"/>
      <c r="R4249" s="251"/>
      <c r="S4249" s="251"/>
    </row>
    <row r="4250" spans="2:19" ht="15">
      <c r="B4250" s="84"/>
      <c r="D4250" s="84"/>
      <c r="E4250" s="84"/>
      <c r="F4250" s="84"/>
      <c r="G4250" s="84"/>
      <c r="R4250" s="251"/>
      <c r="S4250" s="251"/>
    </row>
    <row r="4251" spans="2:19" ht="15">
      <c r="B4251" s="84"/>
      <c r="D4251" s="84"/>
      <c r="E4251" s="84"/>
      <c r="F4251" s="84"/>
      <c r="G4251" s="84"/>
      <c r="R4251" s="251"/>
      <c r="S4251" s="251"/>
    </row>
    <row r="4252" spans="2:19" ht="15">
      <c r="B4252" s="84"/>
      <c r="D4252" s="84"/>
      <c r="E4252" s="84"/>
      <c r="F4252" s="84"/>
      <c r="G4252" s="84"/>
      <c r="R4252" s="251"/>
      <c r="S4252" s="251"/>
    </row>
    <row r="4253" spans="2:19" ht="15">
      <c r="B4253" s="84"/>
      <c r="D4253" s="84"/>
      <c r="E4253" s="84"/>
      <c r="F4253" s="84"/>
      <c r="G4253" s="84"/>
      <c r="R4253" s="251"/>
      <c r="S4253" s="251"/>
    </row>
    <row r="4254" spans="2:19" ht="15">
      <c r="B4254" s="84"/>
      <c r="D4254" s="84"/>
      <c r="E4254" s="84"/>
      <c r="F4254" s="84"/>
      <c r="G4254" s="84"/>
      <c r="R4254" s="251"/>
      <c r="S4254" s="251"/>
    </row>
    <row r="4255" spans="2:19" ht="15">
      <c r="B4255" s="84"/>
      <c r="D4255" s="84"/>
      <c r="E4255" s="84"/>
      <c r="F4255" s="84"/>
      <c r="G4255" s="84"/>
      <c r="R4255" s="251"/>
      <c r="S4255" s="251"/>
    </row>
    <row r="4256" spans="2:19" ht="15">
      <c r="B4256" s="84"/>
      <c r="D4256" s="84"/>
      <c r="E4256" s="84"/>
      <c r="F4256" s="84"/>
      <c r="G4256" s="84"/>
      <c r="R4256" s="251"/>
      <c r="S4256" s="251"/>
    </row>
    <row r="4257" spans="2:19" ht="15">
      <c r="B4257" s="84"/>
      <c r="D4257" s="84"/>
      <c r="E4257" s="84"/>
      <c r="F4257" s="84"/>
      <c r="G4257" s="84"/>
      <c r="R4257" s="251"/>
      <c r="S4257" s="251"/>
    </row>
    <row r="4258" spans="2:19" ht="15">
      <c r="B4258" s="84"/>
      <c r="D4258" s="84"/>
      <c r="E4258" s="84"/>
      <c r="F4258" s="84"/>
      <c r="G4258" s="84"/>
      <c r="R4258" s="251"/>
      <c r="S4258" s="251"/>
    </row>
    <row r="4259" spans="2:19" ht="15">
      <c r="B4259" s="84"/>
      <c r="D4259" s="84"/>
      <c r="E4259" s="84"/>
      <c r="F4259" s="84"/>
      <c r="G4259" s="84"/>
      <c r="R4259" s="251"/>
      <c r="S4259" s="251"/>
    </row>
    <row r="4260" spans="2:19" ht="15">
      <c r="B4260" s="84"/>
      <c r="D4260" s="84"/>
      <c r="E4260" s="84"/>
      <c r="F4260" s="84"/>
      <c r="G4260" s="84"/>
      <c r="R4260" s="251"/>
      <c r="S4260" s="251"/>
    </row>
    <row r="4261" spans="2:19" ht="15">
      <c r="B4261" s="84"/>
      <c r="D4261" s="84"/>
      <c r="E4261" s="84"/>
      <c r="F4261" s="84"/>
      <c r="G4261" s="84"/>
      <c r="R4261" s="251"/>
      <c r="S4261" s="251"/>
    </row>
    <row r="4262" spans="2:19" ht="15">
      <c r="B4262" s="84"/>
      <c r="D4262" s="84"/>
      <c r="E4262" s="84"/>
      <c r="F4262" s="84"/>
      <c r="G4262" s="84"/>
      <c r="R4262" s="251"/>
      <c r="S4262" s="251"/>
    </row>
    <row r="4263" spans="2:19" ht="15">
      <c r="B4263" s="84"/>
      <c r="D4263" s="84"/>
      <c r="E4263" s="84"/>
      <c r="F4263" s="84"/>
      <c r="G4263" s="84"/>
      <c r="R4263" s="251"/>
      <c r="S4263" s="251"/>
    </row>
    <row r="4264" spans="2:19" ht="15">
      <c r="B4264" s="84"/>
      <c r="D4264" s="84"/>
      <c r="E4264" s="84"/>
      <c r="F4264" s="84"/>
      <c r="G4264" s="84"/>
      <c r="R4264" s="251"/>
      <c r="S4264" s="251"/>
    </row>
    <row r="4265" spans="2:19" ht="15">
      <c r="B4265" s="84"/>
      <c r="D4265" s="84"/>
      <c r="E4265" s="84"/>
      <c r="F4265" s="84"/>
      <c r="G4265" s="84"/>
      <c r="R4265" s="251"/>
      <c r="S4265" s="251"/>
    </row>
    <row r="4266" spans="2:19" ht="15">
      <c r="B4266" s="84"/>
      <c r="D4266" s="84"/>
      <c r="E4266" s="84"/>
      <c r="F4266" s="84"/>
      <c r="G4266" s="84"/>
      <c r="R4266" s="251"/>
      <c r="S4266" s="251"/>
    </row>
    <row r="4267" spans="2:19" ht="15">
      <c r="B4267" s="84"/>
      <c r="D4267" s="84"/>
      <c r="E4267" s="84"/>
      <c r="F4267" s="84"/>
      <c r="G4267" s="84"/>
      <c r="R4267" s="251"/>
      <c r="S4267" s="251"/>
    </row>
    <row r="4268" spans="2:19" ht="15">
      <c r="B4268" s="84"/>
      <c r="D4268" s="84"/>
      <c r="E4268" s="84"/>
      <c r="F4268" s="84"/>
      <c r="G4268" s="84"/>
      <c r="R4268" s="251"/>
      <c r="S4268" s="251"/>
    </row>
    <row r="4269" spans="2:19" ht="15">
      <c r="B4269" s="84"/>
      <c r="D4269" s="84"/>
      <c r="E4269" s="84"/>
      <c r="F4269" s="84"/>
      <c r="G4269" s="84"/>
      <c r="R4269" s="251"/>
      <c r="S4269" s="251"/>
    </row>
    <row r="4270" spans="2:19" ht="15">
      <c r="B4270" s="84"/>
      <c r="D4270" s="84"/>
      <c r="E4270" s="84"/>
      <c r="F4270" s="84"/>
      <c r="G4270" s="84"/>
      <c r="R4270" s="251"/>
      <c r="S4270" s="251"/>
    </row>
    <row r="4271" spans="2:19" ht="15">
      <c r="B4271" s="84"/>
      <c r="D4271" s="84"/>
      <c r="E4271" s="84"/>
      <c r="F4271" s="84"/>
      <c r="G4271" s="84"/>
      <c r="R4271" s="251"/>
      <c r="S4271" s="251"/>
    </row>
    <row r="4272" spans="2:19" ht="15">
      <c r="B4272" s="84"/>
      <c r="D4272" s="84"/>
      <c r="E4272" s="84"/>
      <c r="F4272" s="84"/>
      <c r="G4272" s="84"/>
      <c r="R4272" s="251"/>
      <c r="S4272" s="251"/>
    </row>
    <row r="4273" spans="2:19" ht="15">
      <c r="B4273" s="84"/>
      <c r="D4273" s="84"/>
      <c r="E4273" s="84"/>
      <c r="F4273" s="84"/>
      <c r="G4273" s="84"/>
      <c r="R4273" s="251"/>
      <c r="S4273" s="251"/>
    </row>
    <row r="4274" spans="2:19" ht="15">
      <c r="B4274" s="84"/>
      <c r="D4274" s="84"/>
      <c r="E4274" s="84"/>
      <c r="F4274" s="84"/>
      <c r="G4274" s="84"/>
      <c r="R4274" s="251"/>
      <c r="S4274" s="251"/>
    </row>
    <row r="4275" spans="2:19" ht="15">
      <c r="B4275" s="84"/>
      <c r="D4275" s="84"/>
      <c r="E4275" s="84"/>
      <c r="F4275" s="84"/>
      <c r="G4275" s="84"/>
      <c r="R4275" s="251"/>
      <c r="S4275" s="251"/>
    </row>
    <row r="4276" spans="2:19" ht="15">
      <c r="B4276" s="84"/>
      <c r="D4276" s="84"/>
      <c r="E4276" s="84"/>
      <c r="F4276" s="84"/>
      <c r="G4276" s="84"/>
      <c r="R4276" s="251"/>
      <c r="S4276" s="251"/>
    </row>
    <row r="4277" spans="2:19" ht="15">
      <c r="B4277" s="84"/>
      <c r="D4277" s="84"/>
      <c r="E4277" s="84"/>
      <c r="F4277" s="84"/>
      <c r="G4277" s="84"/>
      <c r="R4277" s="251"/>
      <c r="S4277" s="251"/>
    </row>
    <row r="4278" spans="2:19" ht="15">
      <c r="B4278" s="84"/>
      <c r="D4278" s="84"/>
      <c r="E4278" s="84"/>
      <c r="F4278" s="84"/>
      <c r="G4278" s="84"/>
      <c r="R4278" s="251"/>
      <c r="S4278" s="251"/>
    </row>
    <row r="4279" spans="2:19" ht="15">
      <c r="B4279" s="84"/>
      <c r="D4279" s="84"/>
      <c r="E4279" s="84"/>
      <c r="F4279" s="84"/>
      <c r="G4279" s="84"/>
      <c r="R4279" s="251"/>
      <c r="S4279" s="251"/>
    </row>
    <row r="4280" spans="2:19" ht="15">
      <c r="B4280" s="84"/>
      <c r="D4280" s="84"/>
      <c r="E4280" s="84"/>
      <c r="F4280" s="84"/>
      <c r="G4280" s="84"/>
      <c r="R4280" s="251"/>
      <c r="S4280" s="251"/>
    </row>
    <row r="4281" spans="2:19" ht="15">
      <c r="B4281" s="84"/>
      <c r="D4281" s="84"/>
      <c r="E4281" s="84"/>
      <c r="F4281" s="84"/>
      <c r="G4281" s="84"/>
      <c r="R4281" s="251"/>
      <c r="S4281" s="251"/>
    </row>
    <row r="4282" spans="2:19" ht="15">
      <c r="B4282" s="84"/>
      <c r="D4282" s="84"/>
      <c r="E4282" s="84"/>
      <c r="F4282" s="84"/>
      <c r="G4282" s="84"/>
      <c r="R4282" s="251"/>
      <c r="S4282" s="251"/>
    </row>
    <row r="4283" spans="2:19" ht="15">
      <c r="B4283" s="84"/>
      <c r="D4283" s="84"/>
      <c r="E4283" s="84"/>
      <c r="F4283" s="84"/>
      <c r="G4283" s="84"/>
      <c r="R4283" s="251"/>
      <c r="S4283" s="251"/>
    </row>
    <row r="4284" spans="2:19" ht="15">
      <c r="B4284" s="84"/>
      <c r="D4284" s="84"/>
      <c r="E4284" s="84"/>
      <c r="F4284" s="84"/>
      <c r="G4284" s="84"/>
      <c r="R4284" s="251"/>
      <c r="S4284" s="251"/>
    </row>
    <row r="4285" spans="2:19" ht="15">
      <c r="B4285" s="84"/>
      <c r="D4285" s="84"/>
      <c r="E4285" s="84"/>
      <c r="F4285" s="84"/>
      <c r="G4285" s="84"/>
      <c r="R4285" s="251"/>
      <c r="S4285" s="251"/>
    </row>
    <row r="4286" spans="2:19" ht="15">
      <c r="B4286" s="84"/>
      <c r="D4286" s="84"/>
      <c r="E4286" s="84"/>
      <c r="F4286" s="84"/>
      <c r="G4286" s="84"/>
      <c r="R4286" s="251"/>
      <c r="S4286" s="251"/>
    </row>
    <row r="4287" spans="2:19" ht="15">
      <c r="B4287" s="84"/>
      <c r="D4287" s="84"/>
      <c r="E4287" s="84"/>
      <c r="F4287" s="84"/>
      <c r="G4287" s="84"/>
      <c r="R4287" s="251"/>
      <c r="S4287" s="251"/>
    </row>
    <row r="4288" spans="2:19" ht="15">
      <c r="B4288" s="84"/>
      <c r="D4288" s="84"/>
      <c r="E4288" s="84"/>
      <c r="F4288" s="84"/>
      <c r="G4288" s="84"/>
      <c r="R4288" s="251"/>
      <c r="S4288" s="251"/>
    </row>
    <row r="4289" spans="2:19" ht="15">
      <c r="B4289" s="84"/>
      <c r="D4289" s="84"/>
      <c r="E4289" s="84"/>
      <c r="F4289" s="84"/>
      <c r="G4289" s="84"/>
      <c r="R4289" s="251"/>
      <c r="S4289" s="251"/>
    </row>
    <row r="4290" spans="2:19" ht="15">
      <c r="B4290" s="84"/>
      <c r="D4290" s="84"/>
      <c r="E4290" s="84"/>
      <c r="F4290" s="84"/>
      <c r="G4290" s="84"/>
      <c r="R4290" s="251"/>
      <c r="S4290" s="251"/>
    </row>
    <row r="4291" spans="2:19" ht="15">
      <c r="B4291" s="84"/>
      <c r="D4291" s="84"/>
      <c r="E4291" s="84"/>
      <c r="F4291" s="84"/>
      <c r="G4291" s="84"/>
      <c r="R4291" s="251"/>
      <c r="S4291" s="251"/>
    </row>
    <row r="4292" spans="2:19" ht="15">
      <c r="B4292" s="84"/>
      <c r="D4292" s="84"/>
      <c r="E4292" s="84"/>
      <c r="F4292" s="84"/>
      <c r="G4292" s="84"/>
      <c r="R4292" s="251"/>
      <c r="S4292" s="251"/>
    </row>
    <row r="4293" spans="2:19" ht="15">
      <c r="B4293" s="84"/>
      <c r="D4293" s="84"/>
      <c r="E4293" s="84"/>
      <c r="F4293" s="84"/>
      <c r="G4293" s="84"/>
      <c r="R4293" s="251"/>
      <c r="S4293" s="251"/>
    </row>
    <row r="4294" spans="2:19" ht="15">
      <c r="B4294" s="84"/>
      <c r="D4294" s="84"/>
      <c r="E4294" s="84"/>
      <c r="F4294" s="84"/>
      <c r="G4294" s="84"/>
      <c r="R4294" s="251"/>
      <c r="S4294" s="251"/>
    </row>
    <row r="4295" spans="2:19" ht="15">
      <c r="B4295" s="84"/>
      <c r="D4295" s="84"/>
      <c r="E4295" s="84"/>
      <c r="F4295" s="84"/>
      <c r="G4295" s="84"/>
      <c r="R4295" s="251"/>
      <c r="S4295" s="251"/>
    </row>
    <row r="4296" spans="2:19" ht="15">
      <c r="B4296" s="84"/>
      <c r="D4296" s="84"/>
      <c r="E4296" s="84"/>
      <c r="F4296" s="84"/>
      <c r="G4296" s="84"/>
      <c r="R4296" s="251"/>
      <c r="S4296" s="251"/>
    </row>
    <row r="4297" spans="2:19" ht="15">
      <c r="B4297" s="84"/>
      <c r="D4297" s="84"/>
      <c r="E4297" s="84"/>
      <c r="F4297" s="84"/>
      <c r="G4297" s="84"/>
      <c r="R4297" s="251"/>
      <c r="S4297" s="251"/>
    </row>
    <row r="4298" spans="2:19" ht="15">
      <c r="B4298" s="84"/>
      <c r="D4298" s="84"/>
      <c r="E4298" s="84"/>
      <c r="F4298" s="84"/>
      <c r="G4298" s="84"/>
      <c r="R4298" s="251"/>
      <c r="S4298" s="251"/>
    </row>
    <row r="4299" spans="2:19" ht="15">
      <c r="B4299" s="84"/>
      <c r="D4299" s="84"/>
      <c r="E4299" s="84"/>
      <c r="F4299" s="84"/>
      <c r="G4299" s="84"/>
      <c r="R4299" s="251"/>
      <c r="S4299" s="251"/>
    </row>
    <row r="4300" spans="2:19" ht="15">
      <c r="B4300" s="84"/>
      <c r="D4300" s="84"/>
      <c r="E4300" s="84"/>
      <c r="F4300" s="84"/>
      <c r="G4300" s="84"/>
      <c r="R4300" s="251"/>
      <c r="S4300" s="251"/>
    </row>
    <row r="4301" spans="2:19" ht="15">
      <c r="B4301" s="84"/>
      <c r="D4301" s="84"/>
      <c r="E4301" s="84"/>
      <c r="F4301" s="84"/>
      <c r="G4301" s="84"/>
      <c r="R4301" s="251"/>
      <c r="S4301" s="251"/>
    </row>
    <row r="4302" spans="2:19" ht="15">
      <c r="B4302" s="84"/>
      <c r="D4302" s="84"/>
      <c r="E4302" s="84"/>
      <c r="F4302" s="84"/>
      <c r="G4302" s="84"/>
      <c r="R4302" s="251"/>
      <c r="S4302" s="251"/>
    </row>
    <row r="4303" spans="2:19" ht="15">
      <c r="B4303" s="84"/>
      <c r="D4303" s="84"/>
      <c r="E4303" s="84"/>
      <c r="F4303" s="84"/>
      <c r="G4303" s="84"/>
      <c r="R4303" s="251"/>
      <c r="S4303" s="251"/>
    </row>
    <row r="4304" spans="2:19" ht="15">
      <c r="B4304" s="84"/>
      <c r="D4304" s="84"/>
      <c r="E4304" s="84"/>
      <c r="F4304" s="84"/>
      <c r="G4304" s="84"/>
      <c r="R4304" s="251"/>
      <c r="S4304" s="251"/>
    </row>
    <row r="4305" spans="2:19" ht="15">
      <c r="B4305" s="84"/>
      <c r="D4305" s="84"/>
      <c r="E4305" s="84"/>
      <c r="F4305" s="84"/>
      <c r="G4305" s="84"/>
      <c r="R4305" s="251"/>
      <c r="S4305" s="251"/>
    </row>
    <row r="4306" spans="2:19" ht="15">
      <c r="B4306" s="84"/>
      <c r="D4306" s="84"/>
      <c r="E4306" s="84"/>
      <c r="F4306" s="84"/>
      <c r="G4306" s="84"/>
      <c r="R4306" s="251"/>
      <c r="S4306" s="251"/>
    </row>
    <row r="4307" spans="2:19" ht="15">
      <c r="B4307" s="84"/>
      <c r="D4307" s="84"/>
      <c r="E4307" s="84"/>
      <c r="F4307" s="84"/>
      <c r="G4307" s="84"/>
      <c r="R4307" s="251"/>
      <c r="S4307" s="251"/>
    </row>
    <row r="4308" spans="2:19" ht="15">
      <c r="B4308" s="84"/>
      <c r="D4308" s="84"/>
      <c r="E4308" s="84"/>
      <c r="F4308" s="84"/>
      <c r="G4308" s="84"/>
      <c r="R4308" s="251"/>
      <c r="S4308" s="251"/>
    </row>
    <row r="4309" spans="2:19" ht="15">
      <c r="B4309" s="84"/>
      <c r="D4309" s="84"/>
      <c r="E4309" s="84"/>
      <c r="F4309" s="84"/>
      <c r="G4309" s="84"/>
      <c r="R4309" s="251"/>
      <c r="S4309" s="251"/>
    </row>
    <row r="4310" spans="2:19" ht="15">
      <c r="B4310" s="84"/>
      <c r="D4310" s="84"/>
      <c r="E4310" s="84"/>
      <c r="F4310" s="84"/>
      <c r="G4310" s="84"/>
      <c r="R4310" s="251"/>
      <c r="S4310" s="251"/>
    </row>
    <row r="4311" spans="2:19" ht="15">
      <c r="B4311" s="84"/>
      <c r="D4311" s="84"/>
      <c r="E4311" s="84"/>
      <c r="F4311" s="84"/>
      <c r="G4311" s="84"/>
      <c r="R4311" s="251"/>
      <c r="S4311" s="251"/>
    </row>
    <row r="4312" spans="2:19" ht="15">
      <c r="B4312" s="84"/>
      <c r="D4312" s="84"/>
      <c r="E4312" s="84"/>
      <c r="F4312" s="84"/>
      <c r="G4312" s="84"/>
      <c r="R4312" s="251"/>
      <c r="S4312" s="251"/>
    </row>
    <row r="4313" spans="2:19" ht="15">
      <c r="B4313" s="84"/>
      <c r="D4313" s="84"/>
      <c r="E4313" s="84"/>
      <c r="F4313" s="84"/>
      <c r="G4313" s="84"/>
      <c r="R4313" s="251"/>
      <c r="S4313" s="251"/>
    </row>
    <row r="4314" spans="2:19" ht="15">
      <c r="B4314" s="84"/>
      <c r="D4314" s="84"/>
      <c r="E4314" s="84"/>
      <c r="F4314" s="84"/>
      <c r="G4314" s="84"/>
      <c r="R4314" s="251"/>
      <c r="S4314" s="251"/>
    </row>
    <row r="4315" spans="2:19" ht="15">
      <c r="B4315" s="84"/>
      <c r="D4315" s="84"/>
      <c r="E4315" s="84"/>
      <c r="F4315" s="84"/>
      <c r="G4315" s="84"/>
      <c r="R4315" s="251"/>
      <c r="S4315" s="251"/>
    </row>
    <row r="4316" spans="2:19" ht="15">
      <c r="B4316" s="84"/>
      <c r="D4316" s="84"/>
      <c r="E4316" s="84"/>
      <c r="F4316" s="84"/>
      <c r="G4316" s="84"/>
      <c r="R4316" s="251"/>
      <c r="S4316" s="251"/>
    </row>
    <row r="4317" spans="2:19" ht="15">
      <c r="B4317" s="84"/>
      <c r="D4317" s="84"/>
      <c r="E4317" s="84"/>
      <c r="F4317" s="84"/>
      <c r="G4317" s="84"/>
      <c r="R4317" s="251"/>
      <c r="S4317" s="251"/>
    </row>
    <row r="4318" spans="2:19" ht="15">
      <c r="B4318" s="84"/>
      <c r="D4318" s="84"/>
      <c r="E4318" s="84"/>
      <c r="F4318" s="84"/>
      <c r="G4318" s="84"/>
      <c r="R4318" s="251"/>
      <c r="S4318" s="251"/>
    </row>
    <row r="4319" spans="2:19" ht="15">
      <c r="B4319" s="84"/>
      <c r="D4319" s="84"/>
      <c r="E4319" s="84"/>
      <c r="F4319" s="84"/>
      <c r="G4319" s="84"/>
      <c r="R4319" s="251"/>
      <c r="S4319" s="251"/>
    </row>
    <row r="4320" spans="2:19" ht="15">
      <c r="B4320" s="84"/>
      <c r="D4320" s="84"/>
      <c r="E4320" s="84"/>
      <c r="F4320" s="84"/>
      <c r="G4320" s="84"/>
      <c r="R4320" s="251"/>
      <c r="S4320" s="251"/>
    </row>
    <row r="4321" spans="2:19" ht="15">
      <c r="B4321" s="84"/>
      <c r="D4321" s="84"/>
      <c r="E4321" s="84"/>
      <c r="F4321" s="84"/>
      <c r="G4321" s="84"/>
      <c r="R4321" s="251"/>
      <c r="S4321" s="251"/>
    </row>
    <row r="4322" spans="2:19" ht="15">
      <c r="B4322" s="84"/>
      <c r="D4322" s="84"/>
      <c r="E4322" s="84"/>
      <c r="F4322" s="84"/>
      <c r="G4322" s="84"/>
      <c r="R4322" s="251"/>
      <c r="S4322" s="251"/>
    </row>
    <row r="4323" spans="2:19" ht="15">
      <c r="B4323" s="84"/>
      <c r="D4323" s="84"/>
      <c r="E4323" s="84"/>
      <c r="F4323" s="84"/>
      <c r="G4323" s="84"/>
      <c r="R4323" s="251"/>
      <c r="S4323" s="251"/>
    </row>
    <row r="4324" spans="2:19" ht="15">
      <c r="B4324" s="84"/>
      <c r="D4324" s="84"/>
      <c r="E4324" s="84"/>
      <c r="F4324" s="84"/>
      <c r="G4324" s="84"/>
      <c r="R4324" s="251"/>
      <c r="S4324" s="251"/>
    </row>
    <row r="4325" spans="2:19" ht="15">
      <c r="B4325" s="84"/>
      <c r="D4325" s="84"/>
      <c r="E4325" s="84"/>
      <c r="F4325" s="84"/>
      <c r="G4325" s="84"/>
      <c r="R4325" s="251"/>
      <c r="S4325" s="251"/>
    </row>
    <row r="4326" spans="2:19" ht="15">
      <c r="B4326" s="84"/>
      <c r="D4326" s="84"/>
      <c r="E4326" s="84"/>
      <c r="F4326" s="84"/>
      <c r="G4326" s="84"/>
      <c r="R4326" s="251"/>
      <c r="S4326" s="251"/>
    </row>
    <row r="4327" spans="2:19" ht="15">
      <c r="B4327" s="84"/>
      <c r="D4327" s="84"/>
      <c r="E4327" s="84"/>
      <c r="F4327" s="84"/>
      <c r="G4327" s="84"/>
      <c r="R4327" s="251"/>
      <c r="S4327" s="251"/>
    </row>
    <row r="4328" spans="2:19" ht="15">
      <c r="B4328" s="84"/>
      <c r="D4328" s="84"/>
      <c r="E4328" s="84"/>
      <c r="F4328" s="84"/>
      <c r="G4328" s="84"/>
      <c r="R4328" s="251"/>
      <c r="S4328" s="251"/>
    </row>
    <row r="4329" spans="2:19" ht="15">
      <c r="B4329" s="84"/>
      <c r="D4329" s="84"/>
      <c r="E4329" s="84"/>
      <c r="F4329" s="84"/>
      <c r="G4329" s="84"/>
      <c r="R4329" s="251"/>
      <c r="S4329" s="251"/>
    </row>
    <row r="4330" spans="2:19" ht="15">
      <c r="B4330" s="84"/>
      <c r="D4330" s="84"/>
      <c r="E4330" s="84"/>
      <c r="F4330" s="84"/>
      <c r="G4330" s="84"/>
      <c r="R4330" s="251"/>
      <c r="S4330" s="251"/>
    </row>
    <row r="4331" spans="2:19" ht="15">
      <c r="B4331" s="84"/>
      <c r="D4331" s="84"/>
      <c r="E4331" s="84"/>
      <c r="F4331" s="84"/>
      <c r="G4331" s="84"/>
      <c r="R4331" s="251"/>
      <c r="S4331" s="251"/>
    </row>
    <row r="4332" spans="2:19" ht="15">
      <c r="B4332" s="84"/>
      <c r="D4332" s="84"/>
      <c r="E4332" s="84"/>
      <c r="F4332" s="84"/>
      <c r="G4332" s="84"/>
      <c r="R4332" s="251"/>
      <c r="S4332" s="251"/>
    </row>
    <row r="4333" spans="2:19" ht="15">
      <c r="B4333" s="84"/>
      <c r="D4333" s="84"/>
      <c r="E4333" s="84"/>
      <c r="F4333" s="84"/>
      <c r="G4333" s="84"/>
      <c r="R4333" s="251"/>
      <c r="S4333" s="251"/>
    </row>
    <row r="4334" spans="2:19" ht="15">
      <c r="B4334" s="84"/>
      <c r="D4334" s="84"/>
      <c r="E4334" s="84"/>
      <c r="F4334" s="84"/>
      <c r="G4334" s="84"/>
      <c r="R4334" s="251"/>
      <c r="S4334" s="251"/>
    </row>
    <row r="4335" spans="2:19" ht="15">
      <c r="B4335" s="84"/>
      <c r="D4335" s="84"/>
      <c r="E4335" s="84"/>
      <c r="F4335" s="84"/>
      <c r="G4335" s="84"/>
      <c r="R4335" s="251"/>
      <c r="S4335" s="251"/>
    </row>
    <row r="4336" spans="2:19" ht="15">
      <c r="B4336" s="84"/>
      <c r="D4336" s="84"/>
      <c r="E4336" s="84"/>
      <c r="F4336" s="84"/>
      <c r="G4336" s="84"/>
      <c r="R4336" s="251"/>
      <c r="S4336" s="251"/>
    </row>
    <row r="4337" spans="2:19" ht="15">
      <c r="B4337" s="84"/>
      <c r="D4337" s="84"/>
      <c r="E4337" s="84"/>
      <c r="F4337" s="84"/>
      <c r="G4337" s="84"/>
      <c r="R4337" s="251"/>
      <c r="S4337" s="251"/>
    </row>
    <row r="4338" spans="2:19" ht="15">
      <c r="B4338" s="84"/>
      <c r="D4338" s="84"/>
      <c r="E4338" s="84"/>
      <c r="F4338" s="84"/>
      <c r="G4338" s="84"/>
      <c r="R4338" s="251"/>
      <c r="S4338" s="251"/>
    </row>
    <row r="4339" spans="2:19" ht="15">
      <c r="B4339" s="84"/>
      <c r="D4339" s="84"/>
      <c r="E4339" s="84"/>
      <c r="F4339" s="84"/>
      <c r="G4339" s="84"/>
      <c r="R4339" s="251"/>
      <c r="S4339" s="251"/>
    </row>
    <row r="4340" spans="2:19" ht="15">
      <c r="B4340" s="84"/>
      <c r="D4340" s="84"/>
      <c r="E4340" s="84"/>
      <c r="F4340" s="84"/>
      <c r="G4340" s="84"/>
      <c r="R4340" s="251"/>
      <c r="S4340" s="251"/>
    </row>
    <row r="4341" spans="2:19" ht="15">
      <c r="B4341" s="84"/>
      <c r="D4341" s="84"/>
      <c r="E4341" s="84"/>
      <c r="F4341" s="84"/>
      <c r="G4341" s="84"/>
      <c r="R4341" s="251"/>
      <c r="S4341" s="251"/>
    </row>
    <row r="4342" spans="2:19" ht="15">
      <c r="B4342" s="84"/>
      <c r="D4342" s="84"/>
      <c r="E4342" s="84"/>
      <c r="F4342" s="84"/>
      <c r="G4342" s="84"/>
      <c r="R4342" s="251"/>
      <c r="S4342" s="251"/>
    </row>
    <row r="4343" spans="2:19" ht="15">
      <c r="B4343" s="84"/>
      <c r="D4343" s="84"/>
      <c r="E4343" s="84"/>
      <c r="F4343" s="84"/>
      <c r="G4343" s="84"/>
      <c r="R4343" s="251"/>
      <c r="S4343" s="251"/>
    </row>
    <row r="4344" spans="2:19" ht="15">
      <c r="B4344" s="84"/>
      <c r="D4344" s="84"/>
      <c r="E4344" s="84"/>
      <c r="F4344" s="84"/>
      <c r="G4344" s="84"/>
      <c r="R4344" s="251"/>
      <c r="S4344" s="251"/>
    </row>
    <row r="4345" spans="2:19" ht="15">
      <c r="B4345" s="84"/>
      <c r="D4345" s="84"/>
      <c r="E4345" s="84"/>
      <c r="F4345" s="84"/>
      <c r="G4345" s="84"/>
      <c r="R4345" s="251"/>
      <c r="S4345" s="251"/>
    </row>
    <row r="4346" spans="2:19" ht="15">
      <c r="B4346" s="84"/>
      <c r="D4346" s="84"/>
      <c r="E4346" s="84"/>
      <c r="F4346" s="84"/>
      <c r="G4346" s="84"/>
      <c r="R4346" s="251"/>
      <c r="S4346" s="251"/>
    </row>
    <row r="4347" spans="2:19" ht="15">
      <c r="B4347" s="84"/>
      <c r="D4347" s="84"/>
      <c r="E4347" s="84"/>
      <c r="F4347" s="84"/>
      <c r="G4347" s="84"/>
      <c r="R4347" s="251"/>
      <c r="S4347" s="251"/>
    </row>
    <row r="4348" spans="2:19" ht="15">
      <c r="B4348" s="84"/>
      <c r="D4348" s="84"/>
      <c r="E4348" s="84"/>
      <c r="F4348" s="84"/>
      <c r="G4348" s="84"/>
      <c r="R4348" s="251"/>
      <c r="S4348" s="251"/>
    </row>
    <row r="4349" spans="2:19" ht="15">
      <c r="B4349" s="84"/>
      <c r="D4349" s="84"/>
      <c r="E4349" s="84"/>
      <c r="F4349" s="84"/>
      <c r="G4349" s="84"/>
      <c r="R4349" s="251"/>
      <c r="S4349" s="251"/>
    </row>
    <row r="4350" spans="2:19" ht="15">
      <c r="B4350" s="84"/>
      <c r="D4350" s="84"/>
      <c r="E4350" s="84"/>
      <c r="F4350" s="84"/>
      <c r="G4350" s="84"/>
      <c r="R4350" s="251"/>
      <c r="S4350" s="251"/>
    </row>
    <row r="4351" spans="2:19" ht="15">
      <c r="B4351" s="84"/>
      <c r="D4351" s="84"/>
      <c r="E4351" s="84"/>
      <c r="F4351" s="84"/>
      <c r="G4351" s="84"/>
      <c r="R4351" s="251"/>
      <c r="S4351" s="251"/>
    </row>
    <row r="4352" spans="2:19" ht="15">
      <c r="B4352" s="84"/>
      <c r="D4352" s="84"/>
      <c r="E4352" s="84"/>
      <c r="F4352" s="84"/>
      <c r="G4352" s="84"/>
      <c r="R4352" s="251"/>
      <c r="S4352" s="251"/>
    </row>
    <row r="4353" spans="2:19" ht="15">
      <c r="B4353" s="84"/>
      <c r="D4353" s="84"/>
      <c r="E4353" s="84"/>
      <c r="F4353" s="84"/>
      <c r="G4353" s="84"/>
      <c r="R4353" s="251"/>
      <c r="S4353" s="251"/>
    </row>
    <row r="4354" spans="2:19" ht="15">
      <c r="B4354" s="84"/>
      <c r="D4354" s="84"/>
      <c r="E4354" s="84"/>
      <c r="F4354" s="84"/>
      <c r="G4354" s="84"/>
      <c r="R4354" s="251"/>
      <c r="S4354" s="251"/>
    </row>
    <row r="4355" spans="2:19" ht="15">
      <c r="B4355" s="84"/>
      <c r="D4355" s="84"/>
      <c r="E4355" s="84"/>
      <c r="F4355" s="84"/>
      <c r="G4355" s="84"/>
      <c r="R4355" s="251"/>
      <c r="S4355" s="251"/>
    </row>
    <row r="4356" spans="2:19" ht="15">
      <c r="B4356" s="84"/>
      <c r="D4356" s="84"/>
      <c r="E4356" s="84"/>
      <c r="F4356" s="84"/>
      <c r="G4356" s="84"/>
      <c r="R4356" s="251"/>
      <c r="S4356" s="251"/>
    </row>
    <row r="4357" spans="2:19" ht="15">
      <c r="B4357" s="84"/>
      <c r="D4357" s="84"/>
      <c r="E4357" s="84"/>
      <c r="F4357" s="84"/>
      <c r="G4357" s="84"/>
      <c r="R4357" s="251"/>
      <c r="S4357" s="251"/>
    </row>
    <row r="4358" spans="2:19" ht="15">
      <c r="B4358" s="84"/>
      <c r="D4358" s="84"/>
      <c r="E4358" s="84"/>
      <c r="F4358" s="84"/>
      <c r="G4358" s="84"/>
      <c r="R4358" s="251"/>
      <c r="S4358" s="251"/>
    </row>
    <row r="4359" spans="2:19" ht="15">
      <c r="B4359" s="84"/>
      <c r="D4359" s="84"/>
      <c r="E4359" s="84"/>
      <c r="F4359" s="84"/>
      <c r="G4359" s="84"/>
      <c r="R4359" s="251"/>
      <c r="S4359" s="251"/>
    </row>
    <row r="4360" spans="2:19" ht="15">
      <c r="B4360" s="84"/>
      <c r="D4360" s="84"/>
      <c r="E4360" s="84"/>
      <c r="F4360" s="84"/>
      <c r="G4360" s="84"/>
      <c r="R4360" s="251"/>
      <c r="S4360" s="251"/>
    </row>
    <row r="4361" spans="2:19" ht="15">
      <c r="B4361" s="84"/>
      <c r="D4361" s="84"/>
      <c r="E4361" s="84"/>
      <c r="F4361" s="84"/>
      <c r="G4361" s="84"/>
      <c r="R4361" s="251"/>
      <c r="S4361" s="251"/>
    </row>
    <row r="4362" spans="2:19" ht="15">
      <c r="B4362" s="84"/>
      <c r="D4362" s="84"/>
      <c r="E4362" s="84"/>
      <c r="F4362" s="84"/>
      <c r="G4362" s="84"/>
      <c r="R4362" s="251"/>
      <c r="S4362" s="251"/>
    </row>
    <row r="4363" spans="2:19" ht="15">
      <c r="B4363" s="84"/>
      <c r="D4363" s="84"/>
      <c r="E4363" s="84"/>
      <c r="F4363" s="84"/>
      <c r="G4363" s="84"/>
      <c r="R4363" s="251"/>
      <c r="S4363" s="251"/>
    </row>
    <row r="4364" spans="2:19" ht="15">
      <c r="B4364" s="84"/>
      <c r="D4364" s="84"/>
      <c r="E4364" s="84"/>
      <c r="F4364" s="84"/>
      <c r="G4364" s="84"/>
      <c r="R4364" s="251"/>
      <c r="S4364" s="251"/>
    </row>
    <row r="4365" spans="2:19" ht="15">
      <c r="B4365" s="84"/>
      <c r="D4365" s="84"/>
      <c r="E4365" s="84"/>
      <c r="F4365" s="84"/>
      <c r="G4365" s="84"/>
      <c r="R4365" s="251"/>
      <c r="S4365" s="251"/>
    </row>
    <row r="4366" spans="2:19" ht="15">
      <c r="B4366" s="10" t="s">
        <v>201</v>
      </c>
      <c r="D4366" s="84"/>
      <c r="E4366" s="84"/>
      <c r="F4366" s="84"/>
      <c r="G4366" s="84"/>
      <c r="R4366" s="251"/>
      <c r="S4366" s="251"/>
    </row>
    <row r="4367" spans="2:19" ht="15">
      <c r="B4367" s="10"/>
      <c r="D4367" s="84"/>
      <c r="E4367" s="84"/>
      <c r="F4367" s="84"/>
      <c r="G4367" s="84"/>
      <c r="R4367" s="251"/>
      <c r="S4367" s="251"/>
    </row>
    <row r="4368" spans="2:19" ht="15">
      <c r="B4368" s="10"/>
      <c r="D4368" s="84"/>
      <c r="E4368" s="84"/>
      <c r="F4368" s="84"/>
      <c r="G4368" s="84"/>
      <c r="R4368" s="251"/>
      <c r="S4368" s="251"/>
    </row>
    <row r="4369" spans="2:19" ht="15">
      <c r="B4369" s="10"/>
      <c r="D4369" s="84"/>
      <c r="E4369" s="84"/>
      <c r="F4369" s="84"/>
      <c r="G4369" s="84"/>
      <c r="R4369" s="251"/>
      <c r="S4369" s="251"/>
    </row>
    <row r="4370" spans="2:19" ht="15">
      <c r="B4370" s="10"/>
      <c r="D4370" s="84"/>
      <c r="E4370" s="84"/>
      <c r="F4370" s="84"/>
      <c r="G4370" s="84"/>
      <c r="R4370" s="251"/>
      <c r="S4370" s="251"/>
    </row>
    <row r="4371" spans="2:19" ht="15">
      <c r="B4371" s="10"/>
      <c r="D4371" s="84"/>
      <c r="E4371" s="84"/>
      <c r="F4371" s="84"/>
      <c r="G4371" s="84"/>
      <c r="R4371" s="251"/>
      <c r="S4371" s="251"/>
    </row>
    <row r="4372" spans="2:19" ht="15">
      <c r="B4372" s="10"/>
      <c r="D4372" s="84"/>
      <c r="E4372" s="84"/>
      <c r="F4372" s="84"/>
      <c r="G4372" s="84"/>
      <c r="R4372" s="251"/>
      <c r="S4372" s="251"/>
    </row>
    <row r="4373" spans="2:19" ht="15">
      <c r="B4373" s="10"/>
      <c r="D4373" s="84"/>
      <c r="E4373" s="84"/>
      <c r="F4373" s="84"/>
      <c r="G4373" s="84"/>
      <c r="R4373" s="251"/>
      <c r="S4373" s="251"/>
    </row>
    <row r="4374" spans="2:19" ht="15">
      <c r="B4374" s="10"/>
      <c r="D4374" s="84"/>
      <c r="E4374" s="84"/>
      <c r="F4374" s="84"/>
      <c r="G4374" s="84"/>
      <c r="R4374" s="251"/>
      <c r="S4374" s="251"/>
    </row>
    <row r="4375" spans="2:19" ht="15">
      <c r="B4375" s="10"/>
      <c r="D4375" s="84"/>
      <c r="E4375" s="84"/>
      <c r="F4375" s="84"/>
      <c r="G4375" s="84"/>
      <c r="R4375" s="251"/>
      <c r="S4375" s="251"/>
    </row>
    <row r="4376" spans="2:19" ht="15">
      <c r="B4376" s="10"/>
      <c r="D4376" s="84"/>
      <c r="E4376" s="84"/>
      <c r="F4376" s="84"/>
      <c r="G4376" s="84"/>
      <c r="R4376" s="251"/>
      <c r="S4376" s="251"/>
    </row>
    <row r="4377" spans="2:19" ht="15">
      <c r="B4377" s="28"/>
      <c r="D4377" s="84"/>
      <c r="E4377" s="84"/>
      <c r="F4377" s="84"/>
      <c r="G4377" s="84"/>
      <c r="R4377" s="251"/>
      <c r="S4377" s="251"/>
    </row>
    <row r="4378" spans="2:19" ht="15">
      <c r="B4378" s="28"/>
      <c r="D4378" s="84"/>
      <c r="E4378" s="84"/>
      <c r="F4378" s="84"/>
      <c r="G4378" s="84"/>
      <c r="R4378" s="251"/>
      <c r="S4378" s="251"/>
    </row>
    <row r="4379" spans="2:19" ht="15">
      <c r="B4379" s="10"/>
      <c r="D4379" s="84"/>
      <c r="E4379" s="84"/>
      <c r="F4379" s="84"/>
      <c r="G4379" s="84"/>
      <c r="R4379" s="251"/>
      <c r="S4379" s="251"/>
    </row>
    <row r="4380" spans="2:19" ht="15">
      <c r="B4380" s="333"/>
      <c r="D4380" s="84"/>
      <c r="E4380" s="84"/>
      <c r="F4380" s="84"/>
      <c r="G4380" s="84"/>
      <c r="R4380" s="251"/>
      <c r="S4380" s="251"/>
    </row>
    <row r="4381" spans="2:19" ht="15">
      <c r="B4381" s="333"/>
      <c r="D4381" s="84"/>
      <c r="E4381" s="84"/>
      <c r="F4381" s="84"/>
      <c r="G4381" s="84"/>
      <c r="R4381" s="251"/>
      <c r="S4381" s="251"/>
    </row>
    <row r="4382" spans="2:19" ht="15">
      <c r="B4382" s="333"/>
      <c r="D4382" s="84"/>
      <c r="E4382" s="84"/>
      <c r="F4382" s="84"/>
      <c r="G4382" s="84"/>
      <c r="R4382" s="251"/>
      <c r="S4382" s="251"/>
    </row>
    <row r="4383" spans="2:19" ht="15">
      <c r="B4383" s="333"/>
      <c r="D4383" s="84"/>
      <c r="E4383" s="84"/>
      <c r="F4383" s="84"/>
      <c r="G4383" s="84"/>
      <c r="R4383" s="251"/>
      <c r="S4383" s="251"/>
    </row>
    <row r="4384" spans="2:19" ht="15">
      <c r="B4384" s="333"/>
      <c r="D4384" s="84"/>
      <c r="E4384" s="84"/>
      <c r="F4384" s="84"/>
      <c r="G4384" s="84"/>
      <c r="R4384" s="251"/>
      <c r="S4384" s="251"/>
    </row>
    <row r="4385" spans="2:19" ht="15">
      <c r="B4385" s="333"/>
      <c r="D4385" s="84"/>
      <c r="E4385" s="84"/>
      <c r="F4385" s="84"/>
      <c r="G4385" s="84"/>
      <c r="R4385" s="251"/>
      <c r="S4385" s="251"/>
    </row>
    <row r="4386" spans="2:19" ht="15">
      <c r="B4386" s="333"/>
      <c r="D4386" s="84"/>
      <c r="E4386" s="84"/>
      <c r="F4386" s="84"/>
      <c r="G4386" s="84"/>
      <c r="R4386" s="251"/>
      <c r="S4386" s="251"/>
    </row>
    <row r="4387" spans="2:19" ht="15">
      <c r="B4387" s="333"/>
      <c r="D4387" s="84"/>
      <c r="E4387" s="84"/>
      <c r="F4387" s="84"/>
      <c r="G4387" s="84"/>
      <c r="R4387" s="251"/>
      <c r="S4387" s="251"/>
    </row>
    <row r="4388" spans="2:19" ht="15">
      <c r="B4388" s="333"/>
      <c r="D4388" s="84"/>
      <c r="E4388" s="84"/>
      <c r="F4388" s="84"/>
      <c r="G4388" s="84"/>
      <c r="R4388" s="251"/>
      <c r="S4388" s="251"/>
    </row>
    <row r="4389" spans="2:19" ht="15">
      <c r="B4389" s="333"/>
      <c r="D4389" s="84"/>
      <c r="E4389" s="84"/>
      <c r="F4389" s="84"/>
      <c r="G4389" s="84"/>
      <c r="R4389" s="251"/>
      <c r="S4389" s="251"/>
    </row>
    <row r="4390" spans="2:19" ht="15">
      <c r="B4390" s="333"/>
      <c r="D4390" s="84"/>
      <c r="E4390" s="84"/>
      <c r="F4390" s="84"/>
      <c r="G4390" s="84"/>
      <c r="R4390" s="251"/>
      <c r="S4390" s="251"/>
    </row>
    <row r="4391" spans="2:19" ht="15">
      <c r="B4391" s="333"/>
      <c r="D4391" s="84"/>
      <c r="E4391" s="84"/>
      <c r="F4391" s="84"/>
      <c r="G4391" s="84"/>
      <c r="R4391" s="251"/>
      <c r="S4391" s="251"/>
    </row>
    <row r="4392" spans="2:19" ht="15">
      <c r="B4392" s="333"/>
      <c r="D4392" s="84"/>
      <c r="E4392" s="84"/>
      <c r="F4392" s="84"/>
      <c r="G4392" s="84"/>
      <c r="R4392" s="251"/>
      <c r="S4392" s="251"/>
    </row>
    <row r="4393" spans="2:19" ht="15">
      <c r="B4393" s="333"/>
      <c r="D4393" s="84"/>
      <c r="E4393" s="84"/>
      <c r="F4393" s="84"/>
      <c r="G4393" s="84"/>
      <c r="R4393" s="251"/>
      <c r="S4393" s="251"/>
    </row>
    <row r="4394" spans="2:19" ht="15">
      <c r="B4394" s="333"/>
      <c r="D4394" s="84"/>
      <c r="E4394" s="84"/>
      <c r="F4394" s="84"/>
      <c r="G4394" s="84"/>
      <c r="R4394" s="251"/>
      <c r="S4394" s="251"/>
    </row>
    <row r="4395" spans="2:19" ht="15">
      <c r="B4395" s="333"/>
      <c r="D4395" s="84"/>
      <c r="E4395" s="84"/>
      <c r="F4395" s="84"/>
      <c r="G4395" s="84"/>
      <c r="R4395" s="251"/>
      <c r="S4395" s="251"/>
    </row>
    <row r="4396" spans="2:19" ht="15">
      <c r="B4396" s="333"/>
      <c r="D4396" s="84"/>
      <c r="E4396" s="84"/>
      <c r="F4396" s="84"/>
      <c r="G4396" s="84"/>
      <c r="R4396" s="251"/>
      <c r="S4396" s="251"/>
    </row>
    <row r="4397" spans="2:19" ht="15">
      <c r="B4397" s="333"/>
      <c r="D4397" s="84"/>
      <c r="E4397" s="84"/>
      <c r="F4397" s="84"/>
      <c r="G4397" s="84"/>
      <c r="R4397" s="251"/>
      <c r="S4397" s="251"/>
    </row>
    <row r="4398" spans="2:19" ht="15">
      <c r="B4398" s="333"/>
      <c r="D4398" s="84"/>
      <c r="E4398" s="84"/>
      <c r="F4398" s="84"/>
      <c r="G4398" s="84"/>
      <c r="R4398" s="251"/>
      <c r="S4398" s="251"/>
    </row>
    <row r="4399" spans="2:19" ht="15">
      <c r="B4399" s="333"/>
      <c r="D4399" s="84"/>
      <c r="E4399" s="84"/>
      <c r="F4399" s="84"/>
      <c r="G4399" s="84"/>
      <c r="R4399" s="251"/>
      <c r="S4399" s="251"/>
    </row>
    <row r="4400" spans="2:19" ht="15">
      <c r="B4400" s="333"/>
      <c r="D4400" s="84"/>
      <c r="E4400" s="84"/>
      <c r="F4400" s="84"/>
      <c r="G4400" s="84"/>
      <c r="R4400" s="251"/>
      <c r="S4400" s="251"/>
    </row>
    <row r="4401" spans="2:19" ht="15">
      <c r="B4401" s="333"/>
      <c r="D4401" s="84"/>
      <c r="E4401" s="84"/>
      <c r="F4401" s="84"/>
      <c r="G4401" s="84"/>
      <c r="R4401" s="251"/>
      <c r="S4401" s="251"/>
    </row>
    <row r="4402" spans="2:19" ht="15">
      <c r="B4402" s="333"/>
      <c r="D4402" s="84"/>
      <c r="E4402" s="84"/>
      <c r="F4402" s="84"/>
      <c r="G4402" s="84"/>
      <c r="R4402" s="251"/>
      <c r="S4402" s="251"/>
    </row>
    <row r="4403" spans="2:19" ht="15">
      <c r="B4403" s="333"/>
      <c r="D4403" s="84"/>
      <c r="E4403" s="84"/>
      <c r="F4403" s="84"/>
      <c r="G4403" s="84"/>
      <c r="R4403" s="251"/>
      <c r="S4403" s="251"/>
    </row>
    <row r="4404" spans="2:19" ht="15">
      <c r="B4404" s="333"/>
      <c r="D4404" s="84"/>
      <c r="E4404" s="84"/>
      <c r="F4404" s="84"/>
      <c r="G4404" s="84"/>
      <c r="R4404" s="251"/>
      <c r="S4404" s="251"/>
    </row>
    <row r="4405" spans="2:19" ht="15">
      <c r="B4405" s="333"/>
      <c r="D4405" s="84"/>
      <c r="E4405" s="84"/>
      <c r="F4405" s="84"/>
      <c r="G4405" s="84"/>
      <c r="R4405" s="251"/>
      <c r="S4405" s="251"/>
    </row>
    <row r="4406" spans="2:19" ht="15">
      <c r="B4406" s="333"/>
      <c r="D4406" s="84"/>
      <c r="E4406" s="84"/>
      <c r="F4406" s="84"/>
      <c r="G4406" s="84"/>
      <c r="R4406" s="251"/>
      <c r="S4406" s="251"/>
    </row>
    <row r="4407" spans="2:19" ht="15">
      <c r="B4407" s="333"/>
      <c r="D4407" s="84"/>
      <c r="E4407" s="84"/>
      <c r="F4407" s="84"/>
      <c r="G4407" s="84"/>
      <c r="R4407" s="251"/>
      <c r="S4407" s="251"/>
    </row>
    <row r="4408" spans="2:19" ht="15">
      <c r="B4408" s="333"/>
      <c r="D4408" s="84"/>
      <c r="E4408" s="84"/>
      <c r="F4408" s="84"/>
      <c r="G4408" s="84"/>
      <c r="R4408" s="251"/>
      <c r="S4408" s="251"/>
    </row>
    <row r="4409" spans="2:19" ht="15">
      <c r="B4409" s="333"/>
      <c r="D4409" s="84"/>
      <c r="E4409" s="84"/>
      <c r="F4409" s="84"/>
      <c r="G4409" s="84"/>
      <c r="R4409" s="251"/>
      <c r="S4409" s="251"/>
    </row>
    <row r="4410" spans="2:19" ht="15">
      <c r="B4410" s="333"/>
      <c r="D4410" s="84"/>
      <c r="E4410" s="84"/>
      <c r="F4410" s="84"/>
      <c r="G4410" s="84"/>
      <c r="R4410" s="251"/>
      <c r="S4410" s="251"/>
    </row>
    <row r="4411" spans="2:19" ht="15">
      <c r="B4411" s="333"/>
      <c r="D4411" s="84"/>
      <c r="E4411" s="84"/>
      <c r="F4411" s="84"/>
      <c r="G4411" s="84"/>
      <c r="R4411" s="251"/>
      <c r="S4411" s="251"/>
    </row>
    <row r="4412" spans="2:19" ht="15">
      <c r="B4412" s="333"/>
      <c r="D4412" s="84"/>
      <c r="E4412" s="84"/>
      <c r="F4412" s="84"/>
      <c r="G4412" s="84"/>
      <c r="R4412" s="251"/>
      <c r="S4412" s="251"/>
    </row>
    <row r="4413" spans="2:19" ht="15">
      <c r="B4413" s="333"/>
      <c r="D4413" s="84"/>
      <c r="E4413" s="84"/>
      <c r="F4413" s="84"/>
      <c r="G4413" s="84"/>
      <c r="R4413" s="251"/>
      <c r="S4413" s="251"/>
    </row>
    <row r="4414" spans="2:19" ht="15">
      <c r="D4414" s="84"/>
      <c r="E4414" s="84"/>
      <c r="F4414" s="84"/>
      <c r="G4414" s="84"/>
      <c r="R4414" s="251"/>
      <c r="S4414" s="251"/>
    </row>
    <row r="4415" spans="2:19" ht="15">
      <c r="D4415" s="84"/>
      <c r="E4415" s="84"/>
      <c r="F4415" s="84"/>
      <c r="G4415" s="84"/>
      <c r="R4415" s="251"/>
      <c r="S4415" s="251"/>
    </row>
    <row r="4416" spans="2:19" ht="15">
      <c r="D4416" s="84"/>
      <c r="E4416" s="84"/>
      <c r="F4416" s="84"/>
      <c r="G4416" s="84"/>
      <c r="R4416" s="251"/>
      <c r="S4416" s="251"/>
    </row>
    <row r="4417" spans="4:19" ht="15">
      <c r="D4417" s="84"/>
      <c r="E4417" s="84"/>
      <c r="F4417" s="84"/>
      <c r="G4417" s="84"/>
      <c r="R4417" s="251"/>
      <c r="S4417" s="251"/>
    </row>
    <row r="4418" spans="4:19" ht="15">
      <c r="D4418" s="84"/>
      <c r="E4418" s="84"/>
      <c r="F4418" s="84"/>
      <c r="G4418" s="84"/>
      <c r="R4418" s="251"/>
      <c r="S4418" s="251"/>
    </row>
    <row r="4419" spans="4:19" ht="15">
      <c r="D4419" s="84"/>
      <c r="E4419" s="84"/>
      <c r="F4419" s="84"/>
      <c r="G4419" s="84"/>
      <c r="R4419" s="251"/>
      <c r="S4419" s="251"/>
    </row>
    <row r="4420" spans="4:19" ht="15">
      <c r="D4420" s="84"/>
      <c r="E4420" s="84"/>
      <c r="F4420" s="84"/>
      <c r="G4420" s="84"/>
      <c r="R4420" s="251"/>
      <c r="S4420" s="251"/>
    </row>
    <row r="4421" spans="4:19" ht="15">
      <c r="D4421" s="84"/>
      <c r="E4421" s="84"/>
      <c r="F4421" s="84"/>
      <c r="G4421" s="84"/>
      <c r="R4421" s="251"/>
      <c r="S4421" s="251"/>
    </row>
    <row r="4422" spans="4:19" ht="15">
      <c r="D4422" s="84"/>
      <c r="E4422" s="84"/>
      <c r="F4422" s="84"/>
      <c r="G4422" s="84"/>
      <c r="R4422" s="251"/>
      <c r="S4422" s="251"/>
    </row>
    <row r="4423" spans="4:19" ht="15">
      <c r="D4423" s="84"/>
      <c r="E4423" s="84"/>
      <c r="F4423" s="84"/>
      <c r="G4423" s="84"/>
      <c r="R4423" s="251"/>
      <c r="S4423" s="251"/>
    </row>
    <row r="4424" spans="4:19" ht="15">
      <c r="D4424" s="84"/>
      <c r="E4424" s="84"/>
      <c r="F4424" s="84"/>
      <c r="G4424" s="84"/>
      <c r="R4424" s="251"/>
      <c r="S4424" s="251"/>
    </row>
    <row r="4425" spans="4:19" ht="15">
      <c r="D4425" s="84"/>
      <c r="E4425" s="84"/>
      <c r="F4425" s="84"/>
      <c r="G4425" s="84"/>
      <c r="R4425" s="251"/>
      <c r="S4425" s="251"/>
    </row>
    <row r="4426" spans="4:19" ht="15">
      <c r="D4426" s="84"/>
      <c r="E4426" s="84"/>
      <c r="F4426" s="84"/>
      <c r="G4426" s="84"/>
      <c r="R4426" s="251"/>
      <c r="S4426" s="251"/>
    </row>
    <row r="4427" spans="4:19" ht="15">
      <c r="D4427" s="84"/>
      <c r="E4427" s="84"/>
      <c r="F4427" s="84"/>
      <c r="G4427" s="84"/>
      <c r="R4427" s="251"/>
      <c r="S4427" s="251"/>
    </row>
    <row r="4428" spans="4:19" ht="15">
      <c r="D4428" s="84"/>
      <c r="E4428" s="84"/>
      <c r="F4428" s="84"/>
      <c r="G4428" s="84"/>
      <c r="R4428" s="251"/>
      <c r="S4428" s="251"/>
    </row>
    <row r="4429" spans="4:19" ht="15">
      <c r="D4429" s="84"/>
      <c r="E4429" s="84"/>
      <c r="F4429" s="84"/>
      <c r="G4429" s="84"/>
      <c r="R4429" s="251"/>
      <c r="S4429" s="251"/>
    </row>
    <row r="4430" spans="4:19" ht="15">
      <c r="D4430" s="84"/>
      <c r="E4430" s="84"/>
      <c r="F4430" s="84"/>
      <c r="G4430" s="84"/>
      <c r="R4430" s="251"/>
      <c r="S4430" s="251"/>
    </row>
    <row r="4431" spans="4:19" ht="15">
      <c r="D4431" s="84"/>
      <c r="E4431" s="84"/>
      <c r="F4431" s="84"/>
      <c r="G4431" s="84"/>
      <c r="R4431" s="251"/>
      <c r="S4431" s="251"/>
    </row>
    <row r="4432" spans="4:19" ht="15">
      <c r="D4432" s="84"/>
      <c r="E4432" s="84"/>
      <c r="F4432" s="84"/>
      <c r="G4432" s="84"/>
      <c r="R4432" s="251"/>
      <c r="S4432" s="251"/>
    </row>
    <row r="4433" spans="4:19" ht="15">
      <c r="D4433" s="84"/>
      <c r="E4433" s="84"/>
      <c r="F4433" s="84"/>
      <c r="G4433" s="84"/>
      <c r="R4433" s="251"/>
      <c r="S4433" s="251"/>
    </row>
    <row r="4434" spans="4:19" ht="15">
      <c r="D4434" s="84"/>
      <c r="E4434" s="84"/>
      <c r="F4434" s="84"/>
      <c r="G4434" s="84"/>
      <c r="R4434" s="251"/>
      <c r="S4434" s="251"/>
    </row>
    <row r="4435" spans="4:19" ht="15">
      <c r="D4435" s="84"/>
      <c r="E4435" s="84"/>
      <c r="F4435" s="84"/>
      <c r="G4435" s="84"/>
      <c r="R4435" s="251"/>
      <c r="S4435" s="251"/>
    </row>
    <row r="4436" spans="4:19" ht="15">
      <c r="D4436" s="84"/>
      <c r="E4436" s="84"/>
      <c r="F4436" s="84"/>
      <c r="G4436" s="84"/>
      <c r="R4436" s="251"/>
      <c r="S4436" s="251"/>
    </row>
    <row r="4437" spans="4:19" ht="15">
      <c r="D4437" s="84"/>
      <c r="E4437" s="84"/>
      <c r="F4437" s="84"/>
      <c r="G4437" s="84"/>
      <c r="R4437" s="251"/>
      <c r="S4437" s="251"/>
    </row>
    <row r="4438" spans="4:19" ht="15">
      <c r="D4438" s="84"/>
      <c r="E4438" s="84"/>
      <c r="F4438" s="84"/>
      <c r="G4438" s="84"/>
      <c r="R4438" s="251"/>
      <c r="S4438" s="251"/>
    </row>
    <row r="4439" spans="4:19" ht="15">
      <c r="D4439" s="84"/>
      <c r="E4439" s="84"/>
      <c r="F4439" s="84"/>
      <c r="G4439" s="84"/>
      <c r="R4439" s="251"/>
      <c r="S4439" s="251"/>
    </row>
    <row r="4440" spans="4:19" ht="15">
      <c r="D4440" s="84"/>
      <c r="E4440" s="84"/>
      <c r="F4440" s="84"/>
      <c r="G4440" s="84"/>
      <c r="R4440" s="251"/>
      <c r="S4440" s="251"/>
    </row>
    <row r="4441" spans="4:19" ht="15">
      <c r="D4441" s="84"/>
      <c r="E4441" s="84"/>
      <c r="F4441" s="84"/>
      <c r="G4441" s="84"/>
      <c r="R4441" s="251"/>
      <c r="S4441" s="251"/>
    </row>
    <row r="4442" spans="4:19" ht="15">
      <c r="D4442" s="84"/>
      <c r="E4442" s="84"/>
      <c r="F4442" s="84"/>
      <c r="G4442" s="84"/>
      <c r="R4442" s="251"/>
      <c r="S4442" s="251"/>
    </row>
    <row r="4443" spans="4:19" ht="15">
      <c r="D4443" s="84"/>
      <c r="E4443" s="84"/>
      <c r="F4443" s="84"/>
      <c r="G4443" s="84"/>
      <c r="R4443" s="251"/>
      <c r="S4443" s="251"/>
    </row>
    <row r="4444" spans="4:19" ht="15">
      <c r="D4444" s="84"/>
      <c r="E4444" s="84"/>
      <c r="F4444" s="84"/>
      <c r="G4444" s="84"/>
      <c r="R4444" s="251"/>
      <c r="S4444" s="251"/>
    </row>
    <row r="4445" spans="4:19" ht="15">
      <c r="D4445" s="84"/>
      <c r="E4445" s="84"/>
      <c r="F4445" s="84"/>
      <c r="G4445" s="84"/>
      <c r="R4445" s="251"/>
      <c r="S4445" s="251"/>
    </row>
    <row r="4446" spans="4:19" ht="15">
      <c r="D4446" s="84"/>
      <c r="E4446" s="84"/>
      <c r="F4446" s="84"/>
      <c r="G4446" s="84"/>
      <c r="R4446" s="251"/>
      <c r="S4446" s="251"/>
    </row>
    <row r="4447" spans="4:19" ht="15">
      <c r="D4447" s="84"/>
      <c r="E4447" s="84"/>
      <c r="F4447" s="84"/>
      <c r="G4447" s="84"/>
      <c r="R4447" s="251"/>
      <c r="S4447" s="251"/>
    </row>
    <row r="4448" spans="4:19" ht="15">
      <c r="D4448" s="84"/>
      <c r="E4448" s="84"/>
      <c r="F4448" s="84"/>
      <c r="G4448" s="84"/>
      <c r="R4448" s="251"/>
      <c r="S4448" s="251"/>
    </row>
    <row r="4449" spans="4:19" ht="15">
      <c r="D4449" s="84"/>
      <c r="E4449" s="84"/>
      <c r="F4449" s="84"/>
      <c r="G4449" s="84"/>
      <c r="R4449" s="251"/>
      <c r="S4449" s="251"/>
    </row>
    <row r="4450" spans="4:19" ht="15">
      <c r="D4450" s="84"/>
      <c r="E4450" s="84"/>
      <c r="F4450" s="84"/>
      <c r="G4450" s="84"/>
      <c r="R4450" s="251"/>
      <c r="S4450" s="251"/>
    </row>
    <row r="4451" spans="4:19" ht="15">
      <c r="D4451" s="84"/>
      <c r="E4451" s="84"/>
      <c r="F4451" s="84"/>
      <c r="G4451" s="84"/>
      <c r="R4451" s="251"/>
      <c r="S4451" s="251"/>
    </row>
    <row r="4452" spans="4:19" ht="15">
      <c r="D4452" s="84"/>
      <c r="E4452" s="84"/>
      <c r="F4452" s="84"/>
      <c r="G4452" s="84"/>
      <c r="R4452" s="251"/>
      <c r="S4452" s="251"/>
    </row>
    <row r="4453" spans="4:19" ht="15">
      <c r="D4453" s="84"/>
      <c r="E4453" s="84"/>
      <c r="F4453" s="84"/>
      <c r="G4453" s="84"/>
      <c r="R4453" s="251"/>
      <c r="S4453" s="251"/>
    </row>
    <row r="4454" spans="4:19" ht="15">
      <c r="D4454" s="84"/>
      <c r="E4454" s="84"/>
      <c r="F4454" s="84"/>
      <c r="G4454" s="84"/>
      <c r="R4454" s="251"/>
      <c r="S4454" s="251"/>
    </row>
    <row r="4455" spans="4:19" ht="15">
      <c r="D4455" s="84"/>
      <c r="E4455" s="84"/>
      <c r="F4455" s="84"/>
      <c r="G4455" s="84"/>
      <c r="R4455" s="251"/>
      <c r="S4455" s="251"/>
    </row>
    <row r="4456" spans="4:19" ht="15">
      <c r="D4456" s="84"/>
      <c r="E4456" s="84"/>
      <c r="F4456" s="84"/>
      <c r="G4456" s="84"/>
      <c r="R4456" s="251"/>
      <c r="S4456" s="251"/>
    </row>
    <row r="4457" spans="4:19" ht="15">
      <c r="D4457" s="84"/>
      <c r="E4457" s="84"/>
      <c r="F4457" s="84"/>
      <c r="G4457" s="84"/>
      <c r="R4457" s="251"/>
      <c r="S4457" s="251"/>
    </row>
    <row r="4458" spans="4:19" ht="15">
      <c r="D4458" s="84"/>
      <c r="E4458" s="84"/>
      <c r="F4458" s="84"/>
      <c r="G4458" s="84"/>
      <c r="R4458" s="251"/>
      <c r="S4458" s="251"/>
    </row>
    <row r="4459" spans="4:19" ht="15">
      <c r="D4459" s="84"/>
      <c r="E4459" s="84"/>
      <c r="F4459" s="84"/>
      <c r="G4459" s="84"/>
      <c r="R4459" s="251"/>
      <c r="S4459" s="251"/>
    </row>
    <row r="4460" spans="4:19" ht="15">
      <c r="D4460" s="84"/>
      <c r="E4460" s="84"/>
      <c r="F4460" s="84"/>
      <c r="G4460" s="84"/>
      <c r="R4460" s="251"/>
      <c r="S4460" s="251"/>
    </row>
    <row r="4461" spans="4:19" ht="15">
      <c r="D4461" s="84"/>
      <c r="E4461" s="84"/>
      <c r="F4461" s="84"/>
      <c r="G4461" s="84"/>
      <c r="R4461" s="251"/>
      <c r="S4461" s="251"/>
    </row>
    <row r="4462" spans="4:19" ht="15">
      <c r="D4462" s="84"/>
      <c r="E4462" s="84"/>
      <c r="F4462" s="84"/>
      <c r="G4462" s="84"/>
      <c r="R4462" s="251"/>
      <c r="S4462" s="251"/>
    </row>
    <row r="4463" spans="4:19" ht="15">
      <c r="D4463" s="84"/>
      <c r="E4463" s="84"/>
      <c r="F4463" s="84"/>
      <c r="G4463" s="84"/>
      <c r="R4463" s="251"/>
      <c r="S4463" s="251"/>
    </row>
    <row r="4464" spans="4:19" ht="15">
      <c r="D4464" s="84"/>
      <c r="E4464" s="84"/>
      <c r="F4464" s="84"/>
      <c r="G4464" s="84"/>
      <c r="R4464" s="251"/>
      <c r="S4464" s="251"/>
    </row>
    <row r="4465" spans="4:19" ht="15">
      <c r="D4465" s="84"/>
      <c r="E4465" s="84"/>
      <c r="F4465" s="84"/>
      <c r="G4465" s="84"/>
      <c r="R4465" s="251"/>
      <c r="S4465" s="251"/>
    </row>
    <row r="4466" spans="4:19" ht="15">
      <c r="D4466" s="84"/>
      <c r="E4466" s="84"/>
      <c r="F4466" s="84"/>
      <c r="G4466" s="84"/>
      <c r="R4466" s="251"/>
      <c r="S4466" s="251"/>
    </row>
    <row r="4467" spans="4:19" ht="15">
      <c r="D4467" s="84"/>
      <c r="E4467" s="84"/>
      <c r="F4467" s="84"/>
      <c r="G4467" s="84"/>
      <c r="R4467" s="251"/>
      <c r="S4467" s="251"/>
    </row>
    <row r="4468" spans="4:19" ht="15">
      <c r="D4468" s="84"/>
      <c r="E4468" s="84"/>
      <c r="F4468" s="84"/>
      <c r="G4468" s="84"/>
      <c r="R4468" s="251"/>
      <c r="S4468" s="251"/>
    </row>
    <row r="4469" spans="4:19" ht="15">
      <c r="D4469" s="84"/>
      <c r="E4469" s="84"/>
      <c r="F4469" s="84"/>
      <c r="G4469" s="84"/>
      <c r="R4469" s="251"/>
      <c r="S4469" s="251"/>
    </row>
    <row r="4470" spans="4:19" ht="15">
      <c r="D4470" s="84"/>
      <c r="E4470" s="84"/>
      <c r="F4470" s="84"/>
      <c r="G4470" s="84"/>
      <c r="R4470" s="251"/>
      <c r="S4470" s="251"/>
    </row>
    <row r="4471" spans="4:19" ht="15">
      <c r="D4471" s="84"/>
      <c r="E4471" s="84"/>
      <c r="F4471" s="84"/>
      <c r="G4471" s="84"/>
      <c r="R4471" s="251"/>
      <c r="S4471" s="251"/>
    </row>
    <row r="4472" spans="4:19" ht="15">
      <c r="D4472" s="84"/>
      <c r="E4472" s="84"/>
      <c r="F4472" s="84"/>
      <c r="G4472" s="84"/>
      <c r="R4472" s="251"/>
      <c r="S4472" s="251"/>
    </row>
    <row r="4473" spans="4:19" ht="15">
      <c r="D4473" s="84"/>
      <c r="E4473" s="84"/>
      <c r="F4473" s="84"/>
      <c r="G4473" s="84"/>
      <c r="R4473" s="251"/>
      <c r="S4473" s="251"/>
    </row>
    <row r="4474" spans="4:19" ht="15">
      <c r="D4474" s="84"/>
      <c r="E4474" s="84"/>
      <c r="F4474" s="84"/>
      <c r="G4474" s="84"/>
      <c r="R4474" s="251"/>
      <c r="S4474" s="251"/>
    </row>
    <row r="4475" spans="4:19" ht="15">
      <c r="D4475" s="84"/>
      <c r="E4475" s="84"/>
      <c r="F4475" s="84"/>
      <c r="G4475" s="84"/>
      <c r="R4475" s="251"/>
      <c r="S4475" s="251"/>
    </row>
    <row r="4476" spans="4:19" ht="15">
      <c r="D4476" s="84"/>
      <c r="E4476" s="84"/>
      <c r="F4476" s="84"/>
      <c r="G4476" s="84"/>
      <c r="R4476" s="251"/>
      <c r="S4476" s="251"/>
    </row>
    <row r="4477" spans="4:19" ht="15">
      <c r="D4477" s="84"/>
      <c r="E4477" s="84"/>
      <c r="F4477" s="84"/>
      <c r="G4477" s="84"/>
      <c r="R4477" s="251"/>
      <c r="S4477" s="251"/>
    </row>
    <row r="4478" spans="4:19" ht="15">
      <c r="D4478" s="84"/>
      <c r="E4478" s="84"/>
      <c r="F4478" s="84"/>
      <c r="G4478" s="84"/>
      <c r="R4478" s="251"/>
      <c r="S4478" s="251"/>
    </row>
    <row r="4479" spans="4:19" ht="15">
      <c r="D4479" s="84"/>
      <c r="E4479" s="84"/>
      <c r="F4479" s="84"/>
      <c r="G4479" s="84"/>
      <c r="R4479" s="251"/>
      <c r="S4479" s="251"/>
    </row>
    <row r="4480" spans="4:19" ht="15">
      <c r="D4480" s="84"/>
      <c r="E4480" s="84"/>
      <c r="F4480" s="84"/>
      <c r="G4480" s="84"/>
      <c r="R4480" s="251"/>
      <c r="S4480" s="251"/>
    </row>
    <row r="4481" spans="4:19" ht="15">
      <c r="D4481" s="84"/>
      <c r="E4481" s="84"/>
      <c r="F4481" s="84"/>
      <c r="G4481" s="84"/>
      <c r="R4481" s="251"/>
      <c r="S4481" s="251"/>
    </row>
    <row r="4482" spans="4:19" ht="15">
      <c r="D4482" s="84"/>
      <c r="E4482" s="84"/>
      <c r="F4482" s="84"/>
      <c r="G4482" s="84"/>
      <c r="R4482" s="251"/>
      <c r="S4482" s="251"/>
    </row>
    <row r="4483" spans="4:19" ht="15">
      <c r="D4483" s="84"/>
      <c r="E4483" s="84"/>
      <c r="F4483" s="84"/>
      <c r="G4483" s="84"/>
      <c r="R4483" s="251"/>
      <c r="S4483" s="251"/>
    </row>
    <row r="4484" spans="4:19" ht="15">
      <c r="D4484" s="84"/>
      <c r="E4484" s="84"/>
      <c r="F4484" s="84"/>
      <c r="G4484" s="84"/>
      <c r="R4484" s="251"/>
      <c r="S4484" s="251"/>
    </row>
    <row r="4485" spans="4:19" ht="15">
      <c r="D4485" s="84"/>
      <c r="E4485" s="84"/>
      <c r="F4485" s="84"/>
      <c r="G4485" s="84"/>
      <c r="R4485" s="251"/>
      <c r="S4485" s="251"/>
    </row>
    <row r="4486" spans="4:19" ht="15">
      <c r="D4486" s="84"/>
      <c r="E4486" s="84"/>
      <c r="F4486" s="84"/>
      <c r="G4486" s="84"/>
      <c r="R4486" s="251"/>
      <c r="S4486" s="251"/>
    </row>
    <row r="4487" spans="4:19" ht="15">
      <c r="D4487" s="84"/>
      <c r="E4487" s="84"/>
      <c r="F4487" s="84"/>
      <c r="G4487" s="84"/>
      <c r="R4487" s="251"/>
      <c r="S4487" s="251"/>
    </row>
    <row r="4488" spans="4:19" ht="15">
      <c r="D4488" s="84"/>
      <c r="E4488" s="84"/>
      <c r="F4488" s="84"/>
      <c r="G4488" s="84"/>
      <c r="R4488" s="251"/>
      <c r="S4488" s="251"/>
    </row>
    <row r="4489" spans="4:19" ht="15">
      <c r="D4489" s="84"/>
      <c r="E4489" s="84"/>
      <c r="F4489" s="84"/>
      <c r="G4489" s="84"/>
      <c r="R4489" s="251"/>
      <c r="S4489" s="251"/>
    </row>
    <row r="4490" spans="4:19" ht="15">
      <c r="D4490" s="84"/>
      <c r="E4490" s="84"/>
      <c r="F4490" s="84"/>
      <c r="G4490" s="84"/>
      <c r="R4490" s="251"/>
      <c r="S4490" s="251"/>
    </row>
    <row r="4491" spans="4:19" ht="15">
      <c r="D4491" s="84"/>
      <c r="E4491" s="84"/>
      <c r="F4491" s="84"/>
      <c r="G4491" s="84"/>
      <c r="R4491" s="251"/>
      <c r="S4491" s="251"/>
    </row>
    <row r="4492" spans="4:19" ht="15">
      <c r="D4492" s="84"/>
      <c r="E4492" s="84"/>
      <c r="F4492" s="84"/>
      <c r="G4492" s="84"/>
      <c r="R4492" s="251"/>
      <c r="S4492" s="251"/>
    </row>
    <row r="4493" spans="4:19" ht="15">
      <c r="D4493" s="84"/>
      <c r="E4493" s="84"/>
      <c r="F4493" s="84"/>
      <c r="G4493" s="84"/>
      <c r="R4493" s="251"/>
      <c r="S4493" s="251"/>
    </row>
    <row r="4494" spans="4:19" ht="15">
      <c r="D4494" s="84"/>
      <c r="E4494" s="84"/>
      <c r="F4494" s="84"/>
      <c r="G4494" s="84"/>
      <c r="R4494" s="251"/>
      <c r="S4494" s="251"/>
    </row>
    <row r="4495" spans="4:19" ht="15">
      <c r="D4495" s="84"/>
      <c r="E4495" s="84"/>
      <c r="F4495" s="84"/>
      <c r="G4495" s="84"/>
      <c r="R4495" s="251"/>
      <c r="S4495" s="251"/>
    </row>
    <row r="4496" spans="4:19" ht="15">
      <c r="D4496" s="84"/>
      <c r="E4496" s="84"/>
      <c r="F4496" s="84"/>
      <c r="G4496" s="84"/>
      <c r="R4496" s="251"/>
      <c r="S4496" s="251"/>
    </row>
    <row r="4497" spans="4:19" ht="15">
      <c r="D4497" s="84"/>
      <c r="E4497" s="84"/>
      <c r="F4497" s="84"/>
      <c r="G4497" s="84"/>
      <c r="R4497" s="251"/>
      <c r="S4497" s="251"/>
    </row>
    <row r="4498" spans="4:19" ht="15">
      <c r="D4498" s="84"/>
      <c r="E4498" s="84"/>
      <c r="F4498" s="84"/>
      <c r="G4498" s="84"/>
      <c r="R4498" s="251"/>
      <c r="S4498" s="251"/>
    </row>
    <row r="4499" spans="4:19" ht="15">
      <c r="D4499" s="84"/>
      <c r="E4499" s="84"/>
      <c r="F4499" s="84"/>
      <c r="G4499" s="84"/>
      <c r="R4499" s="251"/>
      <c r="S4499" s="251"/>
    </row>
    <row r="4500" spans="4:19" ht="15">
      <c r="D4500" s="84"/>
      <c r="E4500" s="84"/>
      <c r="F4500" s="84"/>
      <c r="G4500" s="84"/>
      <c r="R4500" s="251"/>
      <c r="S4500" s="251"/>
    </row>
    <row r="4501" spans="4:19" ht="15">
      <c r="D4501" s="84"/>
      <c r="E4501" s="84"/>
      <c r="F4501" s="84"/>
      <c r="G4501" s="84"/>
      <c r="R4501" s="251"/>
      <c r="S4501" s="251"/>
    </row>
    <row r="4502" spans="4:19" ht="15">
      <c r="D4502" s="84"/>
      <c r="E4502" s="84"/>
      <c r="F4502" s="84"/>
      <c r="G4502" s="84"/>
      <c r="R4502" s="251"/>
      <c r="S4502" s="251"/>
    </row>
    <row r="4503" spans="4:19" ht="15">
      <c r="D4503" s="84"/>
      <c r="E4503" s="84"/>
      <c r="F4503" s="84"/>
      <c r="G4503" s="84"/>
      <c r="R4503" s="251"/>
      <c r="S4503" s="251"/>
    </row>
    <row r="4504" spans="4:19" ht="15">
      <c r="D4504" s="84"/>
      <c r="E4504" s="84"/>
      <c r="F4504" s="84"/>
      <c r="G4504" s="84"/>
      <c r="R4504" s="251"/>
      <c r="S4504" s="251"/>
    </row>
    <row r="4505" spans="4:19" ht="15">
      <c r="D4505" s="84"/>
      <c r="E4505" s="84"/>
      <c r="F4505" s="84"/>
      <c r="G4505" s="84"/>
      <c r="R4505" s="251"/>
      <c r="S4505" s="251"/>
    </row>
    <row r="4506" spans="4:19" ht="15">
      <c r="D4506" s="84"/>
      <c r="E4506" s="84"/>
      <c r="F4506" s="84"/>
      <c r="G4506" s="84"/>
      <c r="R4506" s="251"/>
      <c r="S4506" s="251"/>
    </row>
    <row r="4507" spans="4:19" ht="15">
      <c r="D4507" s="84"/>
      <c r="E4507" s="84"/>
      <c r="F4507" s="84"/>
      <c r="G4507" s="84"/>
      <c r="R4507" s="251"/>
      <c r="S4507" s="251"/>
    </row>
    <row r="4508" spans="4:19" ht="15">
      <c r="D4508" s="84"/>
      <c r="E4508" s="84"/>
      <c r="F4508" s="84"/>
      <c r="G4508" s="84"/>
      <c r="R4508" s="251"/>
      <c r="S4508" s="251"/>
    </row>
    <row r="4509" spans="4:19" ht="15">
      <c r="D4509" s="84"/>
      <c r="E4509" s="84"/>
      <c r="F4509" s="84"/>
      <c r="G4509" s="84"/>
      <c r="R4509" s="251"/>
      <c r="S4509" s="251"/>
    </row>
    <row r="4510" spans="4:19" ht="15">
      <c r="D4510" s="84"/>
      <c r="E4510" s="84"/>
      <c r="F4510" s="84"/>
      <c r="G4510" s="84"/>
      <c r="R4510" s="251"/>
      <c r="S4510" s="251"/>
    </row>
    <row r="4511" spans="4:19" ht="15">
      <c r="D4511" s="84"/>
      <c r="E4511" s="84"/>
      <c r="F4511" s="84"/>
      <c r="G4511" s="84"/>
      <c r="R4511" s="251"/>
      <c r="S4511" s="251"/>
    </row>
    <row r="4512" spans="4:19" ht="15">
      <c r="D4512" s="84"/>
      <c r="E4512" s="84"/>
      <c r="F4512" s="84"/>
      <c r="G4512" s="84"/>
      <c r="R4512" s="251"/>
      <c r="S4512" s="251"/>
    </row>
    <row r="4513" spans="4:19" ht="15">
      <c r="D4513" s="84"/>
      <c r="E4513" s="84"/>
      <c r="F4513" s="84"/>
      <c r="G4513" s="84"/>
      <c r="R4513" s="251"/>
      <c r="S4513" s="251"/>
    </row>
    <row r="4514" spans="4:19" ht="15">
      <c r="D4514" s="84"/>
      <c r="E4514" s="84"/>
      <c r="F4514" s="84"/>
      <c r="G4514" s="84"/>
      <c r="R4514" s="251"/>
      <c r="S4514" s="251"/>
    </row>
    <row r="4515" spans="4:19" ht="15">
      <c r="D4515" s="84"/>
      <c r="E4515" s="84"/>
      <c r="F4515" s="84"/>
      <c r="G4515" s="84"/>
      <c r="R4515" s="251"/>
      <c r="S4515" s="251"/>
    </row>
    <row r="4516" spans="4:19" ht="15">
      <c r="D4516" s="84"/>
      <c r="E4516" s="84"/>
      <c r="F4516" s="84"/>
      <c r="G4516" s="84"/>
      <c r="R4516" s="251"/>
      <c r="S4516" s="251"/>
    </row>
    <row r="4517" spans="4:19" ht="15">
      <c r="D4517" s="84"/>
      <c r="E4517" s="84"/>
      <c r="F4517" s="84"/>
      <c r="G4517" s="84"/>
      <c r="R4517" s="251"/>
      <c r="S4517" s="251"/>
    </row>
    <row r="4518" spans="4:19" ht="15">
      <c r="D4518" s="84"/>
      <c r="E4518" s="84"/>
      <c r="F4518" s="84"/>
      <c r="G4518" s="84"/>
      <c r="R4518" s="251"/>
      <c r="S4518" s="251"/>
    </row>
    <row r="4519" spans="4:19" ht="15">
      <c r="D4519" s="84"/>
      <c r="E4519" s="84"/>
      <c r="F4519" s="84"/>
      <c r="G4519" s="84"/>
      <c r="R4519" s="251"/>
      <c r="S4519" s="251"/>
    </row>
    <row r="4520" spans="4:19" ht="15">
      <c r="D4520" s="84"/>
      <c r="E4520" s="84"/>
      <c r="F4520" s="84"/>
      <c r="G4520" s="84"/>
      <c r="R4520" s="251"/>
      <c r="S4520" s="251"/>
    </row>
    <row r="4521" spans="4:19" ht="15">
      <c r="D4521" s="84"/>
      <c r="E4521" s="84"/>
      <c r="F4521" s="84"/>
      <c r="G4521" s="84"/>
      <c r="R4521" s="251"/>
      <c r="S4521" s="251"/>
    </row>
    <row r="4522" spans="4:19" ht="15">
      <c r="D4522" s="84"/>
      <c r="E4522" s="84"/>
      <c r="F4522" s="84"/>
      <c r="G4522" s="84"/>
      <c r="R4522" s="251"/>
      <c r="S4522" s="251"/>
    </row>
    <row r="4523" spans="4:19" ht="15">
      <c r="D4523" s="84"/>
      <c r="E4523" s="84"/>
      <c r="F4523" s="84"/>
      <c r="G4523" s="84"/>
      <c r="R4523" s="251"/>
      <c r="S4523" s="251"/>
    </row>
    <row r="4524" spans="4:19" ht="15">
      <c r="D4524" s="84"/>
      <c r="E4524" s="84"/>
      <c r="F4524" s="84"/>
      <c r="G4524" s="84"/>
      <c r="R4524" s="251"/>
      <c r="S4524" s="251"/>
    </row>
    <row r="4525" spans="4:19" ht="15">
      <c r="D4525" s="84"/>
      <c r="E4525" s="84"/>
      <c r="F4525" s="84"/>
      <c r="G4525" s="84"/>
      <c r="R4525" s="251"/>
      <c r="S4525" s="251"/>
    </row>
    <row r="4526" spans="4:19" ht="15">
      <c r="D4526" s="84"/>
      <c r="E4526" s="84"/>
      <c r="F4526" s="84"/>
      <c r="G4526" s="84"/>
      <c r="R4526" s="251"/>
      <c r="S4526" s="251"/>
    </row>
    <row r="4527" spans="4:19" ht="15">
      <c r="D4527" s="84"/>
      <c r="E4527" s="84"/>
      <c r="F4527" s="84"/>
      <c r="G4527" s="84"/>
      <c r="R4527" s="251"/>
      <c r="S4527" s="251"/>
    </row>
    <row r="4528" spans="4:19" ht="15">
      <c r="D4528" s="84"/>
      <c r="E4528" s="84"/>
      <c r="F4528" s="84"/>
      <c r="G4528" s="84"/>
      <c r="R4528" s="251"/>
      <c r="S4528" s="251"/>
    </row>
    <row r="4529" spans="4:19" ht="15">
      <c r="D4529" s="84"/>
      <c r="E4529" s="84"/>
      <c r="F4529" s="84"/>
      <c r="G4529" s="84"/>
      <c r="R4529" s="251"/>
      <c r="S4529" s="251"/>
    </row>
    <row r="4530" spans="4:19" ht="15">
      <c r="D4530" s="84"/>
      <c r="E4530" s="84"/>
      <c r="F4530" s="84"/>
      <c r="G4530" s="84"/>
      <c r="R4530" s="251"/>
      <c r="S4530" s="251"/>
    </row>
    <row r="4531" spans="4:19" ht="15">
      <c r="D4531" s="84"/>
      <c r="E4531" s="84"/>
      <c r="F4531" s="84"/>
      <c r="G4531" s="84"/>
      <c r="R4531" s="251"/>
      <c r="S4531" s="251"/>
    </row>
    <row r="4532" spans="4:19" ht="15">
      <c r="D4532" s="84"/>
      <c r="E4532" s="84"/>
      <c r="F4532" s="84"/>
      <c r="G4532" s="84"/>
      <c r="R4532" s="251"/>
      <c r="S4532" s="251"/>
    </row>
    <row r="4533" spans="4:19" ht="15">
      <c r="D4533" s="84"/>
      <c r="E4533" s="84"/>
      <c r="F4533" s="84"/>
      <c r="G4533" s="84"/>
      <c r="R4533" s="251"/>
      <c r="S4533" s="251"/>
    </row>
    <row r="4534" spans="4:19" ht="15">
      <c r="D4534" s="84"/>
      <c r="E4534" s="84"/>
      <c r="F4534" s="84"/>
      <c r="G4534" s="84"/>
      <c r="R4534" s="251"/>
      <c r="S4534" s="251"/>
    </row>
    <row r="4535" spans="4:19" ht="15">
      <c r="D4535" s="84"/>
      <c r="E4535" s="84"/>
      <c r="F4535" s="84"/>
      <c r="G4535" s="84"/>
      <c r="R4535" s="251"/>
      <c r="S4535" s="251"/>
    </row>
    <row r="4536" spans="4:19" ht="15">
      <c r="D4536" s="84"/>
      <c r="E4536" s="84"/>
      <c r="F4536" s="84"/>
      <c r="G4536" s="84"/>
      <c r="R4536" s="251"/>
      <c r="S4536" s="251"/>
    </row>
    <row r="4537" spans="4:19" ht="15">
      <c r="D4537" s="84"/>
      <c r="E4537" s="84"/>
      <c r="F4537" s="84"/>
      <c r="G4537" s="84"/>
      <c r="R4537" s="251"/>
      <c r="S4537" s="251"/>
    </row>
    <row r="4538" spans="4:19" ht="15">
      <c r="D4538" s="84"/>
      <c r="E4538" s="84"/>
      <c r="F4538" s="84"/>
      <c r="G4538" s="84"/>
      <c r="R4538" s="251"/>
      <c r="S4538" s="251"/>
    </row>
    <row r="4539" spans="4:19" ht="15">
      <c r="D4539" s="84"/>
      <c r="E4539" s="84"/>
      <c r="F4539" s="84"/>
      <c r="G4539" s="84"/>
      <c r="R4539" s="251"/>
      <c r="S4539" s="251"/>
    </row>
    <row r="4540" spans="4:19" ht="15">
      <c r="D4540" s="84"/>
      <c r="E4540" s="84"/>
      <c r="F4540" s="84"/>
      <c r="G4540" s="84"/>
      <c r="R4540" s="251"/>
      <c r="S4540" s="251"/>
    </row>
    <row r="4541" spans="4:19" ht="15">
      <c r="D4541" s="84"/>
      <c r="E4541" s="84"/>
      <c r="F4541" s="84"/>
      <c r="G4541" s="84"/>
      <c r="R4541" s="251"/>
      <c r="S4541" s="251"/>
    </row>
    <row r="4542" spans="4:19" ht="15">
      <c r="D4542" s="84"/>
      <c r="E4542" s="84"/>
      <c r="F4542" s="84"/>
      <c r="G4542" s="84"/>
      <c r="R4542" s="251"/>
      <c r="S4542" s="251"/>
    </row>
    <row r="4543" spans="4:19" ht="15">
      <c r="D4543" s="84"/>
      <c r="E4543" s="84"/>
      <c r="F4543" s="84"/>
      <c r="G4543" s="84"/>
      <c r="R4543" s="251"/>
      <c r="S4543" s="251"/>
    </row>
    <row r="4544" spans="4:19" ht="15">
      <c r="D4544" s="84"/>
      <c r="E4544" s="84"/>
      <c r="F4544" s="84"/>
      <c r="G4544" s="84"/>
      <c r="R4544" s="251"/>
      <c r="S4544" s="251"/>
    </row>
    <row r="4545" spans="4:19" ht="15">
      <c r="D4545" s="84"/>
      <c r="E4545" s="84"/>
      <c r="F4545" s="84"/>
      <c r="G4545" s="84"/>
      <c r="R4545" s="251"/>
      <c r="S4545" s="251"/>
    </row>
    <row r="4546" spans="4:19" ht="15">
      <c r="D4546" s="84"/>
      <c r="E4546" s="84"/>
      <c r="F4546" s="84"/>
      <c r="G4546" s="84"/>
      <c r="R4546" s="251"/>
      <c r="S4546" s="251"/>
    </row>
    <row r="4547" spans="4:19" ht="15">
      <c r="D4547" s="84"/>
      <c r="E4547" s="84"/>
      <c r="F4547" s="84"/>
      <c r="G4547" s="84"/>
      <c r="R4547" s="251"/>
      <c r="S4547" s="251"/>
    </row>
    <row r="4548" spans="4:19" ht="15">
      <c r="D4548" s="84"/>
      <c r="E4548" s="84"/>
      <c r="F4548" s="84"/>
      <c r="G4548" s="84"/>
      <c r="R4548" s="251"/>
      <c r="S4548" s="251"/>
    </row>
    <row r="4549" spans="4:19" ht="15">
      <c r="D4549" s="84"/>
      <c r="E4549" s="84"/>
      <c r="F4549" s="84"/>
      <c r="G4549" s="84"/>
      <c r="R4549" s="251"/>
      <c r="S4549" s="251"/>
    </row>
    <row r="4550" spans="4:19" ht="15">
      <c r="D4550" s="84"/>
      <c r="E4550" s="84"/>
      <c r="F4550" s="84"/>
      <c r="G4550" s="84"/>
      <c r="R4550" s="251"/>
      <c r="S4550" s="251"/>
    </row>
    <row r="4551" spans="4:19" ht="15">
      <c r="D4551" s="84"/>
      <c r="E4551" s="84"/>
      <c r="F4551" s="84"/>
      <c r="G4551" s="84"/>
      <c r="R4551" s="251"/>
      <c r="S4551" s="251"/>
    </row>
    <row r="4552" spans="4:19" ht="15">
      <c r="D4552" s="84"/>
      <c r="E4552" s="84"/>
      <c r="F4552" s="84"/>
      <c r="G4552" s="84"/>
      <c r="R4552" s="251"/>
      <c r="S4552" s="251"/>
    </row>
    <row r="4553" spans="4:19" ht="15">
      <c r="D4553" s="84"/>
      <c r="E4553" s="84"/>
      <c r="F4553" s="84"/>
      <c r="G4553" s="84"/>
      <c r="R4553" s="251"/>
      <c r="S4553" s="251"/>
    </row>
    <row r="4554" spans="4:19" ht="15">
      <c r="D4554" s="84"/>
      <c r="E4554" s="84"/>
      <c r="F4554" s="84"/>
      <c r="G4554" s="84"/>
      <c r="R4554" s="251"/>
      <c r="S4554" s="251"/>
    </row>
    <row r="4555" spans="4:19" ht="15">
      <c r="D4555" s="84"/>
      <c r="E4555" s="84"/>
      <c r="F4555" s="84"/>
      <c r="G4555" s="84"/>
      <c r="R4555" s="251"/>
      <c r="S4555" s="251"/>
    </row>
    <row r="4556" spans="4:19" ht="15">
      <c r="D4556" s="84"/>
      <c r="E4556" s="84"/>
      <c r="F4556" s="84"/>
      <c r="G4556" s="84"/>
      <c r="R4556" s="251"/>
      <c r="S4556" s="251"/>
    </row>
    <row r="4557" spans="4:19" ht="15">
      <c r="D4557" s="84"/>
      <c r="E4557" s="84"/>
      <c r="F4557" s="84"/>
      <c r="G4557" s="84"/>
      <c r="R4557" s="251"/>
      <c r="S4557" s="251"/>
    </row>
    <row r="4558" spans="4:19" ht="15">
      <c r="D4558" s="84"/>
      <c r="E4558" s="84"/>
      <c r="F4558" s="84"/>
      <c r="G4558" s="84"/>
      <c r="R4558" s="251"/>
      <c r="S4558" s="251"/>
    </row>
    <row r="4559" spans="4:19" ht="15">
      <c r="D4559" s="84"/>
      <c r="E4559" s="84"/>
      <c r="F4559" s="84"/>
      <c r="G4559" s="84"/>
      <c r="R4559" s="251"/>
      <c r="S4559" s="251"/>
    </row>
    <row r="4560" spans="4:19" ht="15">
      <c r="D4560" s="84"/>
      <c r="E4560" s="84"/>
      <c r="F4560" s="84"/>
      <c r="G4560" s="84"/>
      <c r="R4560" s="251"/>
      <c r="S4560" s="251"/>
    </row>
    <row r="4561" spans="4:19" ht="15">
      <c r="D4561" s="84"/>
      <c r="E4561" s="84"/>
      <c r="F4561" s="84"/>
      <c r="G4561" s="84"/>
      <c r="R4561" s="251"/>
      <c r="S4561" s="251"/>
    </row>
    <row r="4562" spans="4:19" ht="15">
      <c r="D4562" s="84"/>
      <c r="E4562" s="84"/>
      <c r="F4562" s="84"/>
      <c r="G4562" s="84"/>
      <c r="R4562" s="251"/>
      <c r="S4562" s="251"/>
    </row>
    <row r="4563" spans="4:19" ht="15">
      <c r="D4563" s="84"/>
      <c r="E4563" s="84"/>
      <c r="F4563" s="84"/>
      <c r="G4563" s="84"/>
      <c r="R4563" s="251"/>
      <c r="S4563" s="251"/>
    </row>
    <row r="4564" spans="4:19" ht="15">
      <c r="D4564" s="84"/>
      <c r="E4564" s="84"/>
      <c r="F4564" s="84"/>
      <c r="G4564" s="84"/>
      <c r="R4564" s="251"/>
      <c r="S4564" s="251"/>
    </row>
    <row r="4565" spans="4:19" ht="15">
      <c r="D4565" s="84"/>
      <c r="E4565" s="84"/>
      <c r="F4565" s="84"/>
      <c r="G4565" s="84"/>
      <c r="R4565" s="251"/>
      <c r="S4565" s="251"/>
    </row>
    <row r="4566" spans="4:19" ht="15">
      <c r="D4566" s="84"/>
      <c r="E4566" s="84"/>
      <c r="F4566" s="84"/>
      <c r="G4566" s="84"/>
      <c r="R4566" s="251"/>
      <c r="S4566" s="251"/>
    </row>
    <row r="4567" spans="4:19" ht="15">
      <c r="D4567" s="84"/>
      <c r="E4567" s="84"/>
      <c r="F4567" s="84"/>
      <c r="G4567" s="84"/>
      <c r="R4567" s="251"/>
      <c r="S4567" s="251"/>
    </row>
    <row r="4568" spans="4:19" ht="15">
      <c r="D4568" s="84"/>
      <c r="E4568" s="84"/>
      <c r="F4568" s="84"/>
      <c r="G4568" s="84"/>
      <c r="R4568" s="251"/>
      <c r="S4568" s="251"/>
    </row>
    <row r="4569" spans="4:19" ht="15">
      <c r="D4569" s="84"/>
      <c r="E4569" s="84"/>
      <c r="F4569" s="84"/>
      <c r="G4569" s="84"/>
      <c r="R4569" s="251"/>
      <c r="S4569" s="251"/>
    </row>
    <row r="4570" spans="4:19" ht="15">
      <c r="D4570" s="84"/>
      <c r="E4570" s="84"/>
      <c r="F4570" s="84"/>
      <c r="G4570" s="84"/>
      <c r="R4570" s="251"/>
      <c r="S4570" s="251"/>
    </row>
    <row r="4571" spans="4:19" ht="15">
      <c r="D4571" s="84"/>
      <c r="E4571" s="84"/>
      <c r="F4571" s="84"/>
      <c r="G4571" s="84"/>
      <c r="R4571" s="251"/>
      <c r="S4571" s="251"/>
    </row>
    <row r="4572" spans="4:19" ht="15">
      <c r="D4572" s="84"/>
      <c r="E4572" s="84"/>
      <c r="F4572" s="84"/>
      <c r="G4572" s="84"/>
      <c r="R4572" s="251"/>
      <c r="S4572" s="251"/>
    </row>
    <row r="4573" spans="4:19" ht="15">
      <c r="D4573" s="84"/>
      <c r="E4573" s="84"/>
      <c r="F4573" s="84"/>
      <c r="G4573" s="84"/>
      <c r="R4573" s="251"/>
      <c r="S4573" s="251"/>
    </row>
    <row r="4574" spans="4:19" ht="15">
      <c r="D4574" s="84"/>
      <c r="E4574" s="84"/>
      <c r="F4574" s="84"/>
      <c r="G4574" s="84"/>
      <c r="R4574" s="251"/>
      <c r="S4574" s="251"/>
    </row>
    <row r="4575" spans="4:19" ht="15">
      <c r="D4575" s="84"/>
      <c r="E4575" s="84"/>
      <c r="F4575" s="84"/>
      <c r="G4575" s="84"/>
      <c r="R4575" s="251"/>
      <c r="S4575" s="251"/>
    </row>
    <row r="4576" spans="4:19" ht="15">
      <c r="D4576" s="84"/>
      <c r="E4576" s="84"/>
      <c r="F4576" s="84"/>
      <c r="G4576" s="84"/>
      <c r="R4576" s="251"/>
      <c r="S4576" s="251"/>
    </row>
    <row r="4577" spans="4:19" ht="15">
      <c r="D4577" s="84"/>
      <c r="E4577" s="84"/>
      <c r="F4577" s="84"/>
      <c r="G4577" s="84"/>
      <c r="R4577" s="251"/>
      <c r="S4577" s="251"/>
    </row>
    <row r="4578" spans="4:19" ht="15">
      <c r="D4578" s="84"/>
      <c r="E4578" s="84"/>
      <c r="F4578" s="84"/>
      <c r="G4578" s="84"/>
      <c r="R4578" s="251"/>
      <c r="S4578" s="251"/>
    </row>
    <row r="4579" spans="4:19" ht="15">
      <c r="D4579" s="84"/>
      <c r="E4579" s="84"/>
      <c r="F4579" s="84"/>
      <c r="G4579" s="84"/>
      <c r="R4579" s="251"/>
      <c r="S4579" s="251"/>
    </row>
    <row r="4580" spans="4:19" ht="15">
      <c r="D4580" s="84"/>
      <c r="E4580" s="84"/>
      <c r="F4580" s="84"/>
      <c r="G4580" s="84"/>
      <c r="R4580" s="251"/>
      <c r="S4580" s="251"/>
    </row>
    <row r="4581" spans="4:19" ht="15">
      <c r="D4581" s="84"/>
      <c r="E4581" s="84"/>
      <c r="F4581" s="84"/>
      <c r="G4581" s="84"/>
      <c r="R4581" s="251"/>
      <c r="S4581" s="251"/>
    </row>
    <row r="4582" spans="4:19" ht="15">
      <c r="D4582" s="84"/>
      <c r="E4582" s="84"/>
      <c r="F4582" s="84"/>
      <c r="G4582" s="84"/>
      <c r="R4582" s="251"/>
      <c r="S4582" s="251"/>
    </row>
    <row r="4583" spans="4:19" ht="15">
      <c r="D4583" s="84"/>
      <c r="E4583" s="84"/>
      <c r="F4583" s="84"/>
      <c r="G4583" s="84"/>
      <c r="R4583" s="251"/>
      <c r="S4583" s="251"/>
    </row>
    <row r="4584" spans="4:19" ht="15">
      <c r="D4584" s="84"/>
      <c r="E4584" s="84"/>
      <c r="F4584" s="84"/>
      <c r="G4584" s="84"/>
      <c r="R4584" s="251"/>
      <c r="S4584" s="251"/>
    </row>
    <row r="4585" spans="4:19" ht="15">
      <c r="D4585" s="84"/>
      <c r="E4585" s="84"/>
      <c r="F4585" s="84"/>
      <c r="G4585" s="84"/>
      <c r="R4585" s="251"/>
      <c r="S4585" s="251"/>
    </row>
    <row r="4586" spans="4:19" ht="15">
      <c r="D4586" s="84"/>
      <c r="E4586" s="84"/>
      <c r="F4586" s="84"/>
      <c r="G4586" s="84"/>
      <c r="R4586" s="251"/>
      <c r="S4586" s="251"/>
    </row>
    <row r="4587" spans="4:19" ht="15">
      <c r="D4587" s="84"/>
      <c r="E4587" s="84"/>
      <c r="F4587" s="84"/>
      <c r="G4587" s="84"/>
      <c r="R4587" s="251"/>
      <c r="S4587" s="251"/>
    </row>
    <row r="4588" spans="4:19" ht="15">
      <c r="D4588" s="84"/>
      <c r="E4588" s="84"/>
      <c r="F4588" s="84"/>
      <c r="G4588" s="84"/>
      <c r="R4588" s="251"/>
      <c r="S4588" s="251"/>
    </row>
    <row r="4589" spans="4:19" ht="15">
      <c r="D4589" s="84"/>
      <c r="E4589" s="84"/>
      <c r="F4589" s="84"/>
      <c r="G4589" s="84"/>
      <c r="R4589" s="251"/>
      <c r="S4589" s="251"/>
    </row>
    <row r="4590" spans="4:19" ht="15">
      <c r="D4590" s="84"/>
      <c r="E4590" s="84"/>
      <c r="F4590" s="84"/>
      <c r="G4590" s="84"/>
      <c r="R4590" s="251"/>
      <c r="S4590" s="251"/>
    </row>
    <row r="4591" spans="4:19" ht="15">
      <c r="D4591" s="84"/>
      <c r="E4591" s="84"/>
      <c r="F4591" s="84"/>
      <c r="G4591" s="84"/>
      <c r="R4591" s="251"/>
      <c r="S4591" s="251"/>
    </row>
    <row r="4592" spans="4:19" ht="15">
      <c r="D4592" s="84"/>
      <c r="E4592" s="84"/>
      <c r="F4592" s="84"/>
      <c r="G4592" s="84"/>
      <c r="R4592" s="251"/>
      <c r="S4592" s="251"/>
    </row>
    <row r="4593" spans="4:19" ht="15">
      <c r="D4593" s="84"/>
      <c r="E4593" s="84"/>
      <c r="F4593" s="84"/>
      <c r="G4593" s="84"/>
      <c r="R4593" s="251"/>
      <c r="S4593" s="251"/>
    </row>
    <row r="4594" spans="4:19" ht="15">
      <c r="D4594" s="84"/>
      <c r="E4594" s="84"/>
      <c r="F4594" s="84"/>
      <c r="G4594" s="84"/>
      <c r="R4594" s="251"/>
      <c r="S4594" s="251"/>
    </row>
    <row r="4595" spans="4:19" ht="15">
      <c r="D4595" s="84"/>
      <c r="E4595" s="84"/>
      <c r="F4595" s="84"/>
      <c r="G4595" s="84"/>
      <c r="R4595" s="251"/>
      <c r="S4595" s="251"/>
    </row>
    <row r="4596" spans="4:19" ht="15">
      <c r="D4596" s="84"/>
      <c r="E4596" s="84"/>
      <c r="F4596" s="84"/>
      <c r="G4596" s="84"/>
      <c r="R4596" s="251"/>
      <c r="S4596" s="251"/>
    </row>
    <row r="4597" spans="4:19" ht="15">
      <c r="D4597" s="84"/>
      <c r="E4597" s="84"/>
      <c r="F4597" s="84"/>
      <c r="G4597" s="84"/>
      <c r="R4597" s="251"/>
      <c r="S4597" s="251"/>
    </row>
    <row r="4598" spans="4:19" ht="15">
      <c r="D4598" s="84"/>
      <c r="E4598" s="84"/>
      <c r="F4598" s="84"/>
      <c r="G4598" s="84"/>
      <c r="R4598" s="251"/>
      <c r="S4598" s="251"/>
    </row>
    <row r="4599" spans="4:19" ht="15">
      <c r="D4599" s="84"/>
      <c r="E4599" s="84"/>
      <c r="F4599" s="84"/>
      <c r="G4599" s="84"/>
      <c r="R4599" s="251"/>
      <c r="S4599" s="251"/>
    </row>
    <row r="4600" spans="4:19" ht="15">
      <c r="D4600" s="84"/>
      <c r="E4600" s="84"/>
      <c r="F4600" s="84"/>
      <c r="G4600" s="84"/>
      <c r="R4600" s="251"/>
      <c r="S4600" s="251"/>
    </row>
    <row r="4601" spans="4:19" ht="15">
      <c r="D4601" s="84"/>
      <c r="E4601" s="84"/>
      <c r="F4601" s="84"/>
      <c r="G4601" s="84"/>
      <c r="R4601" s="251"/>
      <c r="S4601" s="251"/>
    </row>
    <row r="4602" spans="4:19" ht="15">
      <c r="D4602" s="84"/>
      <c r="E4602" s="84"/>
      <c r="F4602" s="84"/>
      <c r="G4602" s="84"/>
      <c r="R4602" s="251"/>
      <c r="S4602" s="251"/>
    </row>
    <row r="4603" spans="4:19" ht="15">
      <c r="D4603" s="84"/>
      <c r="E4603" s="84"/>
      <c r="F4603" s="84"/>
      <c r="G4603" s="84"/>
      <c r="R4603" s="251"/>
      <c r="S4603" s="251"/>
    </row>
    <row r="4604" spans="4:19" ht="15">
      <c r="D4604" s="84"/>
      <c r="E4604" s="84"/>
      <c r="F4604" s="84"/>
      <c r="G4604" s="84"/>
      <c r="R4604" s="251"/>
      <c r="S4604" s="251"/>
    </row>
    <row r="4605" spans="4:19" ht="15">
      <c r="D4605" s="84"/>
      <c r="E4605" s="84"/>
      <c r="F4605" s="84"/>
      <c r="G4605" s="84"/>
      <c r="R4605" s="251"/>
      <c r="S4605" s="251"/>
    </row>
    <row r="4606" spans="4:19" ht="15">
      <c r="D4606" s="84"/>
      <c r="E4606" s="84"/>
      <c r="F4606" s="84"/>
      <c r="G4606" s="84"/>
      <c r="R4606" s="251"/>
      <c r="S4606" s="251"/>
    </row>
    <row r="4607" spans="4:19" ht="15">
      <c r="D4607" s="84"/>
      <c r="E4607" s="84"/>
      <c r="F4607" s="84"/>
      <c r="G4607" s="84"/>
      <c r="R4607" s="251"/>
      <c r="S4607" s="251"/>
    </row>
    <row r="4608" spans="4:19" ht="15">
      <c r="D4608" s="84"/>
      <c r="E4608" s="84"/>
      <c r="F4608" s="84"/>
      <c r="G4608" s="84"/>
      <c r="R4608" s="251"/>
      <c r="S4608" s="251"/>
    </row>
    <row r="4609" spans="4:19" ht="15">
      <c r="D4609" s="84"/>
      <c r="E4609" s="84"/>
      <c r="F4609" s="84"/>
      <c r="G4609" s="84"/>
      <c r="R4609" s="251"/>
      <c r="S4609" s="251"/>
    </row>
    <row r="4610" spans="4:19" ht="15">
      <c r="D4610" s="84"/>
      <c r="E4610" s="84"/>
      <c r="F4610" s="84"/>
      <c r="G4610" s="84"/>
      <c r="R4610" s="251"/>
      <c r="S4610" s="251"/>
    </row>
    <row r="4611" spans="4:19" ht="15">
      <c r="D4611" s="84"/>
      <c r="E4611" s="84"/>
      <c r="F4611" s="84"/>
      <c r="G4611" s="84"/>
      <c r="R4611" s="251"/>
      <c r="S4611" s="251"/>
    </row>
    <row r="4612" spans="4:19" ht="15">
      <c r="D4612" s="84"/>
      <c r="E4612" s="84"/>
      <c r="F4612" s="84"/>
      <c r="G4612" s="84"/>
      <c r="R4612" s="251"/>
      <c r="S4612" s="251"/>
    </row>
    <row r="4613" spans="4:19" ht="15">
      <c r="D4613" s="84"/>
      <c r="E4613" s="84"/>
      <c r="F4613" s="84"/>
      <c r="G4613" s="84"/>
      <c r="R4613" s="251"/>
      <c r="S4613" s="251"/>
    </row>
    <row r="4614" spans="4:19" ht="15">
      <c r="D4614" s="84"/>
      <c r="E4614" s="84"/>
      <c r="F4614" s="84"/>
      <c r="G4614" s="84"/>
      <c r="R4614" s="251"/>
      <c r="S4614" s="251"/>
    </row>
    <row r="4615" spans="4:19" ht="15">
      <c r="D4615" s="84"/>
      <c r="E4615" s="84"/>
      <c r="F4615" s="84"/>
      <c r="G4615" s="84"/>
      <c r="R4615" s="251"/>
      <c r="S4615" s="251"/>
    </row>
    <row r="4616" spans="4:19" ht="15">
      <c r="D4616" s="84"/>
      <c r="E4616" s="84"/>
      <c r="F4616" s="84"/>
      <c r="G4616" s="84"/>
      <c r="R4616" s="251"/>
      <c r="S4616" s="251"/>
    </row>
    <row r="4617" spans="4:19" ht="15">
      <c r="D4617" s="84"/>
      <c r="E4617" s="84"/>
      <c r="F4617" s="84"/>
      <c r="G4617" s="84"/>
      <c r="R4617" s="251"/>
      <c r="S4617" s="251"/>
    </row>
    <row r="4618" spans="4:19" ht="15">
      <c r="D4618" s="84"/>
      <c r="E4618" s="84"/>
      <c r="F4618" s="84"/>
      <c r="G4618" s="84"/>
      <c r="R4618" s="251"/>
      <c r="S4618" s="251"/>
    </row>
    <row r="4619" spans="4:19" ht="15">
      <c r="D4619" s="84"/>
      <c r="E4619" s="84"/>
      <c r="F4619" s="84"/>
      <c r="G4619" s="84"/>
      <c r="R4619" s="251"/>
      <c r="S4619" s="251"/>
    </row>
    <row r="4620" spans="4:19" ht="15">
      <c r="D4620" s="84"/>
      <c r="E4620" s="84"/>
      <c r="F4620" s="84"/>
      <c r="G4620" s="84"/>
      <c r="R4620" s="251"/>
      <c r="S4620" s="251"/>
    </row>
    <row r="4621" spans="4:19" ht="15">
      <c r="D4621" s="84"/>
      <c r="E4621" s="84"/>
      <c r="F4621" s="84"/>
      <c r="G4621" s="84"/>
      <c r="R4621" s="251"/>
      <c r="S4621" s="251"/>
    </row>
    <row r="4622" spans="4:19" ht="15">
      <c r="D4622" s="84"/>
      <c r="E4622" s="84"/>
      <c r="F4622" s="84"/>
      <c r="G4622" s="84"/>
      <c r="R4622" s="251"/>
      <c r="S4622" s="251"/>
    </row>
    <row r="4623" spans="4:19" ht="15">
      <c r="D4623" s="84"/>
      <c r="E4623" s="84"/>
      <c r="F4623" s="84"/>
      <c r="G4623" s="84"/>
      <c r="R4623" s="251"/>
      <c r="S4623" s="251"/>
    </row>
    <row r="4624" spans="4:19" ht="15">
      <c r="D4624" s="84"/>
      <c r="E4624" s="84"/>
      <c r="F4624" s="84"/>
      <c r="G4624" s="84"/>
      <c r="R4624" s="251"/>
      <c r="S4624" s="251"/>
    </row>
    <row r="4625" spans="4:19" ht="15">
      <c r="D4625" s="84"/>
      <c r="E4625" s="84"/>
      <c r="F4625" s="84"/>
      <c r="G4625" s="84"/>
      <c r="R4625" s="251"/>
      <c r="S4625" s="251"/>
    </row>
    <row r="4626" spans="4:19" ht="15">
      <c r="D4626" s="84"/>
      <c r="E4626" s="84"/>
      <c r="F4626" s="84"/>
      <c r="G4626" s="84"/>
      <c r="R4626" s="251"/>
      <c r="S4626" s="251"/>
    </row>
    <row r="4627" spans="4:19" ht="15">
      <c r="D4627" s="84"/>
      <c r="E4627" s="84"/>
      <c r="F4627" s="84"/>
      <c r="G4627" s="84"/>
      <c r="R4627" s="251"/>
      <c r="S4627" s="251"/>
    </row>
    <row r="4628" spans="4:19" ht="15">
      <c r="D4628" s="84"/>
      <c r="E4628" s="84"/>
      <c r="F4628" s="84"/>
      <c r="G4628" s="84"/>
      <c r="R4628" s="251"/>
      <c r="S4628" s="251"/>
    </row>
    <row r="4629" spans="4:19" ht="15">
      <c r="D4629" s="84"/>
      <c r="E4629" s="84"/>
      <c r="F4629" s="84"/>
      <c r="G4629" s="84"/>
      <c r="R4629" s="251"/>
      <c r="S4629" s="251"/>
    </row>
    <row r="4630" spans="4:19" ht="15">
      <c r="D4630" s="84"/>
      <c r="E4630" s="84"/>
      <c r="F4630" s="84"/>
      <c r="G4630" s="84"/>
      <c r="R4630" s="251"/>
      <c r="S4630" s="251"/>
    </row>
    <row r="4631" spans="4:19" ht="15">
      <c r="D4631" s="84"/>
      <c r="E4631" s="84"/>
      <c r="F4631" s="84"/>
      <c r="G4631" s="84"/>
      <c r="R4631" s="251"/>
      <c r="S4631" s="251"/>
    </row>
    <row r="4632" spans="4:19" ht="15">
      <c r="D4632" s="84"/>
      <c r="E4632" s="84"/>
      <c r="F4632" s="84"/>
      <c r="G4632" s="84"/>
      <c r="R4632" s="251"/>
      <c r="S4632" s="251"/>
    </row>
    <row r="4633" spans="4:19" ht="15">
      <c r="D4633" s="84"/>
      <c r="E4633" s="84"/>
      <c r="F4633" s="84"/>
      <c r="G4633" s="84"/>
      <c r="R4633" s="251"/>
      <c r="S4633" s="251"/>
    </row>
    <row r="4634" spans="4:19" ht="15">
      <c r="D4634" s="84"/>
      <c r="E4634" s="84"/>
      <c r="F4634" s="84"/>
      <c r="G4634" s="84"/>
      <c r="R4634" s="251"/>
      <c r="S4634" s="251"/>
    </row>
    <row r="4635" spans="4:19" ht="15">
      <c r="D4635" s="84"/>
      <c r="E4635" s="84"/>
      <c r="F4635" s="84"/>
      <c r="G4635" s="84"/>
      <c r="R4635" s="251"/>
      <c r="S4635" s="251"/>
    </row>
    <row r="4636" spans="4:19" ht="15">
      <c r="D4636" s="84"/>
      <c r="E4636" s="84"/>
      <c r="F4636" s="84"/>
      <c r="G4636" s="84"/>
      <c r="R4636" s="251"/>
      <c r="S4636" s="251"/>
    </row>
    <row r="4637" spans="4:19" ht="15">
      <c r="D4637" s="84"/>
      <c r="E4637" s="84"/>
      <c r="F4637" s="84"/>
      <c r="G4637" s="84"/>
      <c r="R4637" s="251"/>
      <c r="S4637" s="251"/>
    </row>
    <row r="4638" spans="4:19" ht="15">
      <c r="D4638" s="84"/>
      <c r="E4638" s="84"/>
      <c r="F4638" s="84"/>
      <c r="G4638" s="84"/>
      <c r="R4638" s="251"/>
      <c r="S4638" s="251"/>
    </row>
    <row r="4639" spans="4:19" ht="15">
      <c r="D4639" s="84"/>
      <c r="E4639" s="84"/>
      <c r="F4639" s="84"/>
      <c r="G4639" s="84"/>
      <c r="R4639" s="251"/>
      <c r="S4639" s="251"/>
    </row>
    <row r="4640" spans="4:19" ht="15">
      <c r="D4640" s="84"/>
      <c r="E4640" s="84"/>
      <c r="F4640" s="84"/>
      <c r="G4640" s="84"/>
      <c r="R4640" s="251"/>
      <c r="S4640" s="251"/>
    </row>
    <row r="4641" spans="4:19" ht="15">
      <c r="D4641" s="84"/>
      <c r="E4641" s="84"/>
      <c r="F4641" s="84"/>
      <c r="G4641" s="84"/>
      <c r="R4641" s="251"/>
      <c r="S4641" s="251"/>
    </row>
    <row r="4642" spans="4:19" ht="15">
      <c r="D4642" s="84"/>
      <c r="E4642" s="84"/>
      <c r="F4642" s="84"/>
      <c r="G4642" s="84"/>
      <c r="R4642" s="251"/>
      <c r="S4642" s="251"/>
    </row>
    <row r="4643" spans="4:19" ht="15">
      <c r="D4643" s="10" t="s">
        <v>201</v>
      </c>
      <c r="E4643" s="333"/>
      <c r="F4643" s="333"/>
      <c r="G4643" s="333"/>
      <c r="R4643" s="251"/>
      <c r="S4643" s="251"/>
    </row>
    <row r="4644" spans="4:19" ht="15">
      <c r="D4644" s="10"/>
      <c r="E4644" s="333"/>
      <c r="F4644" s="333"/>
      <c r="G4644" s="333"/>
      <c r="R4644" s="251"/>
      <c r="S4644" s="251"/>
    </row>
    <row r="4645" spans="4:19" ht="15">
      <c r="D4645" s="10"/>
      <c r="E4645" s="333"/>
      <c r="F4645" s="333"/>
      <c r="G4645" s="333"/>
      <c r="R4645" s="251"/>
      <c r="S4645" s="251"/>
    </row>
    <row r="4646" spans="4:19" ht="15">
      <c r="D4646" s="10"/>
      <c r="E4646" s="333"/>
      <c r="F4646" s="333"/>
      <c r="G4646" s="333"/>
      <c r="S4646" s="251"/>
    </row>
    <row r="4647" spans="4:19" ht="15">
      <c r="D4647" s="10"/>
      <c r="E4647" s="333"/>
      <c r="F4647" s="333"/>
      <c r="G4647" s="333"/>
      <c r="S4647" s="251"/>
    </row>
    <row r="4648" spans="4:19" ht="15">
      <c r="D4648" s="10"/>
      <c r="E4648" s="333"/>
      <c r="F4648" s="333"/>
      <c r="G4648" s="333"/>
      <c r="S4648" s="251"/>
    </row>
    <row r="4649" spans="4:19" ht="15">
      <c r="D4649" s="10"/>
      <c r="E4649" s="333"/>
      <c r="F4649" s="333"/>
      <c r="G4649" s="333"/>
      <c r="S4649" s="251"/>
    </row>
    <row r="4650" spans="4:19" ht="15">
      <c r="D4650" s="10"/>
      <c r="E4650" s="333"/>
      <c r="F4650" s="333"/>
      <c r="G4650" s="333"/>
      <c r="S4650" s="251"/>
    </row>
    <row r="4651" spans="4:19" ht="15">
      <c r="D4651" s="10"/>
      <c r="E4651" s="333"/>
      <c r="F4651" s="333"/>
      <c r="G4651" s="333"/>
      <c r="S4651" s="251"/>
    </row>
    <row r="4652" spans="4:19" ht="15">
      <c r="D4652" s="10"/>
      <c r="E4652" s="333"/>
      <c r="F4652" s="333"/>
      <c r="G4652" s="333"/>
      <c r="S4652" s="251"/>
    </row>
    <row r="4653" spans="4:19" ht="15">
      <c r="D4653" s="10"/>
      <c r="E4653" s="333"/>
      <c r="F4653" s="333"/>
      <c r="G4653" s="333"/>
      <c r="S4653" s="251"/>
    </row>
    <row r="4654" spans="4:19">
      <c r="D4654" s="28"/>
      <c r="E4654" s="333"/>
      <c r="F4654" s="333"/>
      <c r="G4654" s="333"/>
      <c r="S4654" s="251"/>
    </row>
    <row r="4655" spans="4:19">
      <c r="D4655" s="28"/>
      <c r="E4655" s="333"/>
      <c r="F4655" s="333"/>
      <c r="G4655" s="333"/>
    </row>
    <row r="4656" spans="4:19" ht="15">
      <c r="D4656" s="10"/>
      <c r="E4656" s="333"/>
      <c r="F4656" s="333"/>
      <c r="G4656" s="333"/>
    </row>
    <row r="4657" spans="4:7">
      <c r="D4657" s="333"/>
      <c r="E4657" s="333"/>
      <c r="F4657" s="333"/>
      <c r="G4657" s="333"/>
    </row>
    <row r="4658" spans="4:7">
      <c r="D4658" s="333"/>
      <c r="E4658" s="333"/>
      <c r="F4658" s="333"/>
      <c r="G4658" s="333"/>
    </row>
    <row r="4659" spans="4:7">
      <c r="D4659" s="333"/>
      <c r="E4659" s="333"/>
      <c r="F4659" s="333"/>
      <c r="G4659" s="333"/>
    </row>
    <row r="4660" spans="4:7">
      <c r="D4660" s="333"/>
      <c r="E4660" s="333"/>
      <c r="F4660" s="333"/>
      <c r="G4660" s="333"/>
    </row>
    <row r="4661" spans="4:7">
      <c r="D4661" s="333"/>
      <c r="E4661" s="333"/>
      <c r="F4661" s="333"/>
      <c r="G4661" s="333"/>
    </row>
    <row r="4662" spans="4:7">
      <c r="D4662" s="333"/>
      <c r="E4662" s="333"/>
      <c r="F4662" s="333"/>
      <c r="G4662" s="333"/>
    </row>
    <row r="4663" spans="4:7">
      <c r="D4663" s="333"/>
      <c r="E4663" s="333"/>
      <c r="F4663" s="333"/>
      <c r="G4663" s="333"/>
    </row>
    <row r="4664" spans="4:7">
      <c r="D4664" s="333"/>
      <c r="E4664" s="333"/>
      <c r="F4664" s="333"/>
      <c r="G4664" s="333"/>
    </row>
    <row r="4665" spans="4:7">
      <c r="D4665" s="333"/>
      <c r="E4665" s="333"/>
      <c r="F4665" s="333"/>
      <c r="G4665" s="333"/>
    </row>
    <row r="4666" spans="4:7">
      <c r="D4666" s="333"/>
      <c r="E4666" s="333"/>
      <c r="F4666" s="333"/>
      <c r="G4666" s="333"/>
    </row>
    <row r="4667" spans="4:7">
      <c r="D4667" s="333"/>
      <c r="E4667" s="333"/>
      <c r="F4667" s="333"/>
      <c r="G4667" s="333"/>
    </row>
    <row r="4668" spans="4:7">
      <c r="D4668" s="333"/>
      <c r="E4668" s="333"/>
      <c r="F4668" s="333"/>
      <c r="G4668" s="333"/>
    </row>
    <row r="4669" spans="4:7">
      <c r="D4669" s="333"/>
      <c r="E4669" s="333"/>
      <c r="F4669" s="333"/>
      <c r="G4669" s="333"/>
    </row>
    <row r="4670" spans="4:7">
      <c r="D4670" s="333"/>
      <c r="E4670" s="333"/>
      <c r="F4670" s="333"/>
      <c r="G4670" s="333"/>
    </row>
    <row r="4671" spans="4:7">
      <c r="D4671" s="333"/>
      <c r="E4671" s="333"/>
      <c r="F4671" s="333"/>
      <c r="G4671" s="333"/>
    </row>
    <row r="4672" spans="4:7">
      <c r="D4672" s="333"/>
      <c r="E4672" s="333"/>
      <c r="F4672" s="333"/>
      <c r="G4672" s="333"/>
    </row>
    <row r="4673" spans="4:7">
      <c r="D4673" s="333"/>
      <c r="E4673" s="333"/>
      <c r="F4673" s="333"/>
      <c r="G4673" s="333"/>
    </row>
    <row r="4674" spans="4:7">
      <c r="D4674" s="333"/>
      <c r="E4674" s="333"/>
      <c r="F4674" s="333"/>
      <c r="G4674" s="333"/>
    </row>
    <row r="4675" spans="4:7">
      <c r="D4675" s="333"/>
      <c r="E4675" s="333"/>
      <c r="F4675" s="333"/>
      <c r="G4675" s="333"/>
    </row>
    <row r="4676" spans="4:7">
      <c r="D4676" s="333"/>
      <c r="E4676" s="333"/>
      <c r="F4676" s="333"/>
      <c r="G4676" s="333"/>
    </row>
    <row r="4677" spans="4:7">
      <c r="D4677" s="333"/>
      <c r="E4677" s="333"/>
      <c r="F4677" s="333"/>
      <c r="G4677" s="333"/>
    </row>
    <row r="4678" spans="4:7">
      <c r="D4678" s="333"/>
      <c r="E4678" s="333"/>
      <c r="F4678" s="333"/>
      <c r="G4678" s="333"/>
    </row>
    <row r="4679" spans="4:7">
      <c r="D4679" s="333"/>
      <c r="E4679" s="333"/>
      <c r="F4679" s="333"/>
      <c r="G4679" s="333"/>
    </row>
    <row r="4680" spans="4:7">
      <c r="D4680" s="333"/>
      <c r="E4680" s="333"/>
      <c r="F4680" s="333"/>
      <c r="G4680" s="333"/>
    </row>
    <row r="4681" spans="4:7">
      <c r="D4681" s="333"/>
      <c r="E4681" s="333"/>
      <c r="F4681" s="333"/>
      <c r="G4681" s="333"/>
    </row>
    <row r="4682" spans="4:7">
      <c r="D4682" s="333"/>
      <c r="E4682" s="333"/>
      <c r="F4682" s="333"/>
      <c r="G4682" s="333"/>
    </row>
    <row r="4683" spans="4:7">
      <c r="D4683" s="333"/>
      <c r="E4683" s="333"/>
      <c r="F4683" s="333"/>
      <c r="G4683" s="333"/>
    </row>
    <row r="4684" spans="4:7">
      <c r="D4684" s="333"/>
      <c r="E4684" s="333"/>
      <c r="F4684" s="333"/>
      <c r="G4684" s="333"/>
    </row>
    <row r="4685" spans="4:7">
      <c r="D4685" s="333"/>
      <c r="E4685" s="333"/>
      <c r="F4685" s="333"/>
      <c r="G4685" s="333"/>
    </row>
    <row r="4686" spans="4:7">
      <c r="D4686" s="333"/>
      <c r="E4686" s="333"/>
      <c r="F4686" s="333"/>
      <c r="G4686" s="333"/>
    </row>
    <row r="4687" spans="4:7">
      <c r="D4687" s="333"/>
      <c r="E4687" s="333"/>
      <c r="F4687" s="333"/>
      <c r="G4687" s="333"/>
    </row>
    <row r="4688" spans="4:7">
      <c r="D4688" s="333"/>
      <c r="E4688" s="333"/>
      <c r="F4688" s="333"/>
      <c r="G4688" s="333"/>
    </row>
    <row r="4689" spans="4:7">
      <c r="D4689" s="333"/>
      <c r="E4689" s="333"/>
      <c r="F4689" s="333"/>
      <c r="G4689" s="333"/>
    </row>
    <row r="4690" spans="4:7">
      <c r="D4690" s="333"/>
      <c r="E4690" s="333"/>
      <c r="F4690" s="333"/>
      <c r="G4690" s="333"/>
    </row>
  </sheetData>
  <sheetProtection sheet="1" objects="1" scenarios="1"/>
  <dataConsolidate/>
  <mergeCells count="23">
    <mergeCell ref="M67:N67"/>
    <mergeCell ref="M2:P2"/>
    <mergeCell ref="AE2:AF2"/>
    <mergeCell ref="BA17:BB17"/>
    <mergeCell ref="BA26:BB26"/>
    <mergeCell ref="U2:W2"/>
    <mergeCell ref="AX22:AY22"/>
    <mergeCell ref="M34:N34"/>
    <mergeCell ref="AT2:AU2"/>
    <mergeCell ref="AT24:AV24"/>
    <mergeCell ref="AX2:AY2"/>
    <mergeCell ref="AX13:AY13"/>
    <mergeCell ref="D2:G2"/>
    <mergeCell ref="AK2:AN2"/>
    <mergeCell ref="AP2:AQ2"/>
    <mergeCell ref="Y2:Z2"/>
    <mergeCell ref="AH2:AI2"/>
    <mergeCell ref="J2:K2"/>
    <mergeCell ref="BN2:BO2"/>
    <mergeCell ref="M51:O51"/>
    <mergeCell ref="AX6:AY8"/>
    <mergeCell ref="BD2:BL2"/>
    <mergeCell ref="V31:W31"/>
  </mergeCells>
  <hyperlinks>
    <hyperlink ref="BB10" r:id="rId1"/>
    <hyperlink ref="AF19" r:id="rId2"/>
    <hyperlink ref="AI14" r:id="rId3"/>
    <hyperlink ref="Z29" r:id="rId4"/>
    <hyperlink ref="Z37" r:id="rId5"/>
    <hyperlink ref="Z35" r:id="rId6"/>
    <hyperlink ref="Z36" r:id="rId7"/>
    <hyperlink ref="Z34" r:id="rId8"/>
    <hyperlink ref="N54" r:id="rId9"/>
  </hyperlinks>
  <pageMargins left="0.75" right="0.75" top="1" bottom="1" header="0.5" footer="0.5"/>
  <pageSetup orientation="portrait" horizontalDpi="4294967292" verticalDpi="4294967292"/>
  <drawing r:id="rId10"/>
  <legacyDrawing r:id="rId11"/>
  <mc:AlternateContent xmlns:mc="http://schemas.openxmlformats.org/markup-compatibility/2006">
    <mc:Choice Requires="x14">
      <controls>
        <mc:AlternateContent xmlns:mc="http://schemas.openxmlformats.org/markup-compatibility/2006">
          <mc:Choice Requires="x14">
            <control shapeId="2" r:id="rId12" name="test_list_box">
              <controlPr defaultSize="0" print="0" autoLine="0" autoPict="0">
                <anchor moveWithCells="1">
                  <from>
                    <xdr:col>58</xdr:col>
                    <xdr:colOff>0</xdr:colOff>
                    <xdr:row>3</xdr:row>
                    <xdr:rowOff>50800</xdr:rowOff>
                  </from>
                  <to>
                    <xdr:col>60</xdr:col>
                    <xdr:colOff>25400</xdr:colOff>
                    <xdr:row>7</xdr:row>
                    <xdr:rowOff>76200</xdr:rowOff>
                  </to>
                </anchor>
              </controlPr>
            </control>
          </mc:Choice>
          <mc:Fallback/>
        </mc:AlternateContent>
      </controls>
    </mc:Choice>
    <mc:Fallback/>
  </mc:AlternateContent>
  <tableParts count="29">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Data Entry</vt:lpstr>
      <vt:lpstr>NCBI Biosample</vt:lpstr>
      <vt:lpstr>Source List</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emma</dc:creator>
  <cp:lastModifiedBy>Damion Dooley</cp:lastModifiedBy>
  <dcterms:created xsi:type="dcterms:W3CDTF">2014-11-18T21:43:26Z</dcterms:created>
  <dcterms:modified xsi:type="dcterms:W3CDTF">2016-03-03T09:56:10Z</dcterms:modified>
</cp:coreProperties>
</file>